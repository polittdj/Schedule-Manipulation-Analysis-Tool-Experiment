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6.xml" ContentType="application/vnd.openxmlformats-officedocument.drawingml.chartshapes+xml"/>
  <Override PartName="/xl/charts/chartEx1.xml" ContentType="application/vnd.ms-office.chartex+xml"/>
  <Override PartName="/xl/charts/style16.xml" ContentType="application/vnd.ms-office.chartstyle+xml"/>
  <Override PartName="/xl/charts/colors16.xml" ContentType="application/vnd.ms-office.chartcolorstyle+xml"/>
  <Override PartName="/xl/drawings/drawing7.xml" ContentType="application/vnd.openxmlformats-officedocument.drawing+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8.xml" ContentType="application/vnd.openxmlformats-officedocument.drawing+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9.xml" ContentType="application/vnd.openxmlformats-officedocument.drawing+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C:\Users\dpolitte\Desktop\.mpp test files\"/>
    </mc:Choice>
  </mc:AlternateContent>
  <xr:revisionPtr revIDLastSave="0" documentId="8_{F1958988-68F7-4418-AAFB-9729C14E2A65}" xr6:coauthVersionLast="47" xr6:coauthVersionMax="47" xr10:uidLastSave="{00000000-0000-0000-0000-000000000000}"/>
  <bookViews>
    <workbookView xWindow="1170" yWindow="1170" windowWidth="28800" windowHeight="15345" tabRatio="707" firstSheet="1" activeTab="9" xr2:uid="{00000000-000D-0000-FFFF-FFFF00000000}"/>
  </bookViews>
  <sheets>
    <sheet name="Project --&gt;" sheetId="33" r:id="rId1"/>
    <sheet name="G1_Characteristics_WorkToGo" sheetId="27" r:id="rId2"/>
    <sheet name="G2&amp;G3_BowWave_2025MAR" sheetId="4" r:id="rId3"/>
    <sheet name="G2&amp;G3_BowWave_2024SEP" sheetId="20" r:id="rId4"/>
    <sheet name="G4_Workoff Burden" sheetId="23" r:id="rId5"/>
    <sheet name="G5_DurationRatioS Curve_2025MAR" sheetId="18" r:id="rId6"/>
    <sheet name="Portfolio --&gt;" sheetId="32" r:id="rId7"/>
    <sheet name="G3_Quad_HMI&amp;CEI" sheetId="29" r:id="rId8"/>
    <sheet name="G6_Quad_S-ratioVsF-ratio" sheetId="31" r:id="rId9"/>
    <sheet name="G7_Quad_BEIvsCP%" sheetId="34" r:id="rId10"/>
  </sheets>
  <externalReferences>
    <externalReference r:id="rId11"/>
    <externalReference r:id="rId12"/>
    <externalReference r:id="rId13"/>
  </externalReferences>
  <definedNames>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tdRecalcBehavior" hidden="1">0</definedName>
    <definedName name="_AtRisk_SimSetting_StdRecalcWithoutRiskStatic" hidden="1">0</definedName>
    <definedName name="_AtRisk_SimSetting_StdRecalcWithoutRiskStaticPercentile" hidden="1">0.5</definedName>
    <definedName name="_xlnm._FilterDatabase" localSheetId="5" hidden="1">'G5_DurationRatioS Curve_2025MAR'!$C$5:$H$659</definedName>
    <definedName name="_xlchart.v1.0" hidden="1">'G5_DurationRatioS Curve_2025MAR'!$G$297:$G$1662</definedName>
    <definedName name="dbFilterRange" localSheetId="7">OFFSET([1]Analogies!#REF!,1,0,COUNTA([1]Analogies!$B:$B)-2,1)</definedName>
    <definedName name="dbFilterRange">OFFSET([1]Analogies!#REF!,1,0,COUNTA([1]Analogies!$B:$B)-2,1)</definedName>
    <definedName name="dbHeaderRange" localSheetId="7">OFFSET([1]Analogies!#REF!,0,0,1,COUNTA([1]Analogies!$1:$1))</definedName>
    <definedName name="dbHeaderRange">OFFSET([1]Analogies!#REF!,0,0,1,COUNTA([1]Analogies!$1:$1))</definedName>
    <definedName name="dbNameRange" localSheetId="7">OFFSET([1]Analogies!#REF!,1,2,COUNTA([1]Analogies!$B:$B)-2,1)</definedName>
    <definedName name="dbNameRange">OFFSET([1]Analogies!#REF!,1,2,COUNTA([1]Analogies!$B:$B)-2,1)</definedName>
    <definedName name="dbRange" localSheetId="7">OFFSET([1]Analogies!#REF!,0,0,COUNTA([1]Analogies!$B:$B)-1,COUNTA([1]Analogies!$1:$1))</definedName>
    <definedName name="dbRange">OFFSET([1]Analogies!#REF!,0,0,COUNTA([1]Analogies!$B:$B)-1,COUNTA([1]Analogies!$1:$1))</definedName>
    <definedName name="dbStartCell" localSheetId="7">[1]Analogies!#REF!</definedName>
    <definedName name="dbStartCell">[1]Analogies!#REF!</definedName>
    <definedName name="DL">'[2]NASA SERs'!$E$6</definedName>
    <definedName name="filter_Class">'[2]Front End'!$F$25</definedName>
    <definedName name="filter_NASACenter">'[2]Front End'!$F$26</definedName>
    <definedName name="IC">'[2]NASA SERs'!$E$10</definedName>
    <definedName name="Mass">'[2]NASA SERs'!$E$5</definedName>
    <definedName name="ModelCalcFlag">'[2]Back End'!$D$4</definedName>
    <definedName name="numSources">'[2]Back End'!$D$5</definedName>
    <definedName name="Power">'[2]NASA SERs'!$E$9</definedName>
    <definedName name="ptEstimate">'[2]Front End'!$F$12</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NumIterations" hidden="1">5000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TRUE</definedName>
    <definedName name="RiskUseMultipleCPUs" hidden="1">FALSE</definedName>
    <definedName name="spreadHigh">'[2]Back End'!$T$76</definedName>
    <definedName name="spreadLow">'[2]Back End'!$S$76</definedName>
    <definedName name="wbsgroups">[3]Sheet1!$E$1:$E$5</definedName>
    <definedName name="wbsgroupslist">[3]Sheet1!$A$1:$B$36</definedName>
    <definedName name="YearDev">'[2]NASA SERs'!$E$8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34" l="1"/>
  <c r="G9" i="34"/>
  <c r="G10" i="34"/>
  <c r="G11" i="34"/>
  <c r="G12" i="34"/>
  <c r="G13" i="34"/>
  <c r="G7" i="34"/>
  <c r="I19" i="31"/>
  <c r="H19" i="31"/>
  <c r="I18" i="31"/>
  <c r="H18" i="31"/>
  <c r="I17" i="31"/>
  <c r="H17" i="31"/>
  <c r="I16" i="31"/>
  <c r="H16" i="31"/>
  <c r="I14" i="31"/>
  <c r="H14" i="31"/>
  <c r="I13" i="31"/>
  <c r="H13" i="31"/>
  <c r="I12" i="31"/>
  <c r="H12" i="31"/>
  <c r="I11" i="31"/>
  <c r="H11" i="31"/>
  <c r="I6" i="18" l="1"/>
  <c r="J6" i="18"/>
  <c r="B20" i="23" l="1"/>
  <c r="C20" i="23"/>
  <c r="D20" i="23"/>
  <c r="E20" i="23"/>
  <c r="F20" i="23"/>
  <c r="G20" i="23"/>
  <c r="H20" i="23"/>
  <c r="I20" i="23"/>
  <c r="J20" i="23"/>
  <c r="K20" i="23"/>
  <c r="L20" i="23"/>
  <c r="M20" i="23"/>
  <c r="N20" i="23"/>
  <c r="O20" i="23"/>
  <c r="P20" i="23"/>
  <c r="Q20" i="23"/>
  <c r="R20" i="23"/>
  <c r="S20" i="23"/>
  <c r="T20" i="23"/>
  <c r="U20" i="23"/>
  <c r="V20" i="23"/>
  <c r="W20" i="23"/>
  <c r="X20" i="23"/>
  <c r="Y20" i="23"/>
  <c r="Z20" i="23"/>
  <c r="AA20" i="23"/>
  <c r="AB20" i="23"/>
  <c r="AC20" i="23"/>
  <c r="AD20" i="23"/>
  <c r="AE20" i="23"/>
  <c r="AF20" i="23"/>
  <c r="AG20" i="23"/>
  <c r="AH20" i="23"/>
  <c r="AI20" i="23"/>
  <c r="AJ20" i="23"/>
  <c r="AK20" i="23"/>
  <c r="AL20" i="23"/>
  <c r="AM20" i="23"/>
  <c r="AN20" i="23"/>
  <c r="AO20" i="23"/>
  <c r="AP20" i="23"/>
  <c r="AQ20" i="23"/>
  <c r="AR20" i="23"/>
  <c r="AS20" i="23"/>
  <c r="AT20" i="23"/>
  <c r="AU20" i="23"/>
  <c r="AV20" i="23"/>
  <c r="AW20" i="23"/>
  <c r="AX20" i="23"/>
  <c r="AY20" i="23"/>
  <c r="AZ20" i="23"/>
  <c r="BA20" i="23"/>
  <c r="BB20" i="23"/>
  <c r="BC20" i="23"/>
  <c r="BD20" i="23"/>
  <c r="BE20" i="23"/>
  <c r="BF20" i="23"/>
  <c r="BG20" i="23"/>
  <c r="BH20" i="23"/>
  <c r="BI20" i="23"/>
  <c r="BJ20" i="23"/>
  <c r="BK20" i="23"/>
  <c r="BL20" i="23"/>
  <c r="BM20" i="23"/>
  <c r="BN20" i="23"/>
  <c r="BO20" i="23"/>
  <c r="BP20" i="23"/>
  <c r="BQ20" i="23"/>
  <c r="BR20" i="23"/>
  <c r="BS20" i="23"/>
  <c r="BT20" i="23"/>
  <c r="BU20" i="23"/>
  <c r="BV20" i="23"/>
  <c r="BW20" i="23"/>
  <c r="BX20" i="23"/>
  <c r="BY20" i="23"/>
  <c r="BZ20" i="23"/>
  <c r="CA20" i="23"/>
  <c r="CB20" i="23"/>
  <c r="CC20" i="23"/>
  <c r="CD20" i="23"/>
  <c r="CE20" i="23"/>
  <c r="CF20" i="23"/>
  <c r="CG20" i="23"/>
  <c r="CH20" i="23"/>
  <c r="CI20" i="23"/>
  <c r="CJ20" i="23"/>
  <c r="CK20" i="23"/>
  <c r="CL20" i="23"/>
  <c r="CM20" i="23"/>
  <c r="CN20" i="23"/>
  <c r="CO20" i="23"/>
  <c r="CP20" i="23"/>
  <c r="CQ20" i="23"/>
  <c r="CR20" i="23"/>
  <c r="CS20" i="23"/>
  <c r="CT20" i="23"/>
  <c r="CU20" i="23"/>
  <c r="CV20" i="23"/>
  <c r="CW20" i="23"/>
  <c r="CX20" i="23"/>
  <c r="CY20" i="23"/>
  <c r="CZ20" i="23"/>
  <c r="DA20" i="23"/>
  <c r="DB20" i="23"/>
  <c r="B21" i="23"/>
  <c r="C21" i="23"/>
  <c r="D21" i="23"/>
  <c r="E21" i="23"/>
  <c r="F21" i="23"/>
  <c r="G21" i="23"/>
  <c r="H21" i="23"/>
  <c r="I21" i="23"/>
  <c r="J21" i="23"/>
  <c r="K21" i="23"/>
  <c r="L21" i="23"/>
  <c r="M21" i="23"/>
  <c r="N21" i="23"/>
  <c r="O21" i="23"/>
  <c r="P21" i="23"/>
  <c r="Q21" i="23"/>
  <c r="R21" i="23"/>
  <c r="S21" i="23"/>
  <c r="T21" i="23"/>
  <c r="U21" i="23"/>
  <c r="V21" i="23"/>
  <c r="W21" i="23"/>
  <c r="X21" i="23"/>
  <c r="Y21" i="23"/>
  <c r="Z21" i="23"/>
  <c r="AA21" i="23"/>
  <c r="AB21" i="23"/>
  <c r="AC21" i="23"/>
  <c r="AD21" i="23"/>
  <c r="AE21" i="23"/>
  <c r="AF21" i="23"/>
  <c r="AG21" i="23"/>
  <c r="AH21" i="23"/>
  <c r="AI21" i="23"/>
  <c r="AJ21" i="23"/>
  <c r="AK21" i="23"/>
  <c r="AL21" i="23"/>
  <c r="AM21" i="23"/>
  <c r="AN21" i="23"/>
  <c r="AO21" i="23"/>
  <c r="AP21" i="23"/>
  <c r="AQ21" i="23"/>
  <c r="AR21" i="23"/>
  <c r="AS21" i="23"/>
  <c r="AT21" i="23"/>
  <c r="AU21" i="23"/>
  <c r="AV21" i="23"/>
  <c r="AW21" i="23"/>
  <c r="AX21" i="23"/>
  <c r="AY21" i="23"/>
  <c r="AZ21" i="23"/>
  <c r="BA21" i="23"/>
  <c r="BB21" i="23"/>
  <c r="BC21" i="23"/>
  <c r="BD21" i="23"/>
  <c r="BE21" i="23"/>
  <c r="BF21" i="23"/>
  <c r="BG21" i="23"/>
  <c r="BH21" i="23"/>
  <c r="BI21" i="23"/>
  <c r="BJ21" i="23"/>
  <c r="BK21" i="23"/>
  <c r="BL21" i="23"/>
  <c r="BM21" i="23"/>
  <c r="BN21" i="23"/>
  <c r="BO21" i="23"/>
  <c r="BP21" i="23"/>
  <c r="BQ21" i="23"/>
  <c r="BR21" i="23"/>
  <c r="BS21" i="23"/>
  <c r="BT21" i="23"/>
  <c r="BU21" i="23"/>
  <c r="BV21" i="23"/>
  <c r="BW21" i="23"/>
  <c r="BX21" i="23"/>
  <c r="BY21" i="23"/>
  <c r="BZ21" i="23"/>
  <c r="CA21" i="23"/>
  <c r="CB21" i="23"/>
  <c r="CC21" i="23"/>
  <c r="CD21" i="23"/>
  <c r="CE21" i="23"/>
  <c r="CF21" i="23"/>
  <c r="CG21" i="23"/>
  <c r="CH21" i="23"/>
  <c r="CI21" i="23"/>
  <c r="CJ21" i="23"/>
  <c r="CK21" i="23"/>
  <c r="CL21" i="23"/>
  <c r="CM21" i="23"/>
  <c r="CN21" i="23"/>
  <c r="CO21" i="23"/>
  <c r="CP21" i="23"/>
  <c r="CQ21" i="23"/>
  <c r="CR21" i="23"/>
  <c r="CS21" i="23"/>
  <c r="CT21" i="23"/>
  <c r="CU21" i="23"/>
  <c r="CV21" i="23"/>
  <c r="CW21" i="23"/>
  <c r="CX21" i="23"/>
  <c r="CY21" i="23"/>
  <c r="CZ21" i="23"/>
  <c r="DA21" i="23"/>
  <c r="DB21" i="23"/>
  <c r="R6" i="18" l="1"/>
  <c r="Q6" i="18"/>
  <c r="P6" i="18"/>
  <c r="O6" i="18"/>
  <c r="K6" i="18" l="1"/>
  <c r="L6" i="18"/>
  <c r="CG38" i="4"/>
  <c r="CH38" i="4"/>
  <c r="CI38" i="4"/>
  <c r="CJ38" i="4"/>
  <c r="CK38" i="4"/>
  <c r="CL38" i="4"/>
  <c r="CG39" i="4"/>
  <c r="CH39" i="4"/>
  <c r="CI39" i="4"/>
  <c r="CJ39" i="4"/>
  <c r="CK39" i="4"/>
  <c r="CL39" i="4"/>
  <c r="DE38" i="4"/>
  <c r="DF38" i="4"/>
  <c r="DG38" i="4"/>
  <c r="DH38" i="4"/>
  <c r="DI38" i="4"/>
  <c r="DJ38" i="4"/>
  <c r="DK38" i="4"/>
  <c r="DL38" i="4"/>
  <c r="DM38" i="4"/>
  <c r="DN38" i="4"/>
  <c r="DO38" i="4"/>
  <c r="DP38" i="4"/>
  <c r="DQ38" i="4"/>
  <c r="DR38" i="4"/>
  <c r="DS38" i="4"/>
  <c r="DT38" i="4"/>
  <c r="DU38" i="4"/>
  <c r="DV38" i="4"/>
  <c r="DW38" i="4"/>
  <c r="DX38" i="4"/>
  <c r="DY38" i="4"/>
  <c r="DZ38" i="4"/>
  <c r="EA38" i="4"/>
  <c r="EB38" i="4"/>
  <c r="EC38" i="4"/>
  <c r="ED38" i="4"/>
  <c r="EE38" i="4"/>
  <c r="EF38" i="4"/>
  <c r="EG38" i="4"/>
  <c r="EH38" i="4"/>
  <c r="EI38" i="4"/>
  <c r="EJ38" i="4"/>
  <c r="EK38" i="4"/>
  <c r="EL38" i="4"/>
  <c r="EM38" i="4"/>
  <c r="EN38" i="4"/>
  <c r="EO38" i="4"/>
  <c r="EP38" i="4"/>
  <c r="EQ38" i="4"/>
  <c r="ER38" i="4"/>
  <c r="ES38" i="4"/>
  <c r="ET38" i="4"/>
  <c r="EU38" i="4"/>
  <c r="EV38" i="4"/>
  <c r="EW38" i="4"/>
  <c r="EX38" i="4"/>
  <c r="EY38" i="4"/>
  <c r="EZ38" i="4"/>
  <c r="FA38" i="4"/>
  <c r="FB38" i="4"/>
  <c r="FC38" i="4"/>
  <c r="FD38" i="4"/>
  <c r="FE38" i="4"/>
  <c r="FF38" i="4"/>
  <c r="FG38" i="4"/>
  <c r="FH38" i="4"/>
  <c r="FI38" i="4"/>
  <c r="FJ38" i="4"/>
  <c r="FK38" i="4"/>
  <c r="FL38" i="4"/>
  <c r="FM38" i="4"/>
  <c r="FN38" i="4"/>
  <c r="FO38" i="4"/>
  <c r="FP38" i="4"/>
  <c r="FQ38" i="4"/>
  <c r="FR38" i="4"/>
  <c r="FS38" i="4"/>
  <c r="FT38" i="4"/>
  <c r="FU38" i="4"/>
  <c r="FV38" i="4"/>
  <c r="FW38" i="4"/>
  <c r="FX38" i="4"/>
  <c r="FY38" i="4"/>
  <c r="FZ38" i="4"/>
  <c r="GA38" i="4"/>
  <c r="GB38" i="4"/>
  <c r="GC38" i="4"/>
  <c r="GD38" i="4"/>
  <c r="GE38" i="4"/>
  <c r="GF38" i="4"/>
  <c r="GG38" i="4"/>
  <c r="GH38" i="4"/>
  <c r="GI38" i="4"/>
  <c r="GJ38" i="4"/>
  <c r="GK38" i="4"/>
  <c r="GL38" i="4"/>
  <c r="GM38" i="4"/>
  <c r="GN38" i="4"/>
  <c r="GO38" i="4"/>
  <c r="GP38" i="4"/>
  <c r="GQ38" i="4"/>
  <c r="GR38" i="4"/>
  <c r="GS38" i="4"/>
  <c r="GT38" i="4"/>
  <c r="GU38" i="4"/>
  <c r="GV38" i="4"/>
  <c r="GW38" i="4"/>
  <c r="GX38" i="4"/>
  <c r="GY38" i="4"/>
  <c r="GZ38" i="4"/>
  <c r="HA38" i="4"/>
  <c r="HB38" i="4"/>
  <c r="HC38" i="4"/>
  <c r="HD38" i="4"/>
  <c r="HE38" i="4"/>
  <c r="HF38" i="4"/>
  <c r="HG38" i="4"/>
  <c r="HH38" i="4"/>
  <c r="HI38" i="4"/>
  <c r="HJ38" i="4"/>
  <c r="HK38" i="4"/>
  <c r="HL38" i="4"/>
  <c r="HM38" i="4"/>
  <c r="HN38" i="4"/>
  <c r="HO38" i="4"/>
  <c r="HP38" i="4"/>
  <c r="HQ38" i="4"/>
  <c r="HR38" i="4"/>
  <c r="HS38" i="4"/>
  <c r="HT38" i="4"/>
  <c r="HU38" i="4"/>
  <c r="HV38" i="4"/>
  <c r="HW38" i="4"/>
  <c r="HX38" i="4"/>
  <c r="HY38" i="4"/>
  <c r="HZ38" i="4"/>
  <c r="IA38" i="4"/>
  <c r="IB38" i="4"/>
  <c r="IC38" i="4"/>
  <c r="ID38" i="4"/>
  <c r="IE38" i="4"/>
  <c r="IF38" i="4"/>
  <c r="IG38" i="4"/>
  <c r="IH38" i="4"/>
  <c r="II38" i="4"/>
  <c r="IJ38" i="4"/>
  <c r="IK38" i="4"/>
  <c r="IL38" i="4"/>
  <c r="IM38" i="4"/>
  <c r="IN38" i="4"/>
  <c r="IO38" i="4"/>
  <c r="IP38" i="4"/>
  <c r="IQ38" i="4"/>
  <c r="IR38" i="4"/>
  <c r="IS38" i="4"/>
  <c r="IT38" i="4"/>
  <c r="IU38" i="4"/>
  <c r="IV38" i="4"/>
  <c r="IW38" i="4"/>
  <c r="IX38" i="4"/>
  <c r="DE39" i="4"/>
  <c r="DF39" i="4"/>
  <c r="DG39" i="4"/>
  <c r="DH39" i="4"/>
  <c r="DI39" i="4"/>
  <c r="DJ39" i="4"/>
  <c r="DK39" i="4"/>
  <c r="DL39" i="4"/>
  <c r="DM39" i="4"/>
  <c r="DN39" i="4"/>
  <c r="DO39" i="4"/>
  <c r="DP39" i="4"/>
  <c r="DQ39" i="4"/>
  <c r="DR39" i="4"/>
  <c r="DS39" i="4"/>
  <c r="DT39" i="4"/>
  <c r="DU39" i="4"/>
  <c r="DV39" i="4"/>
  <c r="DW39" i="4"/>
  <c r="DX39" i="4"/>
  <c r="DY39" i="4"/>
  <c r="DZ39" i="4"/>
  <c r="EA39" i="4"/>
  <c r="EB39" i="4"/>
  <c r="EC39" i="4"/>
  <c r="ED39" i="4"/>
  <c r="EE39" i="4"/>
  <c r="EF39" i="4"/>
  <c r="EG39" i="4"/>
  <c r="EH39" i="4"/>
  <c r="EI39" i="4"/>
  <c r="EJ39" i="4"/>
  <c r="EK39" i="4"/>
  <c r="EL39" i="4"/>
  <c r="EM39" i="4"/>
  <c r="EN39" i="4"/>
  <c r="EO39" i="4"/>
  <c r="EP39" i="4"/>
  <c r="EQ39" i="4"/>
  <c r="ER39" i="4"/>
  <c r="ES39" i="4"/>
  <c r="ET39" i="4"/>
  <c r="EU39" i="4"/>
  <c r="EV39" i="4"/>
  <c r="EW39" i="4"/>
  <c r="EX39" i="4"/>
  <c r="EY39" i="4"/>
  <c r="EZ39" i="4"/>
  <c r="FA39" i="4"/>
  <c r="FB39" i="4"/>
  <c r="FC39" i="4"/>
  <c r="FD39" i="4"/>
  <c r="FE39" i="4"/>
  <c r="FF39" i="4"/>
  <c r="FG39" i="4"/>
  <c r="FH39" i="4"/>
  <c r="FI39" i="4"/>
  <c r="FJ39" i="4"/>
  <c r="FK39" i="4"/>
  <c r="FL39" i="4"/>
  <c r="FM39" i="4"/>
  <c r="FN39" i="4"/>
  <c r="FO39" i="4"/>
  <c r="FP39" i="4"/>
  <c r="FQ39" i="4"/>
  <c r="FR39" i="4"/>
  <c r="FS39" i="4"/>
  <c r="FT39" i="4"/>
  <c r="FU39" i="4"/>
  <c r="FV39" i="4"/>
  <c r="FW39" i="4"/>
  <c r="FX39" i="4"/>
  <c r="FY39" i="4"/>
  <c r="FZ39" i="4"/>
  <c r="GA39" i="4"/>
  <c r="GB39" i="4"/>
  <c r="GC39" i="4"/>
  <c r="GD39" i="4"/>
  <c r="GE39" i="4"/>
  <c r="GF39" i="4"/>
  <c r="GG39" i="4"/>
  <c r="GH39" i="4"/>
  <c r="GI39" i="4"/>
  <c r="GJ39" i="4"/>
  <c r="GK39" i="4"/>
  <c r="GL39" i="4"/>
  <c r="GM39" i="4"/>
  <c r="GN39" i="4"/>
  <c r="GO39" i="4"/>
  <c r="GP39" i="4"/>
  <c r="GQ39" i="4"/>
  <c r="GR39" i="4"/>
  <c r="GS39" i="4"/>
  <c r="GT39" i="4"/>
  <c r="GU39" i="4"/>
  <c r="GV39" i="4"/>
  <c r="GW39" i="4"/>
  <c r="GX39" i="4"/>
  <c r="GY39" i="4"/>
  <c r="GZ39" i="4"/>
  <c r="HA39" i="4"/>
  <c r="HB39" i="4"/>
  <c r="HC39" i="4"/>
  <c r="HD39" i="4"/>
  <c r="HE39" i="4"/>
  <c r="HF39" i="4"/>
  <c r="HG39" i="4"/>
  <c r="HH39" i="4"/>
  <c r="HI39" i="4"/>
  <c r="HJ39" i="4"/>
  <c r="HK39" i="4"/>
  <c r="HL39" i="4"/>
  <c r="HM39" i="4"/>
  <c r="HN39" i="4"/>
  <c r="HO39" i="4"/>
  <c r="HP39" i="4"/>
  <c r="HQ39" i="4"/>
  <c r="HR39" i="4"/>
  <c r="HS39" i="4"/>
  <c r="HT39" i="4"/>
  <c r="HU39" i="4"/>
  <c r="HV39" i="4"/>
  <c r="HW39" i="4"/>
  <c r="HX39" i="4"/>
  <c r="HY39" i="4"/>
  <c r="HZ39" i="4"/>
  <c r="IA39" i="4"/>
  <c r="IB39" i="4"/>
  <c r="IC39" i="4"/>
  <c r="ID39" i="4"/>
  <c r="IE39" i="4"/>
  <c r="IF39" i="4"/>
  <c r="IG39" i="4"/>
  <c r="IH39" i="4"/>
  <c r="II39" i="4"/>
  <c r="IJ39" i="4"/>
  <c r="IK39" i="4"/>
  <c r="IL39" i="4"/>
  <c r="IM39" i="4"/>
  <c r="IN39" i="4"/>
  <c r="IO39" i="4"/>
  <c r="IP39" i="4"/>
  <c r="IQ39" i="4"/>
  <c r="IR39" i="4"/>
  <c r="IS39" i="4"/>
  <c r="IT39" i="4"/>
  <c r="IU39" i="4"/>
  <c r="IV39" i="4"/>
  <c r="IW39" i="4"/>
  <c r="IX39" i="4"/>
  <c r="CG40" i="4"/>
  <c r="CH40" i="4"/>
  <c r="CI40" i="4"/>
  <c r="CJ40" i="4"/>
  <c r="CK40" i="4"/>
  <c r="CL40" i="4"/>
  <c r="DE40" i="4"/>
  <c r="DF40" i="4"/>
  <c r="DG40" i="4"/>
  <c r="DH40" i="4"/>
  <c r="DI40" i="4"/>
  <c r="DJ40" i="4"/>
  <c r="DK40" i="4"/>
  <c r="DL40" i="4"/>
  <c r="DM40" i="4"/>
  <c r="DN40" i="4"/>
  <c r="DO40" i="4"/>
  <c r="DP40" i="4"/>
  <c r="DQ40" i="4"/>
  <c r="DR40" i="4"/>
  <c r="DS40" i="4"/>
  <c r="DT40" i="4"/>
  <c r="DU40" i="4"/>
  <c r="DV40" i="4"/>
  <c r="DW40" i="4"/>
  <c r="DX40" i="4"/>
  <c r="DY40" i="4"/>
  <c r="DZ40" i="4"/>
  <c r="EA40" i="4"/>
  <c r="EB40" i="4"/>
  <c r="EC40" i="4"/>
  <c r="ED40" i="4"/>
  <c r="EE40" i="4"/>
  <c r="EF40" i="4"/>
  <c r="EG40" i="4"/>
  <c r="EH40" i="4"/>
  <c r="EI40" i="4"/>
  <c r="EJ40" i="4"/>
  <c r="EK40" i="4"/>
  <c r="EL40" i="4"/>
  <c r="EM40" i="4"/>
  <c r="EN40" i="4"/>
  <c r="EO40" i="4"/>
  <c r="EP40" i="4"/>
  <c r="EQ40" i="4"/>
  <c r="ER40" i="4"/>
  <c r="ES40" i="4"/>
  <c r="ET40" i="4"/>
  <c r="EU40" i="4"/>
  <c r="EV40" i="4"/>
  <c r="EW40" i="4"/>
  <c r="EX40" i="4"/>
  <c r="EY40" i="4"/>
  <c r="EZ40" i="4"/>
  <c r="FA40" i="4"/>
  <c r="FB40" i="4"/>
  <c r="FC40" i="4"/>
  <c r="FD40" i="4"/>
  <c r="FE40" i="4"/>
  <c r="FF40" i="4"/>
  <c r="FG40" i="4"/>
  <c r="FH40" i="4"/>
  <c r="FI40" i="4"/>
  <c r="FJ40" i="4"/>
  <c r="FK40" i="4"/>
  <c r="FL40" i="4"/>
  <c r="FM40" i="4"/>
  <c r="FN40" i="4"/>
  <c r="FO40" i="4"/>
  <c r="FP40" i="4"/>
  <c r="FQ40" i="4"/>
  <c r="FR40" i="4"/>
  <c r="FS40" i="4"/>
  <c r="FT40" i="4"/>
  <c r="FU40" i="4"/>
  <c r="FV40" i="4"/>
  <c r="FW40" i="4"/>
  <c r="FX40" i="4"/>
  <c r="FY40" i="4"/>
  <c r="FZ40" i="4"/>
  <c r="GA40" i="4"/>
  <c r="GB40" i="4"/>
  <c r="GC40" i="4"/>
  <c r="GD40" i="4"/>
  <c r="GE40" i="4"/>
  <c r="GF40" i="4"/>
  <c r="GG40" i="4"/>
  <c r="GH40" i="4"/>
  <c r="GI40" i="4"/>
  <c r="GJ40" i="4"/>
  <c r="GK40" i="4"/>
  <c r="GL40" i="4"/>
  <c r="GM40" i="4"/>
  <c r="GN40" i="4"/>
  <c r="GO40" i="4"/>
  <c r="GP40" i="4"/>
  <c r="GQ40" i="4"/>
  <c r="GR40" i="4"/>
  <c r="GS40" i="4"/>
  <c r="GT40" i="4"/>
  <c r="GU40" i="4"/>
  <c r="GV40" i="4"/>
  <c r="GW40" i="4"/>
  <c r="GX40" i="4"/>
  <c r="GY40" i="4"/>
  <c r="GZ40" i="4"/>
  <c r="HA40" i="4"/>
  <c r="HB40" i="4"/>
  <c r="HC40" i="4"/>
  <c r="HD40" i="4"/>
  <c r="HE40" i="4"/>
  <c r="HF40" i="4"/>
  <c r="HG40" i="4"/>
  <c r="HH40" i="4"/>
  <c r="HI40" i="4"/>
  <c r="HJ40" i="4"/>
  <c r="HK40" i="4"/>
  <c r="HL40" i="4"/>
  <c r="HM40" i="4"/>
  <c r="HN40" i="4"/>
  <c r="HO40" i="4"/>
  <c r="HP40" i="4"/>
  <c r="HQ40" i="4"/>
  <c r="HR40" i="4"/>
  <c r="HS40" i="4"/>
  <c r="HT40" i="4"/>
  <c r="HU40" i="4"/>
  <c r="HV40" i="4"/>
  <c r="HW40" i="4"/>
  <c r="HX40" i="4"/>
  <c r="HY40" i="4"/>
  <c r="HZ40" i="4"/>
  <c r="IA40" i="4"/>
  <c r="IB40" i="4"/>
  <c r="IC40" i="4"/>
  <c r="ID40" i="4"/>
  <c r="IE40" i="4"/>
  <c r="IF40" i="4"/>
  <c r="IG40" i="4"/>
  <c r="IH40" i="4"/>
  <c r="II40" i="4"/>
  <c r="IJ40" i="4"/>
  <c r="IK40" i="4"/>
  <c r="IL40" i="4"/>
  <c r="IM40" i="4"/>
  <c r="IN40" i="4"/>
  <c r="IO40" i="4"/>
  <c r="IP40" i="4"/>
  <c r="IQ40" i="4"/>
  <c r="IR40" i="4"/>
  <c r="IS40" i="4"/>
  <c r="IT40" i="4"/>
  <c r="IU40" i="4"/>
  <c r="IV40" i="4"/>
  <c r="IW40" i="4"/>
  <c r="IX40" i="4"/>
  <c r="CG41" i="4"/>
  <c r="CH41" i="4"/>
  <c r="CI41" i="4"/>
  <c r="CJ41" i="4"/>
  <c r="CK41" i="4"/>
  <c r="CL41" i="4"/>
  <c r="DE41" i="4"/>
  <c r="DF41" i="4"/>
  <c r="DG41" i="4"/>
  <c r="DH41" i="4"/>
  <c r="DI41" i="4"/>
  <c r="DJ41" i="4"/>
  <c r="DK41" i="4"/>
  <c r="DL41" i="4"/>
  <c r="DM41" i="4"/>
  <c r="DN41" i="4"/>
  <c r="DO41" i="4"/>
  <c r="DP41" i="4"/>
  <c r="DQ41" i="4"/>
  <c r="DR41" i="4"/>
  <c r="DS41" i="4"/>
  <c r="DT41" i="4"/>
  <c r="DU41" i="4"/>
  <c r="DV41" i="4"/>
  <c r="DW41" i="4"/>
  <c r="DX41" i="4"/>
  <c r="DY41" i="4"/>
  <c r="DZ41" i="4"/>
  <c r="EA41" i="4"/>
  <c r="EB41" i="4"/>
  <c r="EC41" i="4"/>
  <c r="ED41" i="4"/>
  <c r="EE41" i="4"/>
  <c r="EF41" i="4"/>
  <c r="EG41" i="4"/>
  <c r="EH41" i="4"/>
  <c r="EI41" i="4"/>
  <c r="EJ41" i="4"/>
  <c r="EK41" i="4"/>
  <c r="EL41" i="4"/>
  <c r="EM41" i="4"/>
  <c r="EN41" i="4"/>
  <c r="EO41" i="4"/>
  <c r="EP41" i="4"/>
  <c r="EQ41" i="4"/>
  <c r="ER41" i="4"/>
  <c r="ES41" i="4"/>
  <c r="ET41" i="4"/>
  <c r="EU41" i="4"/>
  <c r="EV41" i="4"/>
  <c r="EW41" i="4"/>
  <c r="EX41" i="4"/>
  <c r="EY41" i="4"/>
  <c r="EZ41" i="4"/>
  <c r="FA41" i="4"/>
  <c r="FB41" i="4"/>
  <c r="FC41" i="4"/>
  <c r="FD41" i="4"/>
  <c r="FE41" i="4"/>
  <c r="FF41" i="4"/>
  <c r="FG41" i="4"/>
  <c r="FH41" i="4"/>
  <c r="FI41" i="4"/>
  <c r="FJ41" i="4"/>
  <c r="FK41" i="4"/>
  <c r="FL41" i="4"/>
  <c r="FM41" i="4"/>
  <c r="FN41" i="4"/>
  <c r="FO41" i="4"/>
  <c r="FP41" i="4"/>
  <c r="FQ41" i="4"/>
  <c r="FR41" i="4"/>
  <c r="FS41" i="4"/>
  <c r="FT41" i="4"/>
  <c r="FU41" i="4"/>
  <c r="FV41" i="4"/>
  <c r="FW41" i="4"/>
  <c r="FX41" i="4"/>
  <c r="FY41" i="4"/>
  <c r="FZ41" i="4"/>
  <c r="GA41" i="4"/>
  <c r="GB41" i="4"/>
  <c r="GC41" i="4"/>
  <c r="GD41" i="4"/>
  <c r="GE41" i="4"/>
  <c r="GF41" i="4"/>
  <c r="GG41" i="4"/>
  <c r="GH41" i="4"/>
  <c r="GI41" i="4"/>
  <c r="GJ41" i="4"/>
  <c r="GK41" i="4"/>
  <c r="GL41" i="4"/>
  <c r="GM41" i="4"/>
  <c r="GN41" i="4"/>
  <c r="GO41" i="4"/>
  <c r="GP41" i="4"/>
  <c r="GQ41" i="4"/>
  <c r="GR41" i="4"/>
  <c r="GS41" i="4"/>
  <c r="GT41" i="4"/>
  <c r="GU41" i="4"/>
  <c r="GV41" i="4"/>
  <c r="GW41" i="4"/>
  <c r="GX41" i="4"/>
  <c r="GY41" i="4"/>
  <c r="GZ41" i="4"/>
  <c r="HA41" i="4"/>
  <c r="HB41" i="4"/>
  <c r="HC41" i="4"/>
  <c r="HD41" i="4"/>
  <c r="HE41" i="4"/>
  <c r="HF41" i="4"/>
  <c r="HG41" i="4"/>
  <c r="HH41" i="4"/>
  <c r="HI41" i="4"/>
  <c r="HJ41" i="4"/>
  <c r="HK41" i="4"/>
  <c r="HL41" i="4"/>
  <c r="HM41" i="4"/>
  <c r="HN41" i="4"/>
  <c r="HO41" i="4"/>
  <c r="HP41" i="4"/>
  <c r="HQ41" i="4"/>
  <c r="HR41" i="4"/>
  <c r="HS41" i="4"/>
  <c r="HT41" i="4"/>
  <c r="HU41" i="4"/>
  <c r="HV41" i="4"/>
  <c r="HW41" i="4"/>
  <c r="HX41" i="4"/>
  <c r="HY41" i="4"/>
  <c r="HZ41" i="4"/>
  <c r="IA41" i="4"/>
  <c r="IB41" i="4"/>
  <c r="IC41" i="4"/>
  <c r="ID41" i="4"/>
  <c r="IE41" i="4"/>
  <c r="IF41" i="4"/>
  <c r="IG41" i="4"/>
  <c r="IH41" i="4"/>
  <c r="II41" i="4"/>
  <c r="IJ41" i="4"/>
  <c r="IK41" i="4"/>
  <c r="IL41" i="4"/>
  <c r="IM41" i="4"/>
  <c r="IN41" i="4"/>
  <c r="IO41" i="4"/>
  <c r="IP41" i="4"/>
  <c r="IQ41" i="4"/>
  <c r="IR41" i="4"/>
  <c r="IS41" i="4"/>
  <c r="IT41" i="4"/>
  <c r="IU41" i="4"/>
  <c r="IV41" i="4"/>
  <c r="IW41" i="4"/>
  <c r="IX41" i="4"/>
  <c r="D37" i="20"/>
  <c r="E37" i="20" s="1"/>
  <c r="F37" i="20" s="1"/>
  <c r="G37" i="20" s="1"/>
  <c r="H37" i="20" s="1"/>
  <c r="I37" i="20" s="1"/>
  <c r="J37" i="20" s="1"/>
  <c r="K37" i="20" s="1"/>
  <c r="L37" i="20" s="1"/>
  <c r="M37" i="20" s="1"/>
  <c r="N37" i="20" s="1"/>
  <c r="O37" i="20" s="1"/>
  <c r="P37" i="20" s="1"/>
  <c r="Q37" i="20" s="1"/>
  <c r="R37" i="20" s="1"/>
  <c r="S37" i="20" s="1"/>
  <c r="T37" i="20" s="1"/>
  <c r="U37" i="20" s="1"/>
  <c r="V37" i="20" s="1"/>
  <c r="W37" i="20" s="1"/>
  <c r="X37" i="20" s="1"/>
  <c r="Y37" i="20" s="1"/>
  <c r="Z37" i="20" s="1"/>
  <c r="AA37" i="20" s="1"/>
  <c r="AB37" i="20" s="1"/>
  <c r="AC37" i="20" s="1"/>
  <c r="AD37" i="20" s="1"/>
  <c r="AE37" i="20" s="1"/>
  <c r="AF37" i="20" s="1"/>
  <c r="AG37" i="20" s="1"/>
  <c r="AH37" i="20" s="1"/>
  <c r="AI37" i="20" s="1"/>
  <c r="AJ37" i="20" s="1"/>
  <c r="AK37" i="20" s="1"/>
  <c r="AL37" i="20" s="1"/>
  <c r="AM37" i="20" s="1"/>
  <c r="AN37" i="20" s="1"/>
  <c r="AO37" i="20" s="1"/>
  <c r="AP37" i="20" s="1"/>
  <c r="AQ37" i="20" s="1"/>
  <c r="AR37" i="20" s="1"/>
  <c r="AS37" i="20" s="1"/>
  <c r="AT37" i="20" s="1"/>
  <c r="AU37" i="20" s="1"/>
  <c r="AV37" i="20" s="1"/>
  <c r="AW37" i="20" s="1"/>
  <c r="AX37" i="20" s="1"/>
  <c r="AY37" i="20" s="1"/>
  <c r="AZ37" i="20" s="1"/>
  <c r="BA37" i="20" s="1"/>
  <c r="BB37" i="20" s="1"/>
  <c r="BC37" i="20" s="1"/>
  <c r="BD37" i="20" s="1"/>
  <c r="BE37" i="20" s="1"/>
  <c r="BF37" i="20" s="1"/>
  <c r="BG37" i="20" s="1"/>
  <c r="BH37" i="20" s="1"/>
  <c r="BI37" i="20" s="1"/>
  <c r="BJ37" i="20" s="1"/>
  <c r="BK37" i="20" s="1"/>
  <c r="BL37" i="20" s="1"/>
  <c r="BM37" i="20" s="1"/>
  <c r="BN37" i="20" s="1"/>
  <c r="BO37" i="20" s="1"/>
  <c r="BP37" i="20" s="1"/>
  <c r="BQ37" i="20" s="1"/>
  <c r="BR37" i="20" s="1"/>
  <c r="BS37" i="20" s="1"/>
  <c r="BT37" i="20" s="1"/>
  <c r="BU37" i="20" s="1"/>
  <c r="BV37" i="20" s="1"/>
  <c r="BW37" i="20" s="1"/>
  <c r="BX37" i="20" s="1"/>
  <c r="BY37" i="20" s="1"/>
  <c r="BZ37" i="20" s="1"/>
  <c r="CA37" i="20" s="1"/>
  <c r="CB37" i="20" s="1"/>
  <c r="CC37" i="20" s="1"/>
  <c r="CD37" i="20" s="1"/>
  <c r="CE37" i="20" s="1"/>
  <c r="CF37" i="20" s="1"/>
  <c r="CG37" i="20" s="1"/>
  <c r="CH37" i="20" s="1"/>
  <c r="CI37" i="20" s="1"/>
  <c r="CJ37" i="20" s="1"/>
  <c r="CK37" i="20" s="1"/>
  <c r="CL37" i="20" s="1"/>
  <c r="CM37" i="20" s="1"/>
  <c r="CN37" i="20" s="1"/>
  <c r="CO37" i="20" s="1"/>
  <c r="CP37" i="20" s="1"/>
  <c r="CQ37" i="20" s="1"/>
  <c r="CR37" i="20" s="1"/>
  <c r="CS37" i="20" s="1"/>
  <c r="CT37" i="20" s="1"/>
  <c r="CU37" i="20" s="1"/>
  <c r="CV37" i="20" s="1"/>
  <c r="CW37" i="20" s="1"/>
  <c r="CX37" i="20" s="1"/>
  <c r="CY37" i="20" s="1"/>
  <c r="CZ37" i="20" s="1"/>
  <c r="DA37" i="20" s="1"/>
  <c r="DB37" i="20" s="1"/>
  <c r="DC37" i="20" s="1"/>
  <c r="DD37" i="20" s="1"/>
  <c r="DE37" i="20" s="1"/>
  <c r="DF37" i="20" s="1"/>
  <c r="DG37" i="20" s="1"/>
  <c r="DH37" i="20" s="1"/>
  <c r="DI37" i="20" s="1"/>
  <c r="DJ37" i="20" s="1"/>
  <c r="DK37" i="20" s="1"/>
  <c r="DL37" i="20" s="1"/>
  <c r="DM37" i="20" s="1"/>
  <c r="DN37" i="20" s="1"/>
  <c r="DO37" i="20" s="1"/>
  <c r="DP37" i="20" s="1"/>
  <c r="DQ37" i="20" s="1"/>
  <c r="DR37" i="20" s="1"/>
  <c r="DS37" i="20" s="1"/>
  <c r="DT37" i="20" s="1"/>
  <c r="DU37" i="20" s="1"/>
  <c r="DV37" i="20" s="1"/>
  <c r="DW37" i="20" s="1"/>
  <c r="DX37" i="20" s="1"/>
  <c r="DY37" i="20" s="1"/>
  <c r="DZ37" i="20" s="1"/>
  <c r="EA37" i="20" s="1"/>
  <c r="EB37" i="20" s="1"/>
  <c r="EC37" i="20" s="1"/>
  <c r="ED37" i="20" s="1"/>
  <c r="EE37" i="20" s="1"/>
  <c r="EF37" i="20" s="1"/>
  <c r="EG37" i="20" s="1"/>
  <c r="EH37" i="20" s="1"/>
  <c r="EI37" i="20" s="1"/>
  <c r="EJ37" i="20" s="1"/>
  <c r="EK37" i="20" s="1"/>
  <c r="EL37" i="20" s="1"/>
  <c r="EM37" i="20" s="1"/>
  <c r="EN37" i="20" s="1"/>
  <c r="EO37" i="20" s="1"/>
  <c r="EP37" i="20" s="1"/>
  <c r="EQ37" i="20" s="1"/>
  <c r="ER37" i="20" s="1"/>
  <c r="ES37" i="20" s="1"/>
  <c r="ET37" i="20" s="1"/>
  <c r="EU37" i="20" s="1"/>
  <c r="EV37" i="20" s="1"/>
  <c r="EW37" i="20" s="1"/>
  <c r="EX37" i="20" s="1"/>
  <c r="EY37" i="20" s="1"/>
  <c r="EZ37" i="20" s="1"/>
  <c r="FA37" i="20" s="1"/>
  <c r="FB37" i="20" s="1"/>
  <c r="FC37" i="20" s="1"/>
  <c r="FD37" i="20" s="1"/>
  <c r="FE37" i="20" s="1"/>
  <c r="FF37" i="20" s="1"/>
  <c r="FG37" i="20" s="1"/>
  <c r="FH37" i="20" s="1"/>
  <c r="FI37" i="20" s="1"/>
  <c r="FJ37" i="20" s="1"/>
  <c r="FK37" i="20" s="1"/>
  <c r="FL37" i="20" s="1"/>
  <c r="FM37" i="20" s="1"/>
  <c r="FN37" i="20" s="1"/>
  <c r="FO37" i="20" s="1"/>
  <c r="FP37" i="20" s="1"/>
  <c r="FQ37" i="20" s="1"/>
  <c r="FR37" i="20" s="1"/>
  <c r="FS37" i="20" s="1"/>
  <c r="FT37" i="20" s="1"/>
  <c r="FU37" i="20" s="1"/>
  <c r="FV37" i="20" s="1"/>
  <c r="FW37" i="20" s="1"/>
  <c r="FX37" i="20" s="1"/>
  <c r="FY37" i="20" s="1"/>
  <c r="FZ37" i="20" s="1"/>
  <c r="GA37" i="20" s="1"/>
  <c r="GB37" i="20" s="1"/>
  <c r="GC37" i="20" s="1"/>
  <c r="GD37" i="20" s="1"/>
  <c r="GE37" i="20" s="1"/>
  <c r="GF37" i="20" s="1"/>
  <c r="GG37" i="20" s="1"/>
  <c r="GH37" i="20" s="1"/>
  <c r="GI37" i="20" s="1"/>
  <c r="GJ37" i="20" s="1"/>
  <c r="GK37" i="20" s="1"/>
  <c r="GL37" i="20" s="1"/>
  <c r="GM37" i="20" s="1"/>
  <c r="GN37" i="20" s="1"/>
  <c r="GO37" i="20" s="1"/>
  <c r="GP37" i="20" s="1"/>
  <c r="GQ37" i="20" s="1"/>
  <c r="GR37" i="20" s="1"/>
  <c r="GS37" i="20" s="1"/>
  <c r="GT37" i="20" s="1"/>
  <c r="GU37" i="20" s="1"/>
  <c r="GV37" i="20" s="1"/>
  <c r="GW37" i="20" s="1"/>
  <c r="GX37" i="20" s="1"/>
  <c r="GY37" i="20" s="1"/>
  <c r="GZ37" i="20" s="1"/>
  <c r="HA37" i="20" s="1"/>
  <c r="HB37" i="20" s="1"/>
  <c r="HC37" i="20" s="1"/>
  <c r="HD37" i="20" s="1"/>
  <c r="HE37" i="20" s="1"/>
  <c r="HF37" i="20" s="1"/>
  <c r="HG37" i="20" s="1"/>
  <c r="HH37" i="20" s="1"/>
  <c r="HI37" i="20" s="1"/>
  <c r="HJ37" i="20" s="1"/>
  <c r="HK37" i="20" s="1"/>
  <c r="HL37" i="20" s="1"/>
  <c r="HM37" i="20" s="1"/>
  <c r="HN37" i="20" s="1"/>
  <c r="HO37" i="20" s="1"/>
  <c r="HP37" i="20" s="1"/>
  <c r="HQ37" i="20" s="1"/>
  <c r="HR37" i="20" s="1"/>
  <c r="HS37" i="20" s="1"/>
  <c r="HT37" i="20" s="1"/>
  <c r="HU37" i="20" s="1"/>
  <c r="HV37" i="20" s="1"/>
  <c r="HW37" i="20" s="1"/>
  <c r="HX37" i="20" s="1"/>
  <c r="HY37" i="20" s="1"/>
  <c r="HZ37" i="20" s="1"/>
  <c r="IA37" i="20" s="1"/>
  <c r="IB37" i="20" s="1"/>
  <c r="IC37" i="20" s="1"/>
  <c r="ID37" i="20" s="1"/>
  <c r="IE37" i="20" s="1"/>
  <c r="IF37" i="20" s="1"/>
  <c r="IG37" i="20" s="1"/>
  <c r="IH37" i="20" s="1"/>
  <c r="II37" i="20" s="1"/>
  <c r="IJ37" i="20" s="1"/>
  <c r="IK37" i="20" s="1"/>
  <c r="IL37" i="20" s="1"/>
  <c r="IM37" i="20" s="1"/>
  <c r="IN37" i="20" s="1"/>
  <c r="IO37" i="20" s="1"/>
  <c r="IP37" i="20" s="1"/>
  <c r="IQ37" i="20" s="1"/>
  <c r="IR37" i="20" s="1"/>
  <c r="IS37" i="20" s="1"/>
  <c r="IT37" i="20" s="1"/>
  <c r="IU37" i="20" s="1"/>
  <c r="IV37" i="20" s="1"/>
  <c r="IW37" i="20" s="1"/>
  <c r="D36" i="20"/>
  <c r="E36" i="20" s="1"/>
  <c r="F36" i="20" s="1"/>
  <c r="G36" i="20" s="1"/>
  <c r="H36" i="20" s="1"/>
  <c r="I36" i="20" s="1"/>
  <c r="J36" i="20" s="1"/>
  <c r="K36" i="20" s="1"/>
  <c r="L36" i="20" s="1"/>
  <c r="M36" i="20" s="1"/>
  <c r="N36" i="20" s="1"/>
  <c r="O36" i="20" s="1"/>
  <c r="P36" i="20" s="1"/>
  <c r="Q36" i="20" s="1"/>
  <c r="R36" i="20" s="1"/>
  <c r="S36" i="20" s="1"/>
  <c r="T36" i="20" s="1"/>
  <c r="U36" i="20" s="1"/>
  <c r="V36" i="20" s="1"/>
  <c r="W36" i="20" s="1"/>
  <c r="X36" i="20" s="1"/>
  <c r="Y36" i="20" s="1"/>
  <c r="Z36" i="20" s="1"/>
  <c r="AA36" i="20" s="1"/>
  <c r="AB36" i="20" s="1"/>
  <c r="AC36" i="20" s="1"/>
  <c r="AD36" i="20" s="1"/>
  <c r="AE36" i="20" s="1"/>
  <c r="AF36" i="20" s="1"/>
  <c r="AG36" i="20" s="1"/>
  <c r="AH36" i="20" s="1"/>
  <c r="AI36" i="20" s="1"/>
  <c r="AJ36" i="20" s="1"/>
  <c r="AK36" i="20" s="1"/>
  <c r="AL36" i="20" s="1"/>
  <c r="AM36" i="20" s="1"/>
  <c r="AN36" i="20" s="1"/>
  <c r="AO36" i="20" s="1"/>
  <c r="AP36" i="20" s="1"/>
  <c r="AQ36" i="20" s="1"/>
  <c r="AR36" i="20" s="1"/>
  <c r="AS36" i="20" s="1"/>
  <c r="AT36" i="20" s="1"/>
  <c r="AU36" i="20" s="1"/>
  <c r="AV36" i="20" s="1"/>
  <c r="AW36" i="20" s="1"/>
  <c r="AX36" i="20" s="1"/>
  <c r="AY36" i="20" s="1"/>
  <c r="AZ36" i="20" s="1"/>
  <c r="BA36" i="20" s="1"/>
  <c r="BB36" i="20" s="1"/>
  <c r="BC36" i="20" s="1"/>
  <c r="BD36" i="20" s="1"/>
  <c r="BE36" i="20" s="1"/>
  <c r="BF36" i="20" s="1"/>
  <c r="BG36" i="20" s="1"/>
  <c r="BH36" i="20" s="1"/>
  <c r="BI36" i="20" s="1"/>
  <c r="BJ36" i="20" s="1"/>
  <c r="BK36" i="20" s="1"/>
  <c r="BL36" i="20" s="1"/>
  <c r="BM36" i="20" s="1"/>
  <c r="BN36" i="20" s="1"/>
  <c r="BO36" i="20" s="1"/>
  <c r="BP36" i="20" s="1"/>
  <c r="BQ36" i="20" s="1"/>
  <c r="BR36" i="20" s="1"/>
  <c r="BS36" i="20" s="1"/>
  <c r="BT36" i="20" s="1"/>
  <c r="BU36" i="20" s="1"/>
  <c r="BV36" i="20" s="1"/>
  <c r="BW36" i="20" s="1"/>
  <c r="BX36" i="20" s="1"/>
  <c r="BY36" i="20" s="1"/>
  <c r="BZ36" i="20" s="1"/>
  <c r="CA36" i="20" s="1"/>
  <c r="CB36" i="20" s="1"/>
  <c r="CC36" i="20" s="1"/>
  <c r="CD36" i="20" s="1"/>
  <c r="CE36" i="20" s="1"/>
  <c r="CF36" i="20" s="1"/>
  <c r="CG36" i="20" s="1"/>
  <c r="CH36" i="20" s="1"/>
  <c r="CI36" i="20" s="1"/>
  <c r="CJ36" i="20" s="1"/>
  <c r="CK36" i="20" s="1"/>
  <c r="CL36" i="20" s="1"/>
  <c r="CM36" i="20" s="1"/>
  <c r="CN36" i="20" s="1"/>
  <c r="CO36" i="20" s="1"/>
  <c r="CP36" i="20" s="1"/>
  <c r="CQ36" i="20" s="1"/>
  <c r="CR36" i="20" s="1"/>
  <c r="CS36" i="20" s="1"/>
  <c r="CT36" i="20" s="1"/>
  <c r="CU36" i="20" s="1"/>
  <c r="CV36" i="20" s="1"/>
  <c r="CW36" i="20" s="1"/>
  <c r="CX36" i="20" s="1"/>
  <c r="CY36" i="20" s="1"/>
  <c r="CZ36" i="20" s="1"/>
  <c r="DA36" i="20" s="1"/>
  <c r="DB36" i="20" s="1"/>
  <c r="DC36" i="20" s="1"/>
  <c r="DD36" i="20" s="1"/>
  <c r="DE36" i="20" s="1"/>
  <c r="DF36" i="20" s="1"/>
  <c r="DG36" i="20" s="1"/>
  <c r="DH36" i="20" s="1"/>
  <c r="DI36" i="20" s="1"/>
  <c r="DJ36" i="20" s="1"/>
  <c r="DK36" i="20" s="1"/>
  <c r="DL36" i="20" s="1"/>
  <c r="DM36" i="20" s="1"/>
  <c r="DN36" i="20" s="1"/>
  <c r="DO36" i="20" s="1"/>
  <c r="DP36" i="20" s="1"/>
  <c r="DQ36" i="20" s="1"/>
  <c r="DR36" i="20" s="1"/>
  <c r="DS36" i="20" s="1"/>
  <c r="DT36" i="20" s="1"/>
  <c r="DU36" i="20" s="1"/>
  <c r="DV36" i="20" s="1"/>
  <c r="DW36" i="20" s="1"/>
  <c r="DX36" i="20" s="1"/>
  <c r="DY36" i="20" s="1"/>
  <c r="DZ36" i="20" s="1"/>
  <c r="EA36" i="20" s="1"/>
  <c r="EB36" i="20" s="1"/>
  <c r="EC36" i="20" s="1"/>
  <c r="ED36" i="20" s="1"/>
  <c r="EE36" i="20" s="1"/>
  <c r="EF36" i="20" s="1"/>
  <c r="EG36" i="20" s="1"/>
  <c r="EH36" i="20" s="1"/>
  <c r="EI36" i="20" s="1"/>
  <c r="EJ36" i="20" s="1"/>
  <c r="EK36" i="20" s="1"/>
  <c r="EL36" i="20" s="1"/>
  <c r="EM36" i="20" s="1"/>
  <c r="EN36" i="20" s="1"/>
  <c r="EO36" i="20" s="1"/>
  <c r="EP36" i="20" s="1"/>
  <c r="EQ36" i="20" s="1"/>
  <c r="ER36" i="20" s="1"/>
  <c r="ES36" i="20" s="1"/>
  <c r="ET36" i="20" s="1"/>
  <c r="EU36" i="20" s="1"/>
  <c r="EV36" i="20" s="1"/>
  <c r="EW36" i="20" s="1"/>
  <c r="EX36" i="20" s="1"/>
  <c r="EY36" i="20" s="1"/>
  <c r="EZ36" i="20" s="1"/>
  <c r="FA36" i="20" s="1"/>
  <c r="FB36" i="20" s="1"/>
  <c r="FC36" i="20" s="1"/>
  <c r="FD36" i="20" s="1"/>
  <c r="FE36" i="20" s="1"/>
  <c r="FF36" i="20" s="1"/>
  <c r="FG36" i="20" s="1"/>
  <c r="FH36" i="20" s="1"/>
  <c r="FI36" i="20" s="1"/>
  <c r="FJ36" i="20" s="1"/>
  <c r="FK36" i="20" s="1"/>
  <c r="FL36" i="20" s="1"/>
  <c r="FM36" i="20" s="1"/>
  <c r="FN36" i="20" s="1"/>
  <c r="FO36" i="20" s="1"/>
  <c r="FP36" i="20" s="1"/>
  <c r="FQ36" i="20" s="1"/>
  <c r="FR36" i="20" s="1"/>
  <c r="FS36" i="20" s="1"/>
  <c r="FT36" i="20" s="1"/>
  <c r="FU36" i="20" s="1"/>
  <c r="FV36" i="20" s="1"/>
  <c r="FW36" i="20" s="1"/>
  <c r="FX36" i="20" s="1"/>
  <c r="FY36" i="20" s="1"/>
  <c r="FZ36" i="20" s="1"/>
  <c r="GA36" i="20" s="1"/>
  <c r="GB36" i="20" s="1"/>
  <c r="GC36" i="20" s="1"/>
  <c r="GD36" i="20" s="1"/>
  <c r="GE36" i="20" s="1"/>
  <c r="GF36" i="20" s="1"/>
  <c r="GG36" i="20" s="1"/>
  <c r="GH36" i="20" s="1"/>
  <c r="GI36" i="20" s="1"/>
  <c r="GJ36" i="20" s="1"/>
  <c r="GK36" i="20" s="1"/>
  <c r="GL36" i="20" s="1"/>
  <c r="GM36" i="20" s="1"/>
  <c r="GN36" i="20" s="1"/>
  <c r="GO36" i="20" s="1"/>
  <c r="GP36" i="20" s="1"/>
  <c r="GQ36" i="20" s="1"/>
  <c r="GR36" i="20" s="1"/>
  <c r="GS36" i="20" s="1"/>
  <c r="GT36" i="20" s="1"/>
  <c r="GU36" i="20" s="1"/>
  <c r="GV36" i="20" s="1"/>
  <c r="GW36" i="20" s="1"/>
  <c r="GX36" i="20" s="1"/>
  <c r="GY36" i="20" s="1"/>
  <c r="GZ36" i="20" s="1"/>
  <c r="HA36" i="20" s="1"/>
  <c r="HB36" i="20" s="1"/>
  <c r="HC36" i="20" s="1"/>
  <c r="HD36" i="20" s="1"/>
  <c r="HE36" i="20" s="1"/>
  <c r="HF36" i="20" s="1"/>
  <c r="HG36" i="20" s="1"/>
  <c r="HH36" i="20" s="1"/>
  <c r="HI36" i="20" s="1"/>
  <c r="HJ36" i="20" s="1"/>
  <c r="HK36" i="20" s="1"/>
  <c r="HL36" i="20" s="1"/>
  <c r="HM36" i="20" s="1"/>
  <c r="HN36" i="20" s="1"/>
  <c r="HO36" i="20" s="1"/>
  <c r="HP36" i="20" s="1"/>
  <c r="HQ36" i="20" s="1"/>
  <c r="HR36" i="20" s="1"/>
  <c r="HS36" i="20" s="1"/>
  <c r="HT36" i="20" s="1"/>
  <c r="HU36" i="20" s="1"/>
  <c r="HV36" i="20" s="1"/>
  <c r="HW36" i="20" s="1"/>
  <c r="HX36" i="20" s="1"/>
  <c r="HY36" i="20" s="1"/>
  <c r="HZ36" i="20" s="1"/>
  <c r="IA36" i="20" s="1"/>
  <c r="IB36" i="20" s="1"/>
  <c r="IC36" i="20" s="1"/>
  <c r="ID36" i="20" s="1"/>
  <c r="IE36" i="20" s="1"/>
  <c r="IF36" i="20" s="1"/>
  <c r="IG36" i="20" s="1"/>
  <c r="IH36" i="20" s="1"/>
  <c r="II36" i="20" s="1"/>
  <c r="IJ36" i="20" s="1"/>
  <c r="IK36" i="20" s="1"/>
  <c r="IL36" i="20" s="1"/>
  <c r="IM36" i="20" s="1"/>
  <c r="IN36" i="20" s="1"/>
  <c r="IO36" i="20" s="1"/>
  <c r="IP36" i="20" s="1"/>
  <c r="IQ36" i="20" s="1"/>
  <c r="IR36" i="20" s="1"/>
  <c r="IS36" i="20" s="1"/>
  <c r="IT36" i="20" s="1"/>
  <c r="IU36" i="20" s="1"/>
  <c r="IV36" i="20" s="1"/>
  <c r="IW36" i="20" s="1"/>
  <c r="D35" i="20"/>
  <c r="E35" i="20" s="1"/>
  <c r="F35" i="20" s="1"/>
  <c r="G35" i="20" s="1"/>
  <c r="H35" i="20" s="1"/>
  <c r="I35" i="20" s="1"/>
  <c r="J35" i="20" s="1"/>
  <c r="K35" i="20" s="1"/>
  <c r="L35" i="20" s="1"/>
  <c r="M35" i="20" s="1"/>
  <c r="N35" i="20" s="1"/>
  <c r="O35" i="20" s="1"/>
  <c r="P35" i="20" s="1"/>
  <c r="Q35" i="20" s="1"/>
  <c r="R35" i="20" s="1"/>
  <c r="S35" i="20" s="1"/>
  <c r="T35" i="20" s="1"/>
  <c r="U35" i="20" s="1"/>
  <c r="V35" i="20" s="1"/>
  <c r="W35" i="20" s="1"/>
  <c r="X35" i="20" s="1"/>
  <c r="Y35" i="20" s="1"/>
  <c r="Z35" i="20" s="1"/>
  <c r="AA35" i="20" s="1"/>
  <c r="AB35" i="20" s="1"/>
  <c r="AC35" i="20" s="1"/>
  <c r="AD35" i="20" s="1"/>
  <c r="AE35" i="20" s="1"/>
  <c r="AF35" i="20" s="1"/>
  <c r="AG35" i="20" s="1"/>
  <c r="AH35" i="20" s="1"/>
  <c r="AI35" i="20" s="1"/>
  <c r="AJ35" i="20" s="1"/>
  <c r="AK35" i="20" s="1"/>
  <c r="AL35" i="20" s="1"/>
  <c r="AM35" i="20" s="1"/>
  <c r="AN35" i="20" s="1"/>
  <c r="AO35" i="20" s="1"/>
  <c r="AP35" i="20" s="1"/>
  <c r="AQ35" i="20" s="1"/>
  <c r="AR35" i="20" s="1"/>
  <c r="AS35" i="20" s="1"/>
  <c r="AT35" i="20" s="1"/>
  <c r="AU35" i="20" s="1"/>
  <c r="AV35" i="20" s="1"/>
  <c r="AW35" i="20" s="1"/>
  <c r="AX35" i="20" s="1"/>
  <c r="AY35" i="20" s="1"/>
  <c r="AZ35" i="20" s="1"/>
  <c r="BA35" i="20" s="1"/>
  <c r="BB35" i="20" s="1"/>
  <c r="BC35" i="20" s="1"/>
  <c r="BD35" i="20" s="1"/>
  <c r="BE35" i="20" s="1"/>
  <c r="BF35" i="20" s="1"/>
  <c r="BG35" i="20" s="1"/>
  <c r="BH35" i="20" s="1"/>
  <c r="BI35" i="20" s="1"/>
  <c r="BJ35" i="20" s="1"/>
  <c r="BK35" i="20" s="1"/>
  <c r="BL35" i="20" s="1"/>
  <c r="BM35" i="20" s="1"/>
  <c r="BN35" i="20" s="1"/>
  <c r="BO35" i="20" s="1"/>
  <c r="BP35" i="20" s="1"/>
  <c r="BQ35" i="20" s="1"/>
  <c r="BR35" i="20" s="1"/>
  <c r="BS35" i="20" s="1"/>
  <c r="BT35" i="20" s="1"/>
  <c r="BU35" i="20" s="1"/>
  <c r="BV35" i="20" s="1"/>
  <c r="BW35" i="20" s="1"/>
  <c r="BX35" i="20" s="1"/>
  <c r="BY35" i="20" s="1"/>
  <c r="BZ35" i="20" s="1"/>
  <c r="CA35" i="20" s="1"/>
  <c r="CB35" i="20" s="1"/>
  <c r="CC35" i="20" s="1"/>
  <c r="CD35" i="20" s="1"/>
  <c r="CE35" i="20" s="1"/>
  <c r="CF35" i="20" s="1"/>
  <c r="CG35" i="20" s="1"/>
  <c r="CH35" i="20" s="1"/>
  <c r="CI35" i="20" s="1"/>
  <c r="CJ35" i="20" s="1"/>
  <c r="CK35" i="20" s="1"/>
  <c r="CL35" i="20" s="1"/>
  <c r="CM35" i="20" s="1"/>
  <c r="CN35" i="20" s="1"/>
  <c r="CO35" i="20" s="1"/>
  <c r="CP35" i="20" s="1"/>
  <c r="CQ35" i="20" s="1"/>
  <c r="CR35" i="20" s="1"/>
  <c r="CS35" i="20" s="1"/>
  <c r="CT35" i="20" s="1"/>
  <c r="CU35" i="20" s="1"/>
  <c r="CV35" i="20" s="1"/>
  <c r="CW35" i="20" s="1"/>
  <c r="CX35" i="20" s="1"/>
  <c r="CY35" i="20" s="1"/>
  <c r="CZ35" i="20" s="1"/>
  <c r="DA35" i="20" s="1"/>
  <c r="DB35" i="20" s="1"/>
  <c r="DC35" i="20" s="1"/>
  <c r="DD35" i="20" s="1"/>
  <c r="DE35" i="20" s="1"/>
  <c r="DF35" i="20" s="1"/>
  <c r="DG35" i="20" s="1"/>
  <c r="DH35" i="20" s="1"/>
  <c r="DI35" i="20" s="1"/>
  <c r="DJ35" i="20" s="1"/>
  <c r="DK35" i="20" s="1"/>
  <c r="DL35" i="20" s="1"/>
  <c r="DM35" i="20" s="1"/>
  <c r="DN35" i="20" s="1"/>
  <c r="DO35" i="20" s="1"/>
  <c r="DP35" i="20" s="1"/>
  <c r="DQ35" i="20" s="1"/>
  <c r="DR35" i="20" s="1"/>
  <c r="DS35" i="20" s="1"/>
  <c r="DT35" i="20" s="1"/>
  <c r="DU35" i="20" s="1"/>
  <c r="DV35" i="20" s="1"/>
  <c r="DW35" i="20" s="1"/>
  <c r="DX35" i="20" s="1"/>
  <c r="DY35" i="20" s="1"/>
  <c r="DZ35" i="20" s="1"/>
  <c r="EA35" i="20" s="1"/>
  <c r="EB35" i="20" s="1"/>
  <c r="EC35" i="20" s="1"/>
  <c r="ED35" i="20" s="1"/>
  <c r="EE35" i="20" s="1"/>
  <c r="EF35" i="20" s="1"/>
  <c r="EG35" i="20" s="1"/>
  <c r="EH35" i="20" s="1"/>
  <c r="EI35" i="20" s="1"/>
  <c r="EJ35" i="20" s="1"/>
  <c r="EK35" i="20" s="1"/>
  <c r="EL35" i="20" s="1"/>
  <c r="EM35" i="20" s="1"/>
  <c r="EN35" i="20" s="1"/>
  <c r="EO35" i="20" s="1"/>
  <c r="EP35" i="20" s="1"/>
  <c r="EQ35" i="20" s="1"/>
  <c r="ER35" i="20" s="1"/>
  <c r="ES35" i="20" s="1"/>
  <c r="ET35" i="20" s="1"/>
  <c r="EU35" i="20" s="1"/>
  <c r="EV35" i="20" s="1"/>
  <c r="EW35" i="20" s="1"/>
  <c r="EX35" i="20" s="1"/>
  <c r="EY35" i="20" s="1"/>
  <c r="EZ35" i="20" s="1"/>
  <c r="FA35" i="20" s="1"/>
  <c r="FB35" i="20" s="1"/>
  <c r="FC35" i="20" s="1"/>
  <c r="FD35" i="20" s="1"/>
  <c r="FE35" i="20" s="1"/>
  <c r="FF35" i="20" s="1"/>
  <c r="FG35" i="20" s="1"/>
  <c r="FH35" i="20" s="1"/>
  <c r="FI35" i="20" s="1"/>
  <c r="FJ35" i="20" s="1"/>
  <c r="FK35" i="20" s="1"/>
  <c r="FL35" i="20" s="1"/>
  <c r="FM35" i="20" s="1"/>
  <c r="FN35" i="20" s="1"/>
  <c r="FO35" i="20" s="1"/>
  <c r="FP35" i="20" s="1"/>
  <c r="FQ35" i="20" s="1"/>
  <c r="FR35" i="20" s="1"/>
  <c r="FS35" i="20" s="1"/>
  <c r="FT35" i="20" s="1"/>
  <c r="FU35" i="20" s="1"/>
  <c r="FV35" i="20" s="1"/>
  <c r="FW35" i="20" s="1"/>
  <c r="FX35" i="20" s="1"/>
  <c r="FY35" i="20" s="1"/>
  <c r="FZ35" i="20" s="1"/>
  <c r="GA35" i="20" s="1"/>
  <c r="GB35" i="20" s="1"/>
  <c r="GC35" i="20" s="1"/>
  <c r="GD35" i="20" s="1"/>
  <c r="GE35" i="20" s="1"/>
  <c r="GF35" i="20" s="1"/>
  <c r="GG35" i="20" s="1"/>
  <c r="GH35" i="20" s="1"/>
  <c r="GI35" i="20" s="1"/>
  <c r="GJ35" i="20" s="1"/>
  <c r="GK35" i="20" s="1"/>
  <c r="GL35" i="20" s="1"/>
  <c r="GM35" i="20" s="1"/>
  <c r="GN35" i="20" s="1"/>
  <c r="GO35" i="20" s="1"/>
  <c r="GP35" i="20" s="1"/>
  <c r="GQ35" i="20" s="1"/>
  <c r="GR35" i="20" s="1"/>
  <c r="GS35" i="20" s="1"/>
  <c r="GT35" i="20" s="1"/>
  <c r="GU35" i="20" s="1"/>
  <c r="GV35" i="20" s="1"/>
  <c r="GW35" i="20" s="1"/>
  <c r="GX35" i="20" s="1"/>
  <c r="GY35" i="20" s="1"/>
  <c r="GZ35" i="20" s="1"/>
  <c r="HA35" i="20" s="1"/>
  <c r="HB35" i="20" s="1"/>
  <c r="HC35" i="20" s="1"/>
  <c r="HD35" i="20" s="1"/>
  <c r="HE35" i="20" s="1"/>
  <c r="HF35" i="20" s="1"/>
  <c r="HG35" i="20" s="1"/>
  <c r="HH35" i="20" s="1"/>
  <c r="HI35" i="20" s="1"/>
  <c r="HJ35" i="20" s="1"/>
  <c r="HK35" i="20" s="1"/>
  <c r="HL35" i="20" s="1"/>
  <c r="HM35" i="20" s="1"/>
  <c r="HN35" i="20" s="1"/>
  <c r="HO35" i="20" s="1"/>
  <c r="HP35" i="20" s="1"/>
  <c r="HQ35" i="20" s="1"/>
  <c r="HR35" i="20" s="1"/>
  <c r="HS35" i="20" s="1"/>
  <c r="HT35" i="20" s="1"/>
  <c r="HU35" i="20" s="1"/>
  <c r="HV35" i="20" s="1"/>
  <c r="HW35" i="20" s="1"/>
  <c r="HX35" i="20" s="1"/>
  <c r="HY35" i="20" s="1"/>
  <c r="HZ35" i="20" s="1"/>
  <c r="IA35" i="20" s="1"/>
  <c r="IB35" i="20" s="1"/>
  <c r="IC35" i="20" s="1"/>
  <c r="ID35" i="20" s="1"/>
  <c r="IE35" i="20" s="1"/>
  <c r="IF35" i="20" s="1"/>
  <c r="IG35" i="20" s="1"/>
  <c r="IH35" i="20" s="1"/>
  <c r="II35" i="20" s="1"/>
  <c r="IJ35" i="20" s="1"/>
  <c r="IK35" i="20" s="1"/>
  <c r="IL35" i="20" s="1"/>
  <c r="IM35" i="20" s="1"/>
  <c r="IN35" i="20" s="1"/>
  <c r="IO35" i="20" s="1"/>
  <c r="IP35" i="20" s="1"/>
  <c r="IQ35" i="20" s="1"/>
  <c r="IR35" i="20" s="1"/>
  <c r="IS35" i="20" s="1"/>
  <c r="IT35" i="20" s="1"/>
  <c r="IU35" i="20" s="1"/>
  <c r="IV35" i="20" s="1"/>
  <c r="IW35" i="20" s="1"/>
  <c r="D34" i="20"/>
  <c r="E34" i="20" s="1"/>
  <c r="F34" i="20" s="1"/>
  <c r="G34" i="20" s="1"/>
  <c r="H34" i="20" s="1"/>
  <c r="I34" i="20" s="1"/>
  <c r="J34" i="20" s="1"/>
  <c r="K34" i="20" s="1"/>
  <c r="L34" i="20" s="1"/>
  <c r="M34" i="20" s="1"/>
  <c r="N34" i="20" s="1"/>
  <c r="O34" i="20" s="1"/>
  <c r="P34" i="20" s="1"/>
  <c r="Q34" i="20" s="1"/>
  <c r="R34" i="20" s="1"/>
  <c r="S34" i="20" s="1"/>
  <c r="T34" i="20" s="1"/>
  <c r="U34" i="20" s="1"/>
  <c r="V34" i="20" s="1"/>
  <c r="W34" i="20" s="1"/>
  <c r="X34" i="20" s="1"/>
  <c r="Y34" i="20" s="1"/>
  <c r="Z34" i="20" s="1"/>
  <c r="AA34" i="20" s="1"/>
  <c r="AB34" i="20" s="1"/>
  <c r="AC34" i="20" s="1"/>
  <c r="AD34" i="20" s="1"/>
  <c r="AE34" i="20" s="1"/>
  <c r="AF34" i="20" s="1"/>
  <c r="AG34" i="20" s="1"/>
  <c r="AH34" i="20" s="1"/>
  <c r="AI34" i="20" s="1"/>
  <c r="AJ34" i="20" s="1"/>
  <c r="AK34" i="20" s="1"/>
  <c r="AL34" i="20" s="1"/>
  <c r="AM34" i="20" s="1"/>
  <c r="AN34" i="20" s="1"/>
  <c r="AO34" i="20" s="1"/>
  <c r="AP34" i="20" s="1"/>
  <c r="AQ34" i="20" s="1"/>
  <c r="AR34" i="20" s="1"/>
  <c r="AS34" i="20" s="1"/>
  <c r="AT34" i="20" s="1"/>
  <c r="AU34" i="20" s="1"/>
  <c r="AV34" i="20" s="1"/>
  <c r="AW34" i="20" s="1"/>
  <c r="AX34" i="20" s="1"/>
  <c r="AY34" i="20" s="1"/>
  <c r="AZ34" i="20" s="1"/>
  <c r="BA34" i="20" s="1"/>
  <c r="BB34" i="20" s="1"/>
  <c r="BC34" i="20" s="1"/>
  <c r="BD34" i="20" s="1"/>
  <c r="BE34" i="20" s="1"/>
  <c r="BF34" i="20" s="1"/>
  <c r="BG34" i="20" s="1"/>
  <c r="BH34" i="20" s="1"/>
  <c r="BI34" i="20" s="1"/>
  <c r="BJ34" i="20" s="1"/>
  <c r="BK34" i="20" s="1"/>
  <c r="BL34" i="20" s="1"/>
  <c r="BM34" i="20" s="1"/>
  <c r="BN34" i="20" s="1"/>
  <c r="BO34" i="20" s="1"/>
  <c r="BP34" i="20" s="1"/>
  <c r="BQ34" i="20" s="1"/>
  <c r="BR34" i="20" s="1"/>
  <c r="BS34" i="20" s="1"/>
  <c r="BT34" i="20" s="1"/>
  <c r="BU34" i="20" s="1"/>
  <c r="BV34" i="20" s="1"/>
  <c r="BW34" i="20" s="1"/>
  <c r="BX34" i="20" s="1"/>
  <c r="BY34" i="20" s="1"/>
  <c r="BZ34" i="20" s="1"/>
  <c r="CA34" i="20" s="1"/>
  <c r="CB34" i="20" s="1"/>
  <c r="CC34" i="20" s="1"/>
  <c r="CD34" i="20" s="1"/>
  <c r="CE34" i="20" s="1"/>
  <c r="CF34" i="20" s="1"/>
  <c r="CG34" i="20" s="1"/>
  <c r="CH34" i="20" s="1"/>
  <c r="CI34" i="20" s="1"/>
  <c r="CJ34" i="20" s="1"/>
  <c r="CK34" i="20" s="1"/>
  <c r="CL34" i="20" s="1"/>
  <c r="CM34" i="20" s="1"/>
  <c r="CN34" i="20" s="1"/>
  <c r="CO34" i="20" s="1"/>
  <c r="CP34" i="20" s="1"/>
  <c r="CQ34" i="20" s="1"/>
  <c r="CR34" i="20" s="1"/>
  <c r="CS34" i="20" s="1"/>
  <c r="CT34" i="20" s="1"/>
  <c r="CU34" i="20" s="1"/>
  <c r="CV34" i="20" s="1"/>
  <c r="CW34" i="20" s="1"/>
  <c r="CX34" i="20" s="1"/>
  <c r="CY34" i="20" s="1"/>
  <c r="CZ34" i="20" s="1"/>
  <c r="DA34" i="20" s="1"/>
  <c r="DB34" i="20" s="1"/>
  <c r="DC34" i="20" s="1"/>
  <c r="DD34" i="20" s="1"/>
  <c r="DE34" i="20" s="1"/>
  <c r="DF34" i="20" s="1"/>
  <c r="DG34" i="20" s="1"/>
  <c r="DH34" i="20" s="1"/>
  <c r="DI34" i="20" s="1"/>
  <c r="DJ34" i="20" s="1"/>
  <c r="DK34" i="20" s="1"/>
  <c r="DL34" i="20" s="1"/>
  <c r="DM34" i="20" s="1"/>
  <c r="DN34" i="20" s="1"/>
  <c r="DO34" i="20" s="1"/>
  <c r="DP34" i="20" s="1"/>
  <c r="DQ34" i="20" s="1"/>
  <c r="DR34" i="20" s="1"/>
  <c r="DS34" i="20" s="1"/>
  <c r="DT34" i="20" s="1"/>
  <c r="DU34" i="20" s="1"/>
  <c r="DV34" i="20" s="1"/>
  <c r="DW34" i="20" s="1"/>
  <c r="DX34" i="20" s="1"/>
  <c r="DY34" i="20" s="1"/>
  <c r="DZ34" i="20" s="1"/>
  <c r="EA34" i="20" s="1"/>
  <c r="EB34" i="20" s="1"/>
  <c r="EC34" i="20" s="1"/>
  <c r="ED34" i="20" s="1"/>
  <c r="EE34" i="20" s="1"/>
  <c r="EF34" i="20" s="1"/>
  <c r="EG34" i="20" s="1"/>
  <c r="EH34" i="20" s="1"/>
  <c r="EI34" i="20" s="1"/>
  <c r="EJ34" i="20" s="1"/>
  <c r="EK34" i="20" s="1"/>
  <c r="EL34" i="20" s="1"/>
  <c r="EM34" i="20" s="1"/>
  <c r="EN34" i="20" s="1"/>
  <c r="EO34" i="20" s="1"/>
  <c r="EP34" i="20" s="1"/>
  <c r="EQ34" i="20" s="1"/>
  <c r="ER34" i="20" s="1"/>
  <c r="ES34" i="20" s="1"/>
  <c r="ET34" i="20" s="1"/>
  <c r="EU34" i="20" s="1"/>
  <c r="EV34" i="20" s="1"/>
  <c r="EW34" i="20" s="1"/>
  <c r="EX34" i="20" s="1"/>
  <c r="EY34" i="20" s="1"/>
  <c r="EZ34" i="20" s="1"/>
  <c r="FA34" i="20" s="1"/>
  <c r="FB34" i="20" s="1"/>
  <c r="FC34" i="20" s="1"/>
  <c r="FD34" i="20" s="1"/>
  <c r="FE34" i="20" s="1"/>
  <c r="FF34" i="20" s="1"/>
  <c r="FG34" i="20" s="1"/>
  <c r="FH34" i="20" s="1"/>
  <c r="FI34" i="20" s="1"/>
  <c r="FJ34" i="20" s="1"/>
  <c r="FK34" i="20" s="1"/>
  <c r="FL34" i="20" s="1"/>
  <c r="FM34" i="20" s="1"/>
  <c r="FN34" i="20" s="1"/>
  <c r="FO34" i="20" s="1"/>
  <c r="FP34" i="20" s="1"/>
  <c r="FQ34" i="20" s="1"/>
  <c r="FR34" i="20" s="1"/>
  <c r="FS34" i="20" s="1"/>
  <c r="FT34" i="20" s="1"/>
  <c r="FU34" i="20" s="1"/>
  <c r="FV34" i="20" s="1"/>
  <c r="FW34" i="20" s="1"/>
  <c r="FX34" i="20" s="1"/>
  <c r="FY34" i="20" s="1"/>
  <c r="FZ34" i="20" s="1"/>
  <c r="GA34" i="20" s="1"/>
  <c r="GB34" i="20" s="1"/>
  <c r="GC34" i="20" s="1"/>
  <c r="GD34" i="20" s="1"/>
  <c r="GE34" i="20" s="1"/>
  <c r="GF34" i="20" s="1"/>
  <c r="GG34" i="20" s="1"/>
  <c r="GH34" i="20" s="1"/>
  <c r="GI34" i="20" s="1"/>
  <c r="GJ34" i="20" s="1"/>
  <c r="GK34" i="20" s="1"/>
  <c r="GL34" i="20" s="1"/>
  <c r="GM34" i="20" s="1"/>
  <c r="GN34" i="20" s="1"/>
  <c r="GO34" i="20" s="1"/>
  <c r="GP34" i="20" s="1"/>
  <c r="GQ34" i="20" s="1"/>
  <c r="GR34" i="20" s="1"/>
  <c r="GS34" i="20" s="1"/>
  <c r="GT34" i="20" s="1"/>
  <c r="GU34" i="20" s="1"/>
  <c r="GV34" i="20" s="1"/>
  <c r="GW34" i="20" s="1"/>
  <c r="GX34" i="20" s="1"/>
  <c r="GY34" i="20" s="1"/>
  <c r="GZ34" i="20" s="1"/>
  <c r="HA34" i="20" s="1"/>
  <c r="HB34" i="20" s="1"/>
  <c r="HC34" i="20" s="1"/>
  <c r="HD34" i="20" s="1"/>
  <c r="HE34" i="20" s="1"/>
  <c r="HF34" i="20" s="1"/>
  <c r="HG34" i="20" s="1"/>
  <c r="HH34" i="20" s="1"/>
  <c r="HI34" i="20" s="1"/>
  <c r="HJ34" i="20" s="1"/>
  <c r="HK34" i="20" s="1"/>
  <c r="HL34" i="20" s="1"/>
  <c r="HM34" i="20" s="1"/>
  <c r="HN34" i="20" s="1"/>
  <c r="HO34" i="20" s="1"/>
  <c r="HP34" i="20" s="1"/>
  <c r="HQ34" i="20" s="1"/>
  <c r="HR34" i="20" s="1"/>
  <c r="HS34" i="20" s="1"/>
  <c r="HT34" i="20" s="1"/>
  <c r="HU34" i="20" s="1"/>
  <c r="HV34" i="20" s="1"/>
  <c r="HW34" i="20" s="1"/>
  <c r="HX34" i="20" s="1"/>
  <c r="HY34" i="20" s="1"/>
  <c r="HZ34" i="20" s="1"/>
  <c r="IA34" i="20" s="1"/>
  <c r="IB34" i="20" s="1"/>
  <c r="IC34" i="20" s="1"/>
  <c r="ID34" i="20" s="1"/>
  <c r="IE34" i="20" s="1"/>
  <c r="IF34" i="20" s="1"/>
  <c r="IG34" i="20" s="1"/>
  <c r="IH34" i="20" s="1"/>
  <c r="II34" i="20" s="1"/>
  <c r="IJ34" i="20" s="1"/>
  <c r="IK34" i="20" s="1"/>
  <c r="IL34" i="20" s="1"/>
  <c r="IM34" i="20" s="1"/>
  <c r="IN34" i="20" s="1"/>
  <c r="IO34" i="20" s="1"/>
  <c r="IP34" i="20" s="1"/>
  <c r="IQ34" i="20" s="1"/>
  <c r="IR34" i="20" s="1"/>
  <c r="IS34" i="20" s="1"/>
  <c r="IT34" i="20" s="1"/>
  <c r="IU34" i="20" s="1"/>
  <c r="IV34" i="20" s="1"/>
  <c r="IW34" i="20" s="1"/>
  <c r="IX34" i="20" s="1"/>
  <c r="D33" i="20"/>
  <c r="E33" i="20" s="1"/>
  <c r="F33" i="20" s="1"/>
  <c r="G33" i="20" s="1"/>
  <c r="H33" i="20" s="1"/>
  <c r="I33" i="20" s="1"/>
  <c r="J33" i="20" s="1"/>
  <c r="K33" i="20" s="1"/>
  <c r="L33" i="20" s="1"/>
  <c r="M33" i="20" s="1"/>
  <c r="N33" i="20" s="1"/>
  <c r="O33" i="20" s="1"/>
  <c r="P33" i="20" s="1"/>
  <c r="Q33" i="20" s="1"/>
  <c r="R33" i="20" s="1"/>
  <c r="S33" i="20" s="1"/>
  <c r="T33" i="20" s="1"/>
  <c r="U33" i="20" s="1"/>
  <c r="V33" i="20" s="1"/>
  <c r="W33" i="20" s="1"/>
  <c r="X33" i="20" s="1"/>
  <c r="Y33" i="20" s="1"/>
  <c r="Z33" i="20" s="1"/>
  <c r="AA33" i="20" s="1"/>
  <c r="AB33" i="20" s="1"/>
  <c r="AC33" i="20" s="1"/>
  <c r="AD33" i="20" s="1"/>
  <c r="AE33" i="20" s="1"/>
  <c r="AF33" i="20" s="1"/>
  <c r="AG33" i="20" s="1"/>
  <c r="AH33" i="20" s="1"/>
  <c r="AI33" i="20" s="1"/>
  <c r="AJ33" i="20" s="1"/>
  <c r="AK33" i="20" s="1"/>
  <c r="AL33" i="20" s="1"/>
  <c r="AM33" i="20" s="1"/>
  <c r="AN33" i="20" s="1"/>
  <c r="AO33" i="20" s="1"/>
  <c r="AP33" i="20" s="1"/>
  <c r="AQ33" i="20" s="1"/>
  <c r="AR33" i="20" s="1"/>
  <c r="AS33" i="20" s="1"/>
  <c r="AT33" i="20" s="1"/>
  <c r="AU33" i="20" s="1"/>
  <c r="AV33" i="20" s="1"/>
  <c r="AW33" i="20" s="1"/>
  <c r="AX33" i="20" s="1"/>
  <c r="AY33" i="20" s="1"/>
  <c r="AZ33" i="20" s="1"/>
  <c r="BA33" i="20" s="1"/>
  <c r="BB33" i="20" s="1"/>
  <c r="BC33" i="20" s="1"/>
  <c r="BD33" i="20" s="1"/>
  <c r="BE33" i="20" s="1"/>
  <c r="BF33" i="20" s="1"/>
  <c r="BG33" i="20" s="1"/>
  <c r="BH33" i="20" s="1"/>
  <c r="BI33" i="20" s="1"/>
  <c r="BJ33" i="20" s="1"/>
  <c r="BK33" i="20" s="1"/>
  <c r="BL33" i="20" s="1"/>
  <c r="BM33" i="20" s="1"/>
  <c r="BN33" i="20" s="1"/>
  <c r="BO33" i="20" s="1"/>
  <c r="BP33" i="20" s="1"/>
  <c r="BQ33" i="20" s="1"/>
  <c r="BR33" i="20" s="1"/>
  <c r="BS33" i="20" s="1"/>
  <c r="BT33" i="20" s="1"/>
  <c r="BU33" i="20" s="1"/>
  <c r="BV33" i="20" s="1"/>
  <c r="BW33" i="20" s="1"/>
  <c r="BX33" i="20" s="1"/>
  <c r="BY33" i="20" s="1"/>
  <c r="BZ33" i="20" s="1"/>
  <c r="CA33" i="20" s="1"/>
  <c r="CB33" i="20" s="1"/>
  <c r="CC33" i="20" s="1"/>
  <c r="CD33" i="20" s="1"/>
  <c r="CE33" i="20" s="1"/>
  <c r="CF33" i="20" s="1"/>
  <c r="CG33" i="20" s="1"/>
  <c r="CH33" i="20" s="1"/>
  <c r="CI33" i="20" s="1"/>
  <c r="CJ33" i="20" s="1"/>
  <c r="CK33" i="20" s="1"/>
  <c r="CL33" i="20" s="1"/>
  <c r="CM33" i="20" s="1"/>
  <c r="CN33" i="20" s="1"/>
  <c r="CO33" i="20" s="1"/>
  <c r="CP33" i="20" s="1"/>
  <c r="CQ33" i="20" s="1"/>
  <c r="CR33" i="20" s="1"/>
  <c r="CS33" i="20" s="1"/>
  <c r="CT33" i="20" s="1"/>
  <c r="CU33" i="20" s="1"/>
  <c r="CV33" i="20" s="1"/>
  <c r="CW33" i="20" s="1"/>
  <c r="CX33" i="20" s="1"/>
  <c r="CY33" i="20" s="1"/>
  <c r="CZ33" i="20" s="1"/>
  <c r="DA33" i="20" s="1"/>
  <c r="DB33" i="20" s="1"/>
  <c r="DC33" i="20" s="1"/>
  <c r="DD33" i="20" s="1"/>
  <c r="D32" i="20"/>
  <c r="E32" i="20" s="1"/>
  <c r="F32" i="20" s="1"/>
  <c r="G32" i="20" s="1"/>
  <c r="H32" i="20" s="1"/>
  <c r="I32" i="20" s="1"/>
  <c r="J32" i="20" s="1"/>
  <c r="K32" i="20" s="1"/>
  <c r="L32" i="20" s="1"/>
  <c r="M32" i="20" s="1"/>
  <c r="N32" i="20" s="1"/>
  <c r="O32" i="20" s="1"/>
  <c r="P32" i="20" s="1"/>
  <c r="Q32" i="20" s="1"/>
  <c r="R32" i="20" s="1"/>
  <c r="S32" i="20" s="1"/>
  <c r="T32" i="20" s="1"/>
  <c r="U32" i="20" s="1"/>
  <c r="V32" i="20" s="1"/>
  <c r="W32" i="20" s="1"/>
  <c r="X32" i="20" s="1"/>
  <c r="Y32" i="20" s="1"/>
  <c r="Z32" i="20" s="1"/>
  <c r="AA32" i="20" s="1"/>
  <c r="AB32" i="20" s="1"/>
  <c r="AC32" i="20" s="1"/>
  <c r="AD32" i="20" s="1"/>
  <c r="AE32" i="20" s="1"/>
  <c r="AF32" i="20" s="1"/>
  <c r="AG32" i="20" s="1"/>
  <c r="AH32" i="20" s="1"/>
  <c r="AI32" i="20" s="1"/>
  <c r="AJ32" i="20" s="1"/>
  <c r="AK32" i="20" s="1"/>
  <c r="AL32" i="20" s="1"/>
  <c r="AM32" i="20" s="1"/>
  <c r="AN32" i="20" s="1"/>
  <c r="AO32" i="20" s="1"/>
  <c r="AP32" i="20" s="1"/>
  <c r="AQ32" i="20" s="1"/>
  <c r="AR32" i="20" s="1"/>
  <c r="AS32" i="20" s="1"/>
  <c r="AT32" i="20" s="1"/>
  <c r="AU32" i="20" s="1"/>
  <c r="AV32" i="20" s="1"/>
  <c r="AW32" i="20" s="1"/>
  <c r="AX32" i="20" s="1"/>
  <c r="AY32" i="20" s="1"/>
  <c r="AZ32" i="20" s="1"/>
  <c r="BA32" i="20" s="1"/>
  <c r="BB32" i="20" s="1"/>
  <c r="BC32" i="20" s="1"/>
  <c r="BD32" i="20" s="1"/>
  <c r="BE32" i="20" s="1"/>
  <c r="BF32" i="20" s="1"/>
  <c r="BG32" i="20" s="1"/>
  <c r="BH32" i="20" s="1"/>
  <c r="BI32" i="20" s="1"/>
  <c r="BJ32" i="20" s="1"/>
  <c r="BK32" i="20" s="1"/>
  <c r="BL32" i="20" s="1"/>
  <c r="BM32" i="20" s="1"/>
  <c r="BN32" i="20" s="1"/>
  <c r="BO32" i="20" s="1"/>
  <c r="BP32" i="20" s="1"/>
  <c r="BQ32" i="20" s="1"/>
  <c r="BR32" i="20" s="1"/>
  <c r="BS32" i="20" s="1"/>
  <c r="BT32" i="20" s="1"/>
  <c r="BU32" i="20" s="1"/>
  <c r="BV32" i="20" s="1"/>
  <c r="BW32" i="20" s="1"/>
  <c r="BX32" i="20" s="1"/>
  <c r="BY32" i="20" s="1"/>
  <c r="BZ32" i="20" s="1"/>
  <c r="CA32" i="20" s="1"/>
  <c r="CB32" i="20" s="1"/>
  <c r="CC32" i="20" s="1"/>
  <c r="CD32" i="20" s="1"/>
  <c r="CE32" i="20" s="1"/>
  <c r="CF32" i="20" s="1"/>
  <c r="CG32" i="20" s="1"/>
  <c r="CH32" i="20" s="1"/>
  <c r="CI32" i="20" s="1"/>
  <c r="CJ32" i="20" s="1"/>
  <c r="CK32" i="20" s="1"/>
  <c r="CL32" i="20" s="1"/>
  <c r="CM32" i="20" s="1"/>
  <c r="CN32" i="20" s="1"/>
  <c r="CO32" i="20" s="1"/>
  <c r="CP32" i="20" s="1"/>
  <c r="CQ32" i="20" s="1"/>
  <c r="CR32" i="20" s="1"/>
  <c r="CS32" i="20" s="1"/>
  <c r="CT32" i="20" s="1"/>
  <c r="CU32" i="20" s="1"/>
  <c r="CV32" i="20" s="1"/>
  <c r="CW32" i="20" s="1"/>
  <c r="CX32" i="20" s="1"/>
  <c r="CY32" i="20" s="1"/>
  <c r="CZ32" i="20" s="1"/>
  <c r="DA32" i="20" s="1"/>
  <c r="DB32" i="20" s="1"/>
  <c r="DC32" i="20" s="1"/>
  <c r="DD32" i="20" s="1"/>
  <c r="IY23" i="20"/>
  <c r="IY22" i="20"/>
  <c r="IY21" i="20"/>
  <c r="IY20" i="20"/>
  <c r="IY19" i="20"/>
  <c r="IY18" i="20"/>
  <c r="IY17" i="20"/>
  <c r="IY16" i="20"/>
  <c r="IY15" i="20"/>
  <c r="IY14" i="20"/>
  <c r="IY13" i="20"/>
  <c r="IY12" i="20"/>
  <c r="D37" i="4"/>
  <c r="E37" i="4" s="1"/>
  <c r="F37" i="4" s="1"/>
  <c r="G37" i="4" s="1"/>
  <c r="H37" i="4" s="1"/>
  <c r="I37" i="4" s="1"/>
  <c r="J37" i="4" s="1"/>
  <c r="K37" i="4" s="1"/>
  <c r="L37" i="4" s="1"/>
  <c r="M37" i="4" s="1"/>
  <c r="N37" i="4" s="1"/>
  <c r="O37" i="4" s="1"/>
  <c r="P37" i="4" s="1"/>
  <c r="Q37" i="4" s="1"/>
  <c r="R37" i="4" s="1"/>
  <c r="S37" i="4" s="1"/>
  <c r="T37" i="4" s="1"/>
  <c r="U37" i="4" s="1"/>
  <c r="V37" i="4" s="1"/>
  <c r="W37" i="4" s="1"/>
  <c r="X37" i="4" s="1"/>
  <c r="Y37" i="4" s="1"/>
  <c r="Z37" i="4" s="1"/>
  <c r="AA37" i="4" s="1"/>
  <c r="AB37" i="4" s="1"/>
  <c r="AC37" i="4" s="1"/>
  <c r="AD37" i="4" s="1"/>
  <c r="AE37" i="4" s="1"/>
  <c r="AF37" i="4" s="1"/>
  <c r="AG37" i="4" s="1"/>
  <c r="AH37" i="4" s="1"/>
  <c r="AI37" i="4" s="1"/>
  <c r="AJ37" i="4" s="1"/>
  <c r="AK37" i="4" s="1"/>
  <c r="AL37" i="4" s="1"/>
  <c r="AM37" i="4" s="1"/>
  <c r="AN37" i="4" s="1"/>
  <c r="AO37" i="4" s="1"/>
  <c r="AP37" i="4" s="1"/>
  <c r="AQ37" i="4" s="1"/>
  <c r="AR37" i="4" s="1"/>
  <c r="AS37" i="4" s="1"/>
  <c r="AT37" i="4" s="1"/>
  <c r="AU37" i="4" s="1"/>
  <c r="AV37" i="4" s="1"/>
  <c r="AW37" i="4" s="1"/>
  <c r="AX37" i="4" s="1"/>
  <c r="AY37" i="4" s="1"/>
  <c r="AZ37" i="4" s="1"/>
  <c r="BA37" i="4" s="1"/>
  <c r="BB37" i="4" s="1"/>
  <c r="BC37" i="4" s="1"/>
  <c r="BD37" i="4" s="1"/>
  <c r="BE37" i="4" s="1"/>
  <c r="BF37" i="4" s="1"/>
  <c r="BG37" i="4" s="1"/>
  <c r="BH37" i="4" s="1"/>
  <c r="BI37" i="4" s="1"/>
  <c r="BJ37" i="4" s="1"/>
  <c r="BK37" i="4" s="1"/>
  <c r="BL37" i="4" s="1"/>
  <c r="BM37" i="4" s="1"/>
  <c r="BN37" i="4" s="1"/>
  <c r="BO37" i="4" s="1"/>
  <c r="BP37" i="4" s="1"/>
  <c r="BQ37" i="4" s="1"/>
  <c r="BR37" i="4" s="1"/>
  <c r="BS37" i="4" s="1"/>
  <c r="BT37" i="4" s="1"/>
  <c r="BU37" i="4" s="1"/>
  <c r="BV37" i="4" s="1"/>
  <c r="BW37" i="4" s="1"/>
  <c r="BX37" i="4" s="1"/>
  <c r="BY37" i="4" s="1"/>
  <c r="BZ37" i="4" s="1"/>
  <c r="CA37" i="4" s="1"/>
  <c r="CB37" i="4" s="1"/>
  <c r="CC37" i="4" s="1"/>
  <c r="CD37" i="4" s="1"/>
  <c r="CE37" i="4" s="1"/>
  <c r="CF37" i="4" s="1"/>
  <c r="CG37" i="4" s="1"/>
  <c r="CH37" i="4" s="1"/>
  <c r="CI37" i="4" s="1"/>
  <c r="CJ37" i="4" s="1"/>
  <c r="CK37" i="4" s="1"/>
  <c r="CL37" i="4" s="1"/>
  <c r="CM37" i="4" s="1"/>
  <c r="CN37" i="4" s="1"/>
  <c r="CO37" i="4" s="1"/>
  <c r="CP37" i="4" s="1"/>
  <c r="CQ37" i="4" s="1"/>
  <c r="CR37" i="4" s="1"/>
  <c r="CS37" i="4" s="1"/>
  <c r="CT37" i="4" s="1"/>
  <c r="CU37" i="4" s="1"/>
  <c r="CV37" i="4" s="1"/>
  <c r="CW37" i="4" s="1"/>
  <c r="CX37" i="4" s="1"/>
  <c r="CY37" i="4" s="1"/>
  <c r="CZ37" i="4" s="1"/>
  <c r="DA37" i="4" s="1"/>
  <c r="DB37" i="4" s="1"/>
  <c r="DC37" i="4" s="1"/>
  <c r="DD37" i="4" s="1"/>
  <c r="DE37" i="4" s="1"/>
  <c r="DF37" i="4" s="1"/>
  <c r="DG37" i="4" s="1"/>
  <c r="DH37" i="4" s="1"/>
  <c r="DI37" i="4" s="1"/>
  <c r="DJ37" i="4" s="1"/>
  <c r="DK37" i="4" s="1"/>
  <c r="DL37" i="4" s="1"/>
  <c r="DM37" i="4" s="1"/>
  <c r="DN37" i="4" s="1"/>
  <c r="DO37" i="4" s="1"/>
  <c r="DP37" i="4" s="1"/>
  <c r="DQ37" i="4" s="1"/>
  <c r="DR37" i="4" s="1"/>
  <c r="DS37" i="4" s="1"/>
  <c r="DT37" i="4" s="1"/>
  <c r="DU37" i="4" s="1"/>
  <c r="DV37" i="4" s="1"/>
  <c r="DW37" i="4" s="1"/>
  <c r="DX37" i="4" s="1"/>
  <c r="DY37" i="4" s="1"/>
  <c r="DZ37" i="4" s="1"/>
  <c r="EA37" i="4" s="1"/>
  <c r="EB37" i="4" s="1"/>
  <c r="EC37" i="4" s="1"/>
  <c r="ED37" i="4" s="1"/>
  <c r="EE37" i="4" s="1"/>
  <c r="EF37" i="4" s="1"/>
  <c r="EG37" i="4" s="1"/>
  <c r="EH37" i="4" s="1"/>
  <c r="EI37" i="4" s="1"/>
  <c r="EJ37" i="4" s="1"/>
  <c r="EK37" i="4" s="1"/>
  <c r="EL37" i="4" s="1"/>
  <c r="EM37" i="4" s="1"/>
  <c r="EN37" i="4" s="1"/>
  <c r="EO37" i="4" s="1"/>
  <c r="EP37" i="4" s="1"/>
  <c r="EQ37" i="4" s="1"/>
  <c r="ER37" i="4" s="1"/>
  <c r="ES37" i="4" s="1"/>
  <c r="ET37" i="4" s="1"/>
  <c r="EU37" i="4" s="1"/>
  <c r="EV37" i="4" s="1"/>
  <c r="EW37" i="4" s="1"/>
  <c r="EX37" i="4" s="1"/>
  <c r="EY37" i="4" s="1"/>
  <c r="EZ37" i="4" s="1"/>
  <c r="FA37" i="4" s="1"/>
  <c r="FB37" i="4" s="1"/>
  <c r="FC37" i="4" s="1"/>
  <c r="FD37" i="4" s="1"/>
  <c r="FE37" i="4" s="1"/>
  <c r="FF37" i="4" s="1"/>
  <c r="FG37" i="4" s="1"/>
  <c r="FH37" i="4" s="1"/>
  <c r="FI37" i="4" s="1"/>
  <c r="FJ37" i="4" s="1"/>
  <c r="FK37" i="4" s="1"/>
  <c r="FL37" i="4" s="1"/>
  <c r="FM37" i="4" s="1"/>
  <c r="FN37" i="4" s="1"/>
  <c r="FO37" i="4" s="1"/>
  <c r="FP37" i="4" s="1"/>
  <c r="FQ37" i="4" s="1"/>
  <c r="FR37" i="4" s="1"/>
  <c r="FS37" i="4" s="1"/>
  <c r="FT37" i="4" s="1"/>
  <c r="FU37" i="4" s="1"/>
  <c r="FV37" i="4" s="1"/>
  <c r="FW37" i="4" s="1"/>
  <c r="FX37" i="4" s="1"/>
  <c r="FY37" i="4" s="1"/>
  <c r="FZ37" i="4" s="1"/>
  <c r="GA37" i="4" s="1"/>
  <c r="GB37" i="4" s="1"/>
  <c r="GC37" i="4" s="1"/>
  <c r="GD37" i="4" s="1"/>
  <c r="GE37" i="4" s="1"/>
  <c r="GF37" i="4" s="1"/>
  <c r="GG37" i="4" s="1"/>
  <c r="GH37" i="4" s="1"/>
  <c r="GI37" i="4" s="1"/>
  <c r="GJ37" i="4" s="1"/>
  <c r="GK37" i="4" s="1"/>
  <c r="GL37" i="4" s="1"/>
  <c r="GM37" i="4" s="1"/>
  <c r="GN37" i="4" s="1"/>
  <c r="GO37" i="4" s="1"/>
  <c r="GP37" i="4" s="1"/>
  <c r="GQ37" i="4" s="1"/>
  <c r="GR37" i="4" s="1"/>
  <c r="GS37" i="4" s="1"/>
  <c r="GT37" i="4" s="1"/>
  <c r="GU37" i="4" s="1"/>
  <c r="GV37" i="4" s="1"/>
  <c r="GW37" i="4" s="1"/>
  <c r="GX37" i="4" s="1"/>
  <c r="GY37" i="4" s="1"/>
  <c r="GZ37" i="4" s="1"/>
  <c r="HA37" i="4" s="1"/>
  <c r="HB37" i="4" s="1"/>
  <c r="HC37" i="4" s="1"/>
  <c r="HD37" i="4" s="1"/>
  <c r="HE37" i="4" s="1"/>
  <c r="HF37" i="4" s="1"/>
  <c r="HG37" i="4" s="1"/>
  <c r="HH37" i="4" s="1"/>
  <c r="HI37" i="4" s="1"/>
  <c r="HJ37" i="4" s="1"/>
  <c r="HK37" i="4" s="1"/>
  <c r="HL37" i="4" s="1"/>
  <c r="HM37" i="4" s="1"/>
  <c r="HN37" i="4" s="1"/>
  <c r="HO37" i="4" s="1"/>
  <c r="HP37" i="4" s="1"/>
  <c r="HQ37" i="4" s="1"/>
  <c r="HR37" i="4" s="1"/>
  <c r="HS37" i="4" s="1"/>
  <c r="HT37" i="4" s="1"/>
  <c r="HU37" i="4" s="1"/>
  <c r="HV37" i="4" s="1"/>
  <c r="HW37" i="4" s="1"/>
  <c r="HX37" i="4" s="1"/>
  <c r="HY37" i="4" s="1"/>
  <c r="HZ37" i="4" s="1"/>
  <c r="IA37" i="4" s="1"/>
  <c r="IB37" i="4" s="1"/>
  <c r="IC37" i="4" s="1"/>
  <c r="ID37" i="4" s="1"/>
  <c r="IE37" i="4" s="1"/>
  <c r="IF37" i="4" s="1"/>
  <c r="IG37" i="4" s="1"/>
  <c r="IH37" i="4" s="1"/>
  <c r="II37" i="4" s="1"/>
  <c r="IJ37" i="4" s="1"/>
  <c r="IK37" i="4" s="1"/>
  <c r="IL37" i="4" s="1"/>
  <c r="IM37" i="4" s="1"/>
  <c r="IN37" i="4" s="1"/>
  <c r="IO37" i="4" s="1"/>
  <c r="IP37" i="4" s="1"/>
  <c r="IQ37" i="4" s="1"/>
  <c r="IR37" i="4" s="1"/>
  <c r="IS37" i="4" s="1"/>
  <c r="IT37" i="4" s="1"/>
  <c r="IU37" i="4" s="1"/>
  <c r="IV37" i="4" s="1"/>
  <c r="IW37" i="4" s="1"/>
  <c r="D36" i="4"/>
  <c r="E36" i="4" s="1"/>
  <c r="F36" i="4" s="1"/>
  <c r="G36" i="4" s="1"/>
  <c r="H36" i="4" s="1"/>
  <c r="I36" i="4" s="1"/>
  <c r="J36" i="4" s="1"/>
  <c r="K36" i="4" s="1"/>
  <c r="L36" i="4" s="1"/>
  <c r="M36" i="4" s="1"/>
  <c r="N36" i="4" s="1"/>
  <c r="O36" i="4" s="1"/>
  <c r="P36" i="4" s="1"/>
  <c r="Q36" i="4" s="1"/>
  <c r="R36" i="4" s="1"/>
  <c r="S36" i="4" s="1"/>
  <c r="T36" i="4" s="1"/>
  <c r="U36" i="4" s="1"/>
  <c r="V36" i="4" s="1"/>
  <c r="W36" i="4" s="1"/>
  <c r="X36" i="4" s="1"/>
  <c r="Y36" i="4" s="1"/>
  <c r="Z36" i="4" s="1"/>
  <c r="AA36" i="4" s="1"/>
  <c r="AB36" i="4" s="1"/>
  <c r="AC36" i="4" s="1"/>
  <c r="AD36" i="4" s="1"/>
  <c r="AE36" i="4" s="1"/>
  <c r="AF36" i="4" s="1"/>
  <c r="AG36" i="4" s="1"/>
  <c r="AH36" i="4" s="1"/>
  <c r="AI36" i="4" s="1"/>
  <c r="AJ36" i="4" s="1"/>
  <c r="AK36" i="4" s="1"/>
  <c r="AL36" i="4" s="1"/>
  <c r="AM36" i="4" s="1"/>
  <c r="AN36" i="4" s="1"/>
  <c r="AO36" i="4" s="1"/>
  <c r="AP36" i="4" s="1"/>
  <c r="AQ36" i="4" s="1"/>
  <c r="AR36" i="4" s="1"/>
  <c r="AS36" i="4" s="1"/>
  <c r="AT36" i="4" s="1"/>
  <c r="AU36" i="4" s="1"/>
  <c r="AV36" i="4" s="1"/>
  <c r="AW36" i="4" s="1"/>
  <c r="AX36" i="4" s="1"/>
  <c r="AY36" i="4" s="1"/>
  <c r="AZ36" i="4" s="1"/>
  <c r="BA36" i="4" s="1"/>
  <c r="BB36" i="4" s="1"/>
  <c r="BC36" i="4" s="1"/>
  <c r="BD36" i="4" s="1"/>
  <c r="BE36" i="4" s="1"/>
  <c r="BF36" i="4" s="1"/>
  <c r="BG36" i="4" s="1"/>
  <c r="BH36" i="4" s="1"/>
  <c r="BI36" i="4" s="1"/>
  <c r="BJ36" i="4" s="1"/>
  <c r="BK36" i="4" s="1"/>
  <c r="BL36" i="4" s="1"/>
  <c r="BM36" i="4" s="1"/>
  <c r="BN36" i="4" s="1"/>
  <c r="BO36" i="4" s="1"/>
  <c r="BP36" i="4" s="1"/>
  <c r="BQ36" i="4" s="1"/>
  <c r="BR36" i="4" s="1"/>
  <c r="BS36" i="4" s="1"/>
  <c r="BT36" i="4" s="1"/>
  <c r="BU36" i="4" s="1"/>
  <c r="BV36" i="4" s="1"/>
  <c r="BW36" i="4" s="1"/>
  <c r="BX36" i="4" s="1"/>
  <c r="BY36" i="4" s="1"/>
  <c r="BZ36" i="4" s="1"/>
  <c r="CA36" i="4" s="1"/>
  <c r="CB36" i="4" s="1"/>
  <c r="CC36" i="4" s="1"/>
  <c r="CD36" i="4" s="1"/>
  <c r="CE36" i="4" s="1"/>
  <c r="CF36" i="4" s="1"/>
  <c r="CG36" i="4" s="1"/>
  <c r="CH36" i="4" s="1"/>
  <c r="CI36" i="4" s="1"/>
  <c r="CJ36" i="4" s="1"/>
  <c r="CK36" i="4" s="1"/>
  <c r="CL36" i="4" s="1"/>
  <c r="CM36" i="4" s="1"/>
  <c r="CN36" i="4" s="1"/>
  <c r="CO36" i="4" s="1"/>
  <c r="CP36" i="4" s="1"/>
  <c r="CQ36" i="4" s="1"/>
  <c r="CR36" i="4" s="1"/>
  <c r="CS36" i="4" s="1"/>
  <c r="CT36" i="4" s="1"/>
  <c r="CU36" i="4" s="1"/>
  <c r="CV36" i="4" s="1"/>
  <c r="CW36" i="4" s="1"/>
  <c r="CX36" i="4" s="1"/>
  <c r="CY36" i="4" s="1"/>
  <c r="CZ36" i="4" s="1"/>
  <c r="DA36" i="4" s="1"/>
  <c r="DB36" i="4" s="1"/>
  <c r="DC36" i="4" s="1"/>
  <c r="DD36" i="4" s="1"/>
  <c r="DE36" i="4" s="1"/>
  <c r="DF36" i="4" s="1"/>
  <c r="DG36" i="4" s="1"/>
  <c r="DH36" i="4" s="1"/>
  <c r="DI36" i="4" s="1"/>
  <c r="DJ36" i="4" s="1"/>
  <c r="DK36" i="4" s="1"/>
  <c r="DL36" i="4" s="1"/>
  <c r="DM36" i="4" s="1"/>
  <c r="DN36" i="4" s="1"/>
  <c r="DO36" i="4" s="1"/>
  <c r="DP36" i="4" s="1"/>
  <c r="DQ36" i="4" s="1"/>
  <c r="DR36" i="4" s="1"/>
  <c r="DS36" i="4" s="1"/>
  <c r="DT36" i="4" s="1"/>
  <c r="DU36" i="4" s="1"/>
  <c r="DV36" i="4" s="1"/>
  <c r="DW36" i="4" s="1"/>
  <c r="DX36" i="4" s="1"/>
  <c r="DY36" i="4" s="1"/>
  <c r="DZ36" i="4" s="1"/>
  <c r="EA36" i="4" s="1"/>
  <c r="EB36" i="4" s="1"/>
  <c r="EC36" i="4" s="1"/>
  <c r="ED36" i="4" s="1"/>
  <c r="EE36" i="4" s="1"/>
  <c r="EF36" i="4" s="1"/>
  <c r="EG36" i="4" s="1"/>
  <c r="EH36" i="4" s="1"/>
  <c r="EI36" i="4" s="1"/>
  <c r="EJ36" i="4" s="1"/>
  <c r="EK36" i="4" s="1"/>
  <c r="EL36" i="4" s="1"/>
  <c r="EM36" i="4" s="1"/>
  <c r="EN36" i="4" s="1"/>
  <c r="EO36" i="4" s="1"/>
  <c r="EP36" i="4" s="1"/>
  <c r="EQ36" i="4" s="1"/>
  <c r="ER36" i="4" s="1"/>
  <c r="ES36" i="4" s="1"/>
  <c r="ET36" i="4" s="1"/>
  <c r="EU36" i="4" s="1"/>
  <c r="EV36" i="4" s="1"/>
  <c r="EW36" i="4" s="1"/>
  <c r="EX36" i="4" s="1"/>
  <c r="EY36" i="4" s="1"/>
  <c r="EZ36" i="4" s="1"/>
  <c r="FA36" i="4" s="1"/>
  <c r="FB36" i="4" s="1"/>
  <c r="FC36" i="4" s="1"/>
  <c r="FD36" i="4" s="1"/>
  <c r="FE36" i="4" s="1"/>
  <c r="FF36" i="4" s="1"/>
  <c r="FG36" i="4" s="1"/>
  <c r="FH36" i="4" s="1"/>
  <c r="FI36" i="4" s="1"/>
  <c r="FJ36" i="4" s="1"/>
  <c r="FK36" i="4" s="1"/>
  <c r="FL36" i="4" s="1"/>
  <c r="FM36" i="4" s="1"/>
  <c r="FN36" i="4" s="1"/>
  <c r="FO36" i="4" s="1"/>
  <c r="FP36" i="4" s="1"/>
  <c r="FQ36" i="4" s="1"/>
  <c r="FR36" i="4" s="1"/>
  <c r="FS36" i="4" s="1"/>
  <c r="FT36" i="4" s="1"/>
  <c r="FU36" i="4" s="1"/>
  <c r="FV36" i="4" s="1"/>
  <c r="FW36" i="4" s="1"/>
  <c r="FX36" i="4" s="1"/>
  <c r="FY36" i="4" s="1"/>
  <c r="FZ36" i="4" s="1"/>
  <c r="GA36" i="4" s="1"/>
  <c r="GB36" i="4" s="1"/>
  <c r="GC36" i="4" s="1"/>
  <c r="GD36" i="4" s="1"/>
  <c r="GE36" i="4" s="1"/>
  <c r="GF36" i="4" s="1"/>
  <c r="GG36" i="4" s="1"/>
  <c r="GH36" i="4" s="1"/>
  <c r="GI36" i="4" s="1"/>
  <c r="GJ36" i="4" s="1"/>
  <c r="GK36" i="4" s="1"/>
  <c r="GL36" i="4" s="1"/>
  <c r="GM36" i="4" s="1"/>
  <c r="GN36" i="4" s="1"/>
  <c r="GO36" i="4" s="1"/>
  <c r="GP36" i="4" s="1"/>
  <c r="GQ36" i="4" s="1"/>
  <c r="GR36" i="4" s="1"/>
  <c r="GS36" i="4" s="1"/>
  <c r="GT36" i="4" s="1"/>
  <c r="GU36" i="4" s="1"/>
  <c r="GV36" i="4" s="1"/>
  <c r="GW36" i="4" s="1"/>
  <c r="GX36" i="4" s="1"/>
  <c r="GY36" i="4" s="1"/>
  <c r="GZ36" i="4" s="1"/>
  <c r="HA36" i="4" s="1"/>
  <c r="HB36" i="4" s="1"/>
  <c r="HC36" i="4" s="1"/>
  <c r="HD36" i="4" s="1"/>
  <c r="HE36" i="4" s="1"/>
  <c r="HF36" i="4" s="1"/>
  <c r="HG36" i="4" s="1"/>
  <c r="HH36" i="4" s="1"/>
  <c r="HI36" i="4" s="1"/>
  <c r="HJ36" i="4" s="1"/>
  <c r="HK36" i="4" s="1"/>
  <c r="HL36" i="4" s="1"/>
  <c r="HM36" i="4" s="1"/>
  <c r="HN36" i="4" s="1"/>
  <c r="HO36" i="4" s="1"/>
  <c r="HP36" i="4" s="1"/>
  <c r="HQ36" i="4" s="1"/>
  <c r="HR36" i="4" s="1"/>
  <c r="HS36" i="4" s="1"/>
  <c r="HT36" i="4" s="1"/>
  <c r="HU36" i="4" s="1"/>
  <c r="HV36" i="4" s="1"/>
  <c r="HW36" i="4" s="1"/>
  <c r="HX36" i="4" s="1"/>
  <c r="HY36" i="4" s="1"/>
  <c r="HZ36" i="4" s="1"/>
  <c r="IA36" i="4" s="1"/>
  <c r="IB36" i="4" s="1"/>
  <c r="IC36" i="4" s="1"/>
  <c r="ID36" i="4" s="1"/>
  <c r="IE36" i="4" s="1"/>
  <c r="IF36" i="4" s="1"/>
  <c r="IG36" i="4" s="1"/>
  <c r="IH36" i="4" s="1"/>
  <c r="II36" i="4" s="1"/>
  <c r="IJ36" i="4" s="1"/>
  <c r="IK36" i="4" s="1"/>
  <c r="IL36" i="4" s="1"/>
  <c r="IM36" i="4" s="1"/>
  <c r="IN36" i="4" s="1"/>
  <c r="IO36" i="4" s="1"/>
  <c r="IP36" i="4" s="1"/>
  <c r="IQ36" i="4" s="1"/>
  <c r="IR36" i="4" s="1"/>
  <c r="IS36" i="4" s="1"/>
  <c r="IT36" i="4" s="1"/>
  <c r="IU36" i="4" s="1"/>
  <c r="IV36" i="4" s="1"/>
  <c r="IW36" i="4" s="1"/>
  <c r="D35" i="4"/>
  <c r="E35" i="4" s="1"/>
  <c r="F35" i="4" s="1"/>
  <c r="G35" i="4" s="1"/>
  <c r="H35" i="4" s="1"/>
  <c r="I35" i="4" s="1"/>
  <c r="J35" i="4" s="1"/>
  <c r="K35" i="4" s="1"/>
  <c r="L35" i="4" s="1"/>
  <c r="M35" i="4" s="1"/>
  <c r="N35" i="4" s="1"/>
  <c r="O35" i="4" s="1"/>
  <c r="P35" i="4" s="1"/>
  <c r="Q35" i="4" s="1"/>
  <c r="R35" i="4" s="1"/>
  <c r="S35" i="4" s="1"/>
  <c r="T35" i="4" s="1"/>
  <c r="U35" i="4" s="1"/>
  <c r="V35" i="4" s="1"/>
  <c r="W35" i="4" s="1"/>
  <c r="X35" i="4" s="1"/>
  <c r="Y35" i="4" s="1"/>
  <c r="Z35" i="4" s="1"/>
  <c r="AA35" i="4" s="1"/>
  <c r="AB35" i="4" s="1"/>
  <c r="AC35" i="4" s="1"/>
  <c r="AD35" i="4" s="1"/>
  <c r="AE35" i="4" s="1"/>
  <c r="AF35" i="4" s="1"/>
  <c r="AG35" i="4" s="1"/>
  <c r="AH35" i="4" s="1"/>
  <c r="AI35" i="4" s="1"/>
  <c r="AJ35" i="4" s="1"/>
  <c r="AK35" i="4" s="1"/>
  <c r="AL35" i="4" s="1"/>
  <c r="AM35" i="4" s="1"/>
  <c r="AN35" i="4" s="1"/>
  <c r="AO35" i="4" s="1"/>
  <c r="AP35" i="4" s="1"/>
  <c r="AQ35" i="4" s="1"/>
  <c r="AR35" i="4" s="1"/>
  <c r="AS35" i="4" s="1"/>
  <c r="AT35" i="4" s="1"/>
  <c r="AU35" i="4" s="1"/>
  <c r="AV35" i="4" s="1"/>
  <c r="AW35" i="4" s="1"/>
  <c r="AX35" i="4" s="1"/>
  <c r="AY35" i="4" s="1"/>
  <c r="AZ35" i="4" s="1"/>
  <c r="BA35" i="4" s="1"/>
  <c r="BB35" i="4" s="1"/>
  <c r="BC35" i="4" s="1"/>
  <c r="BD35" i="4" s="1"/>
  <c r="BE35" i="4" s="1"/>
  <c r="BF35" i="4" s="1"/>
  <c r="BG35" i="4" s="1"/>
  <c r="BH35" i="4" s="1"/>
  <c r="BI35" i="4" s="1"/>
  <c r="BJ35" i="4" s="1"/>
  <c r="BK35" i="4" s="1"/>
  <c r="BL35" i="4" s="1"/>
  <c r="BM35" i="4" s="1"/>
  <c r="BN35" i="4" s="1"/>
  <c r="BO35" i="4" s="1"/>
  <c r="BP35" i="4" s="1"/>
  <c r="BQ35" i="4" s="1"/>
  <c r="BR35" i="4" s="1"/>
  <c r="BS35" i="4" s="1"/>
  <c r="BT35" i="4" s="1"/>
  <c r="BU35" i="4" s="1"/>
  <c r="BV35" i="4" s="1"/>
  <c r="BW35" i="4" s="1"/>
  <c r="BX35" i="4" s="1"/>
  <c r="BY35" i="4" s="1"/>
  <c r="BZ35" i="4" s="1"/>
  <c r="CA35" i="4" s="1"/>
  <c r="CB35" i="4" s="1"/>
  <c r="CC35" i="4" s="1"/>
  <c r="CD35" i="4" s="1"/>
  <c r="CE35" i="4" s="1"/>
  <c r="CF35" i="4" s="1"/>
  <c r="CG35" i="4" s="1"/>
  <c r="CH35" i="4" s="1"/>
  <c r="CI35" i="4" s="1"/>
  <c r="CJ35" i="4" s="1"/>
  <c r="CK35" i="4" s="1"/>
  <c r="CL35" i="4" s="1"/>
  <c r="CM35" i="4" s="1"/>
  <c r="CN35" i="4" s="1"/>
  <c r="CO35" i="4" s="1"/>
  <c r="CP35" i="4" s="1"/>
  <c r="CQ35" i="4" s="1"/>
  <c r="CR35" i="4" s="1"/>
  <c r="CS35" i="4" s="1"/>
  <c r="CT35" i="4" s="1"/>
  <c r="CU35" i="4" s="1"/>
  <c r="CV35" i="4" s="1"/>
  <c r="CW35" i="4" s="1"/>
  <c r="CX35" i="4" s="1"/>
  <c r="CY35" i="4" s="1"/>
  <c r="CZ35" i="4" s="1"/>
  <c r="DA35" i="4" s="1"/>
  <c r="DB35" i="4" s="1"/>
  <c r="DC35" i="4" s="1"/>
  <c r="DD35" i="4" s="1"/>
  <c r="DE35" i="4" s="1"/>
  <c r="DF35" i="4" s="1"/>
  <c r="DG35" i="4" s="1"/>
  <c r="DH35" i="4" s="1"/>
  <c r="DI35" i="4" s="1"/>
  <c r="DJ35" i="4" s="1"/>
  <c r="DK35" i="4" s="1"/>
  <c r="DL35" i="4" s="1"/>
  <c r="DM35" i="4" s="1"/>
  <c r="DN35" i="4" s="1"/>
  <c r="DO35" i="4" s="1"/>
  <c r="DP35" i="4" s="1"/>
  <c r="DQ35" i="4" s="1"/>
  <c r="DR35" i="4" s="1"/>
  <c r="DS35" i="4" s="1"/>
  <c r="DT35" i="4" s="1"/>
  <c r="DU35" i="4" s="1"/>
  <c r="DV35" i="4" s="1"/>
  <c r="DW35" i="4" s="1"/>
  <c r="DX35" i="4" s="1"/>
  <c r="DY35" i="4" s="1"/>
  <c r="DZ35" i="4" s="1"/>
  <c r="EA35" i="4" s="1"/>
  <c r="EB35" i="4" s="1"/>
  <c r="EC35" i="4" s="1"/>
  <c r="ED35" i="4" s="1"/>
  <c r="EE35" i="4" s="1"/>
  <c r="EF35" i="4" s="1"/>
  <c r="EG35" i="4" s="1"/>
  <c r="EH35" i="4" s="1"/>
  <c r="EI35" i="4" s="1"/>
  <c r="EJ35" i="4" s="1"/>
  <c r="EK35" i="4" s="1"/>
  <c r="EL35" i="4" s="1"/>
  <c r="EM35" i="4" s="1"/>
  <c r="EN35" i="4" s="1"/>
  <c r="EO35" i="4" s="1"/>
  <c r="EP35" i="4" s="1"/>
  <c r="EQ35" i="4" s="1"/>
  <c r="ER35" i="4" s="1"/>
  <c r="ES35" i="4" s="1"/>
  <c r="ET35" i="4" s="1"/>
  <c r="EU35" i="4" s="1"/>
  <c r="EV35" i="4" s="1"/>
  <c r="EW35" i="4" s="1"/>
  <c r="EX35" i="4" s="1"/>
  <c r="EY35" i="4" s="1"/>
  <c r="EZ35" i="4" s="1"/>
  <c r="FA35" i="4" s="1"/>
  <c r="FB35" i="4" s="1"/>
  <c r="FC35" i="4" s="1"/>
  <c r="FD35" i="4" s="1"/>
  <c r="FE35" i="4" s="1"/>
  <c r="FF35" i="4" s="1"/>
  <c r="FG35" i="4" s="1"/>
  <c r="FH35" i="4" s="1"/>
  <c r="FI35" i="4" s="1"/>
  <c r="FJ35" i="4" s="1"/>
  <c r="FK35" i="4" s="1"/>
  <c r="FL35" i="4" s="1"/>
  <c r="FM35" i="4" s="1"/>
  <c r="FN35" i="4" s="1"/>
  <c r="FO35" i="4" s="1"/>
  <c r="FP35" i="4" s="1"/>
  <c r="FQ35" i="4" s="1"/>
  <c r="FR35" i="4" s="1"/>
  <c r="FS35" i="4" s="1"/>
  <c r="FT35" i="4" s="1"/>
  <c r="FU35" i="4" s="1"/>
  <c r="FV35" i="4" s="1"/>
  <c r="FW35" i="4" s="1"/>
  <c r="FX35" i="4" s="1"/>
  <c r="FY35" i="4" s="1"/>
  <c r="FZ35" i="4" s="1"/>
  <c r="GA35" i="4" s="1"/>
  <c r="GB35" i="4" s="1"/>
  <c r="GC35" i="4" s="1"/>
  <c r="GD35" i="4" s="1"/>
  <c r="GE35" i="4" s="1"/>
  <c r="GF35" i="4" s="1"/>
  <c r="GG35" i="4" s="1"/>
  <c r="GH35" i="4" s="1"/>
  <c r="GI35" i="4" s="1"/>
  <c r="GJ35" i="4" s="1"/>
  <c r="GK35" i="4" s="1"/>
  <c r="GL35" i="4" s="1"/>
  <c r="GM35" i="4" s="1"/>
  <c r="GN35" i="4" s="1"/>
  <c r="GO35" i="4" s="1"/>
  <c r="GP35" i="4" s="1"/>
  <c r="GQ35" i="4" s="1"/>
  <c r="GR35" i="4" s="1"/>
  <c r="GS35" i="4" s="1"/>
  <c r="GT35" i="4" s="1"/>
  <c r="GU35" i="4" s="1"/>
  <c r="GV35" i="4" s="1"/>
  <c r="GW35" i="4" s="1"/>
  <c r="GX35" i="4" s="1"/>
  <c r="GY35" i="4" s="1"/>
  <c r="GZ35" i="4" s="1"/>
  <c r="HA35" i="4" s="1"/>
  <c r="HB35" i="4" s="1"/>
  <c r="HC35" i="4" s="1"/>
  <c r="HD35" i="4" s="1"/>
  <c r="HE35" i="4" s="1"/>
  <c r="HF35" i="4" s="1"/>
  <c r="HG35" i="4" s="1"/>
  <c r="HH35" i="4" s="1"/>
  <c r="HI35" i="4" s="1"/>
  <c r="HJ35" i="4" s="1"/>
  <c r="HK35" i="4" s="1"/>
  <c r="HL35" i="4" s="1"/>
  <c r="HM35" i="4" s="1"/>
  <c r="HN35" i="4" s="1"/>
  <c r="HO35" i="4" s="1"/>
  <c r="HP35" i="4" s="1"/>
  <c r="HQ35" i="4" s="1"/>
  <c r="HR35" i="4" s="1"/>
  <c r="HS35" i="4" s="1"/>
  <c r="HT35" i="4" s="1"/>
  <c r="HU35" i="4" s="1"/>
  <c r="HV35" i="4" s="1"/>
  <c r="HW35" i="4" s="1"/>
  <c r="HX35" i="4" s="1"/>
  <c r="HY35" i="4" s="1"/>
  <c r="HZ35" i="4" s="1"/>
  <c r="IA35" i="4" s="1"/>
  <c r="IB35" i="4" s="1"/>
  <c r="IC35" i="4" s="1"/>
  <c r="ID35" i="4" s="1"/>
  <c r="IE35" i="4" s="1"/>
  <c r="IF35" i="4" s="1"/>
  <c r="IG35" i="4" s="1"/>
  <c r="IH35" i="4" s="1"/>
  <c r="II35" i="4" s="1"/>
  <c r="IJ35" i="4" s="1"/>
  <c r="IK35" i="4" s="1"/>
  <c r="IL35" i="4" s="1"/>
  <c r="IM35" i="4" s="1"/>
  <c r="IN35" i="4" s="1"/>
  <c r="IO35" i="4" s="1"/>
  <c r="IP35" i="4" s="1"/>
  <c r="IQ35" i="4" s="1"/>
  <c r="IR35" i="4" s="1"/>
  <c r="IS35" i="4" s="1"/>
  <c r="IT35" i="4" s="1"/>
  <c r="IU35" i="4" s="1"/>
  <c r="IV35" i="4" s="1"/>
  <c r="IW35" i="4" s="1"/>
  <c r="D33" i="4"/>
  <c r="E33" i="4" s="1"/>
  <c r="F33" i="4" s="1"/>
  <c r="G33" i="4" s="1"/>
  <c r="H33" i="4" s="1"/>
  <c r="I33" i="4" s="1"/>
  <c r="J33" i="4" s="1"/>
  <c r="K33" i="4" s="1"/>
  <c r="L33" i="4" s="1"/>
  <c r="M33" i="4" s="1"/>
  <c r="N33" i="4" s="1"/>
  <c r="O33" i="4" s="1"/>
  <c r="P33" i="4" s="1"/>
  <c r="Q33" i="4" s="1"/>
  <c r="R33" i="4" s="1"/>
  <c r="S33" i="4" s="1"/>
  <c r="T33" i="4" s="1"/>
  <c r="U33" i="4" s="1"/>
  <c r="V33" i="4" s="1"/>
  <c r="W33" i="4" s="1"/>
  <c r="X33" i="4" s="1"/>
  <c r="Y33" i="4" s="1"/>
  <c r="Z33" i="4" s="1"/>
  <c r="AA33" i="4" s="1"/>
  <c r="AB33" i="4" s="1"/>
  <c r="AC33" i="4" s="1"/>
  <c r="AD33" i="4" s="1"/>
  <c r="AE33" i="4" s="1"/>
  <c r="AF33" i="4" s="1"/>
  <c r="AG33" i="4" s="1"/>
  <c r="AH33" i="4" s="1"/>
  <c r="AI33" i="4" s="1"/>
  <c r="AJ33" i="4" s="1"/>
  <c r="AK33" i="4" s="1"/>
  <c r="AL33" i="4" s="1"/>
  <c r="AM33" i="4" s="1"/>
  <c r="AN33" i="4" s="1"/>
  <c r="AO33" i="4" s="1"/>
  <c r="AP33" i="4" s="1"/>
  <c r="AQ33" i="4" s="1"/>
  <c r="AR33" i="4" s="1"/>
  <c r="AS33" i="4" s="1"/>
  <c r="AT33" i="4" s="1"/>
  <c r="AU33" i="4" s="1"/>
  <c r="AV33" i="4" s="1"/>
  <c r="AW33" i="4" s="1"/>
  <c r="AX33" i="4" s="1"/>
  <c r="AY33" i="4" s="1"/>
  <c r="AZ33" i="4" s="1"/>
  <c r="BA33" i="4" s="1"/>
  <c r="BB33" i="4" s="1"/>
  <c r="BC33" i="4" s="1"/>
  <c r="BD33" i="4" s="1"/>
  <c r="BE33" i="4" s="1"/>
  <c r="BF33" i="4" s="1"/>
  <c r="BG33" i="4" s="1"/>
  <c r="BH33" i="4" s="1"/>
  <c r="BI33" i="4" s="1"/>
  <c r="BJ33" i="4" s="1"/>
  <c r="BK33" i="4" s="1"/>
  <c r="BL33" i="4" s="1"/>
  <c r="BM33" i="4" s="1"/>
  <c r="BN33" i="4" s="1"/>
  <c r="BO33" i="4" s="1"/>
  <c r="BP33" i="4" s="1"/>
  <c r="BQ33" i="4" s="1"/>
  <c r="BR33" i="4" s="1"/>
  <c r="BS33" i="4" s="1"/>
  <c r="BT33" i="4" s="1"/>
  <c r="BU33" i="4" s="1"/>
  <c r="BV33" i="4" s="1"/>
  <c r="BW33" i="4" s="1"/>
  <c r="BX33" i="4" s="1"/>
  <c r="BY33" i="4" s="1"/>
  <c r="BZ33" i="4" s="1"/>
  <c r="CA33" i="4" s="1"/>
  <c r="CB33" i="4" s="1"/>
  <c r="CC33" i="4" s="1"/>
  <c r="CD33" i="4" s="1"/>
  <c r="CE33" i="4" s="1"/>
  <c r="CF33" i="4" s="1"/>
  <c r="CG33" i="4" s="1"/>
  <c r="CH33" i="4" s="1"/>
  <c r="CI33" i="4" s="1"/>
  <c r="CJ33" i="4" s="1"/>
  <c r="CK33" i="4" s="1"/>
  <c r="CL33" i="4" s="1"/>
  <c r="CM33" i="4" s="1"/>
  <c r="CN33" i="4" s="1"/>
  <c r="CO33" i="4" s="1"/>
  <c r="CP33" i="4" s="1"/>
  <c r="CQ33" i="4" s="1"/>
  <c r="CR33" i="4" s="1"/>
  <c r="CS33" i="4" s="1"/>
  <c r="CT33" i="4" s="1"/>
  <c r="CU33" i="4" s="1"/>
  <c r="CV33" i="4" s="1"/>
  <c r="CW33" i="4" s="1"/>
  <c r="CX33" i="4" s="1"/>
  <c r="CY33" i="4" s="1"/>
  <c r="CZ33" i="4" s="1"/>
  <c r="DA33" i="4" s="1"/>
  <c r="DB33" i="4" s="1"/>
  <c r="DC33" i="4" s="1"/>
  <c r="DD33" i="4" s="1"/>
  <c r="D34" i="4"/>
  <c r="E34" i="4" s="1"/>
  <c r="F34" i="4" s="1"/>
  <c r="G34" i="4" s="1"/>
  <c r="H34" i="4" s="1"/>
  <c r="I34" i="4" s="1"/>
  <c r="J34" i="4" s="1"/>
  <c r="K34" i="4" s="1"/>
  <c r="L34" i="4" s="1"/>
  <c r="M34" i="4" s="1"/>
  <c r="N34" i="4" s="1"/>
  <c r="O34" i="4" s="1"/>
  <c r="P34" i="4" s="1"/>
  <c r="Q34" i="4" s="1"/>
  <c r="R34" i="4" s="1"/>
  <c r="S34" i="4" s="1"/>
  <c r="T34" i="4" s="1"/>
  <c r="U34" i="4" s="1"/>
  <c r="V34" i="4" s="1"/>
  <c r="W34" i="4" s="1"/>
  <c r="X34" i="4" s="1"/>
  <c r="Y34" i="4" s="1"/>
  <c r="Z34" i="4" s="1"/>
  <c r="AA34" i="4" s="1"/>
  <c r="AB34" i="4" s="1"/>
  <c r="AC34" i="4" s="1"/>
  <c r="AD34" i="4" s="1"/>
  <c r="AE34" i="4" s="1"/>
  <c r="AF34" i="4" s="1"/>
  <c r="AG34" i="4" s="1"/>
  <c r="AH34" i="4" s="1"/>
  <c r="AI34" i="4" s="1"/>
  <c r="AJ34" i="4" s="1"/>
  <c r="AK34" i="4" s="1"/>
  <c r="AL34" i="4" s="1"/>
  <c r="AM34" i="4" s="1"/>
  <c r="AN34" i="4" s="1"/>
  <c r="AO34" i="4" s="1"/>
  <c r="AP34" i="4" s="1"/>
  <c r="AQ34" i="4" s="1"/>
  <c r="AR34" i="4" s="1"/>
  <c r="AS34" i="4" s="1"/>
  <c r="AT34" i="4" s="1"/>
  <c r="AU34" i="4" s="1"/>
  <c r="AV34" i="4" s="1"/>
  <c r="AW34" i="4" s="1"/>
  <c r="AX34" i="4" s="1"/>
  <c r="AY34" i="4" s="1"/>
  <c r="AZ34" i="4" s="1"/>
  <c r="BA34" i="4" s="1"/>
  <c r="BB34" i="4" s="1"/>
  <c r="BC34" i="4" s="1"/>
  <c r="BD34" i="4" s="1"/>
  <c r="BE34" i="4" s="1"/>
  <c r="BF34" i="4" s="1"/>
  <c r="BG34" i="4" s="1"/>
  <c r="BH34" i="4" s="1"/>
  <c r="BI34" i="4" s="1"/>
  <c r="BJ34" i="4" s="1"/>
  <c r="BK34" i="4" s="1"/>
  <c r="BL34" i="4" s="1"/>
  <c r="BM34" i="4" s="1"/>
  <c r="BN34" i="4" s="1"/>
  <c r="BO34" i="4" s="1"/>
  <c r="BP34" i="4" s="1"/>
  <c r="BQ34" i="4" s="1"/>
  <c r="BR34" i="4" s="1"/>
  <c r="BS34" i="4" s="1"/>
  <c r="BT34" i="4" s="1"/>
  <c r="BU34" i="4" s="1"/>
  <c r="BV34" i="4" s="1"/>
  <c r="BW34" i="4" s="1"/>
  <c r="BX34" i="4" s="1"/>
  <c r="BY34" i="4" s="1"/>
  <c r="BZ34" i="4" s="1"/>
  <c r="CA34" i="4" s="1"/>
  <c r="CB34" i="4" s="1"/>
  <c r="CC34" i="4" s="1"/>
  <c r="CD34" i="4" s="1"/>
  <c r="CE34" i="4" s="1"/>
  <c r="CF34" i="4" s="1"/>
  <c r="CG34" i="4" s="1"/>
  <c r="CH34" i="4" s="1"/>
  <c r="CI34" i="4" s="1"/>
  <c r="CJ34" i="4" s="1"/>
  <c r="CK34" i="4" s="1"/>
  <c r="CL34" i="4" s="1"/>
  <c r="CM34" i="4" s="1"/>
  <c r="CN34" i="4" s="1"/>
  <c r="CO34" i="4" s="1"/>
  <c r="CP34" i="4" s="1"/>
  <c r="CQ34" i="4" s="1"/>
  <c r="CR34" i="4" s="1"/>
  <c r="CS34" i="4" s="1"/>
  <c r="CT34" i="4" s="1"/>
  <c r="CU34" i="4" s="1"/>
  <c r="CV34" i="4" s="1"/>
  <c r="CW34" i="4" s="1"/>
  <c r="CX34" i="4" s="1"/>
  <c r="CY34" i="4" s="1"/>
  <c r="CZ34" i="4" s="1"/>
  <c r="DA34" i="4" s="1"/>
  <c r="DB34" i="4" s="1"/>
  <c r="DC34" i="4" s="1"/>
  <c r="DD34" i="4" s="1"/>
  <c r="DE34" i="4" s="1"/>
  <c r="DF34" i="4" s="1"/>
  <c r="DG34" i="4" s="1"/>
  <c r="DH34" i="4" s="1"/>
  <c r="DI34" i="4" s="1"/>
  <c r="DJ34" i="4" s="1"/>
  <c r="DK34" i="4" s="1"/>
  <c r="DL34" i="4" s="1"/>
  <c r="DM34" i="4" s="1"/>
  <c r="DN34" i="4" s="1"/>
  <c r="DO34" i="4" s="1"/>
  <c r="DP34" i="4" s="1"/>
  <c r="DQ34" i="4" s="1"/>
  <c r="DR34" i="4" s="1"/>
  <c r="DS34" i="4" s="1"/>
  <c r="DT34" i="4" s="1"/>
  <c r="DU34" i="4" s="1"/>
  <c r="DV34" i="4" s="1"/>
  <c r="DW34" i="4" s="1"/>
  <c r="DX34" i="4" s="1"/>
  <c r="DY34" i="4" s="1"/>
  <c r="DZ34" i="4" s="1"/>
  <c r="EA34" i="4" s="1"/>
  <c r="EB34" i="4" s="1"/>
  <c r="EC34" i="4" s="1"/>
  <c r="ED34" i="4" s="1"/>
  <c r="EE34" i="4" s="1"/>
  <c r="EF34" i="4" s="1"/>
  <c r="EG34" i="4" s="1"/>
  <c r="EH34" i="4" s="1"/>
  <c r="EI34" i="4" s="1"/>
  <c r="EJ34" i="4" s="1"/>
  <c r="EK34" i="4" s="1"/>
  <c r="EL34" i="4" s="1"/>
  <c r="EM34" i="4" s="1"/>
  <c r="EN34" i="4" s="1"/>
  <c r="EO34" i="4" s="1"/>
  <c r="EP34" i="4" s="1"/>
  <c r="EQ34" i="4" s="1"/>
  <c r="ER34" i="4" s="1"/>
  <c r="ES34" i="4" s="1"/>
  <c r="ET34" i="4" s="1"/>
  <c r="EU34" i="4" s="1"/>
  <c r="EV34" i="4" s="1"/>
  <c r="EW34" i="4" s="1"/>
  <c r="EX34" i="4" s="1"/>
  <c r="EY34" i="4" s="1"/>
  <c r="EZ34" i="4" s="1"/>
  <c r="FA34" i="4" s="1"/>
  <c r="FB34" i="4" s="1"/>
  <c r="FC34" i="4" s="1"/>
  <c r="FD34" i="4" s="1"/>
  <c r="FE34" i="4" s="1"/>
  <c r="FF34" i="4" s="1"/>
  <c r="FG34" i="4" s="1"/>
  <c r="FH34" i="4" s="1"/>
  <c r="FI34" i="4" s="1"/>
  <c r="FJ34" i="4" s="1"/>
  <c r="FK34" i="4" s="1"/>
  <c r="FL34" i="4" s="1"/>
  <c r="FM34" i="4" s="1"/>
  <c r="FN34" i="4" s="1"/>
  <c r="FO34" i="4" s="1"/>
  <c r="FP34" i="4" s="1"/>
  <c r="FQ34" i="4" s="1"/>
  <c r="FR34" i="4" s="1"/>
  <c r="FS34" i="4" s="1"/>
  <c r="FT34" i="4" s="1"/>
  <c r="FU34" i="4" s="1"/>
  <c r="FV34" i="4" s="1"/>
  <c r="FW34" i="4" s="1"/>
  <c r="FX34" i="4" s="1"/>
  <c r="FY34" i="4" s="1"/>
  <c r="FZ34" i="4" s="1"/>
  <c r="GA34" i="4" s="1"/>
  <c r="GB34" i="4" s="1"/>
  <c r="GC34" i="4" s="1"/>
  <c r="GD34" i="4" s="1"/>
  <c r="GE34" i="4" s="1"/>
  <c r="GF34" i="4" s="1"/>
  <c r="GG34" i="4" s="1"/>
  <c r="GH34" i="4" s="1"/>
  <c r="GI34" i="4" s="1"/>
  <c r="GJ34" i="4" s="1"/>
  <c r="GK34" i="4" s="1"/>
  <c r="GL34" i="4" s="1"/>
  <c r="GM34" i="4" s="1"/>
  <c r="GN34" i="4" s="1"/>
  <c r="GO34" i="4" s="1"/>
  <c r="GP34" i="4" s="1"/>
  <c r="GQ34" i="4" s="1"/>
  <c r="GR34" i="4" s="1"/>
  <c r="GS34" i="4" s="1"/>
  <c r="GT34" i="4" s="1"/>
  <c r="GU34" i="4" s="1"/>
  <c r="GV34" i="4" s="1"/>
  <c r="GW34" i="4" s="1"/>
  <c r="GX34" i="4" s="1"/>
  <c r="GY34" i="4" s="1"/>
  <c r="GZ34" i="4" s="1"/>
  <c r="HA34" i="4" s="1"/>
  <c r="HB34" i="4" s="1"/>
  <c r="HC34" i="4" s="1"/>
  <c r="HD34" i="4" s="1"/>
  <c r="HE34" i="4" s="1"/>
  <c r="HF34" i="4" s="1"/>
  <c r="HG34" i="4" s="1"/>
  <c r="HH34" i="4" s="1"/>
  <c r="HI34" i="4" s="1"/>
  <c r="HJ34" i="4" s="1"/>
  <c r="HK34" i="4" s="1"/>
  <c r="HL34" i="4" s="1"/>
  <c r="HM34" i="4" s="1"/>
  <c r="HN34" i="4" s="1"/>
  <c r="HO34" i="4" s="1"/>
  <c r="HP34" i="4" s="1"/>
  <c r="HQ34" i="4" s="1"/>
  <c r="HR34" i="4" s="1"/>
  <c r="HS34" i="4" s="1"/>
  <c r="HT34" i="4" s="1"/>
  <c r="HU34" i="4" s="1"/>
  <c r="HV34" i="4" s="1"/>
  <c r="HW34" i="4" s="1"/>
  <c r="HX34" i="4" s="1"/>
  <c r="HY34" i="4" s="1"/>
  <c r="HZ34" i="4" s="1"/>
  <c r="IA34" i="4" s="1"/>
  <c r="IB34" i="4" s="1"/>
  <c r="IC34" i="4" s="1"/>
  <c r="ID34" i="4" s="1"/>
  <c r="IE34" i="4" s="1"/>
  <c r="IF34" i="4" s="1"/>
  <c r="IG34" i="4" s="1"/>
  <c r="IH34" i="4" s="1"/>
  <c r="II34" i="4" s="1"/>
  <c r="IJ34" i="4" s="1"/>
  <c r="IK34" i="4" s="1"/>
  <c r="IL34" i="4" s="1"/>
  <c r="IM34" i="4" s="1"/>
  <c r="IN34" i="4" s="1"/>
  <c r="IO34" i="4" s="1"/>
  <c r="IP34" i="4" s="1"/>
  <c r="IQ34" i="4" s="1"/>
  <c r="IR34" i="4" s="1"/>
  <c r="IS34" i="4" s="1"/>
  <c r="IT34" i="4" s="1"/>
  <c r="IU34" i="4" s="1"/>
  <c r="IV34" i="4" s="1"/>
  <c r="IW34" i="4" s="1"/>
  <c r="IX34" i="4" s="1"/>
  <c r="D32" i="4"/>
  <c r="E32" i="4" s="1"/>
  <c r="F32" i="4" s="1"/>
  <c r="G32" i="4" s="1"/>
  <c r="H32" i="4" s="1"/>
  <c r="I32" i="4" s="1"/>
  <c r="J32" i="4" s="1"/>
  <c r="K32" i="4" s="1"/>
  <c r="L32" i="4" s="1"/>
  <c r="M32" i="4" s="1"/>
  <c r="N32" i="4" s="1"/>
  <c r="O32" i="4" s="1"/>
  <c r="P32" i="4" s="1"/>
  <c r="Q32" i="4" s="1"/>
  <c r="R32" i="4" s="1"/>
  <c r="S32" i="4" s="1"/>
  <c r="T32" i="4" s="1"/>
  <c r="U32" i="4" s="1"/>
  <c r="V32" i="4" s="1"/>
  <c r="W32" i="4" s="1"/>
  <c r="X32" i="4" s="1"/>
  <c r="Y32" i="4" s="1"/>
  <c r="Z32" i="4" s="1"/>
  <c r="AA32" i="4" s="1"/>
  <c r="AB32" i="4" s="1"/>
  <c r="AC32" i="4" s="1"/>
  <c r="AD32" i="4" s="1"/>
  <c r="AE32" i="4" s="1"/>
  <c r="AF32" i="4" s="1"/>
  <c r="AG32" i="4" s="1"/>
  <c r="AH32" i="4" s="1"/>
  <c r="AI32" i="4" s="1"/>
  <c r="AJ32" i="4" s="1"/>
  <c r="AK32" i="4" s="1"/>
  <c r="AL32" i="4" s="1"/>
  <c r="AM32" i="4" s="1"/>
  <c r="AN32" i="4" s="1"/>
  <c r="AO32" i="4" s="1"/>
  <c r="AP32" i="4" s="1"/>
  <c r="AQ32" i="4" s="1"/>
  <c r="AR32" i="4" s="1"/>
  <c r="AS32" i="4" s="1"/>
  <c r="AT32" i="4" s="1"/>
  <c r="AU32" i="4" s="1"/>
  <c r="AV32" i="4" s="1"/>
  <c r="AW32" i="4" s="1"/>
  <c r="AX32" i="4" s="1"/>
  <c r="AY32" i="4" s="1"/>
  <c r="AZ32" i="4" s="1"/>
  <c r="BA32" i="4" s="1"/>
  <c r="BB32" i="4" s="1"/>
  <c r="BC32" i="4" s="1"/>
  <c r="BD32" i="4" s="1"/>
  <c r="BE32" i="4" s="1"/>
  <c r="BF32" i="4" s="1"/>
  <c r="BG32" i="4" s="1"/>
  <c r="BH32" i="4" s="1"/>
  <c r="BI32" i="4" s="1"/>
  <c r="BJ32" i="4" s="1"/>
  <c r="BK32" i="4" s="1"/>
  <c r="BL32" i="4" s="1"/>
  <c r="BM32" i="4" s="1"/>
  <c r="BN32" i="4" s="1"/>
  <c r="BO32" i="4" s="1"/>
  <c r="BP32" i="4" s="1"/>
  <c r="BQ32" i="4" s="1"/>
  <c r="BR32" i="4" s="1"/>
  <c r="BS32" i="4" s="1"/>
  <c r="BT32" i="4" s="1"/>
  <c r="BU32" i="4" s="1"/>
  <c r="BV32" i="4" s="1"/>
  <c r="BW32" i="4" s="1"/>
  <c r="BX32" i="4" s="1"/>
  <c r="BY32" i="4" s="1"/>
  <c r="BZ32" i="4" s="1"/>
  <c r="CA32" i="4" s="1"/>
  <c r="CB32" i="4" s="1"/>
  <c r="CC32" i="4" s="1"/>
  <c r="CD32" i="4" s="1"/>
  <c r="CE32" i="4" s="1"/>
  <c r="CF32" i="4" s="1"/>
  <c r="CG32" i="4" s="1"/>
  <c r="CH32" i="4" s="1"/>
  <c r="CI32" i="4" s="1"/>
  <c r="CJ32" i="4" s="1"/>
  <c r="CK32" i="4" s="1"/>
  <c r="CL32" i="4" s="1"/>
  <c r="CM32" i="4" s="1"/>
  <c r="CN32" i="4" s="1"/>
  <c r="CO32" i="4" s="1"/>
  <c r="CP32" i="4" s="1"/>
  <c r="CQ32" i="4" s="1"/>
  <c r="CR32" i="4" s="1"/>
  <c r="CS32" i="4" s="1"/>
  <c r="CT32" i="4" s="1"/>
  <c r="CU32" i="4" s="1"/>
  <c r="CV32" i="4" s="1"/>
  <c r="CW32" i="4" s="1"/>
  <c r="CX32" i="4" s="1"/>
  <c r="CY32" i="4" s="1"/>
  <c r="CZ32" i="4" s="1"/>
  <c r="DA32" i="4" s="1"/>
  <c r="DB32" i="4" s="1"/>
  <c r="DC32" i="4" s="1"/>
  <c r="DD32" i="4" s="1"/>
  <c r="H6" i="18" l="1"/>
  <c r="B6" i="18" s="1"/>
  <c r="M6" i="18"/>
  <c r="IY10" i="20"/>
  <c r="H7" i="18" l="1"/>
  <c r="H19" i="18"/>
  <c r="H31" i="18"/>
  <c r="H43" i="18"/>
  <c r="H55" i="18"/>
  <c r="H67" i="18"/>
  <c r="H79" i="18"/>
  <c r="H91" i="18"/>
  <c r="H103" i="18"/>
  <c r="H115" i="18"/>
  <c r="H127" i="18"/>
  <c r="H139" i="18"/>
  <c r="H151" i="18"/>
  <c r="H163" i="18"/>
  <c r="H175" i="18"/>
  <c r="H187" i="18"/>
  <c r="H199" i="18"/>
  <c r="H211" i="18"/>
  <c r="H223" i="18"/>
  <c r="H235" i="18"/>
  <c r="H247" i="18"/>
  <c r="H259" i="18"/>
  <c r="H271" i="18"/>
  <c r="H283" i="18"/>
  <c r="H295" i="18"/>
  <c r="H307" i="18"/>
  <c r="H319" i="18"/>
  <c r="H331" i="18"/>
  <c r="H343" i="18"/>
  <c r="H355" i="18"/>
  <c r="H367" i="18"/>
  <c r="H379" i="18"/>
  <c r="H391" i="18"/>
  <c r="H403" i="18"/>
  <c r="H415" i="18"/>
  <c r="H427" i="18"/>
  <c r="H439" i="18"/>
  <c r="H451" i="18"/>
  <c r="H463" i="18"/>
  <c r="H475" i="18"/>
  <c r="H487" i="18"/>
  <c r="H499" i="18"/>
  <c r="H511" i="18"/>
  <c r="H523" i="18"/>
  <c r="H535" i="18"/>
  <c r="H547" i="18"/>
  <c r="H559" i="18"/>
  <c r="H571" i="18"/>
  <c r="H583" i="18"/>
  <c r="H595" i="18"/>
  <c r="H607" i="18"/>
  <c r="H619" i="18"/>
  <c r="H631" i="18"/>
  <c r="H643" i="18"/>
  <c r="H655" i="18"/>
  <c r="H667" i="18"/>
  <c r="H679" i="18"/>
  <c r="H691" i="18"/>
  <c r="H703" i="18"/>
  <c r="H715" i="18"/>
  <c r="H727" i="18"/>
  <c r="H739" i="18"/>
  <c r="H751" i="18"/>
  <c r="H763" i="18"/>
  <c r="H775" i="18"/>
  <c r="H787" i="18"/>
  <c r="H799" i="18"/>
  <c r="H811" i="18"/>
  <c r="H823" i="18"/>
  <c r="H835" i="18"/>
  <c r="H847" i="18"/>
  <c r="H859" i="18"/>
  <c r="H871" i="18"/>
  <c r="H883" i="18"/>
  <c r="H895" i="18"/>
  <c r="H907" i="18"/>
  <c r="H919" i="18"/>
  <c r="H931" i="18"/>
  <c r="H943" i="18"/>
  <c r="H955" i="18"/>
  <c r="H967" i="18"/>
  <c r="H979" i="18"/>
  <c r="H991" i="18"/>
  <c r="H1003" i="18"/>
  <c r="H8" i="18"/>
  <c r="H20" i="18"/>
  <c r="H32" i="18"/>
  <c r="H44" i="18"/>
  <c r="H56" i="18"/>
  <c r="H68" i="18"/>
  <c r="H80" i="18"/>
  <c r="H92" i="18"/>
  <c r="H104" i="18"/>
  <c r="H116" i="18"/>
  <c r="H128" i="18"/>
  <c r="H140" i="18"/>
  <c r="H152" i="18"/>
  <c r="H164" i="18"/>
  <c r="H176" i="18"/>
  <c r="H188" i="18"/>
  <c r="H200" i="18"/>
  <c r="H212" i="18"/>
  <c r="H224" i="18"/>
  <c r="H236" i="18"/>
  <c r="H248" i="18"/>
  <c r="H260" i="18"/>
  <c r="H272" i="18"/>
  <c r="H284" i="18"/>
  <c r="H296" i="18"/>
  <c r="H308" i="18"/>
  <c r="H320" i="18"/>
  <c r="H332" i="18"/>
  <c r="H344" i="18"/>
  <c r="H356" i="18"/>
  <c r="H368" i="18"/>
  <c r="H380" i="18"/>
  <c r="H392" i="18"/>
  <c r="H404" i="18"/>
  <c r="H416" i="18"/>
  <c r="H428" i="18"/>
  <c r="H440" i="18"/>
  <c r="H452" i="18"/>
  <c r="H464" i="18"/>
  <c r="H476" i="18"/>
  <c r="H488" i="18"/>
  <c r="H500" i="18"/>
  <c r="H512" i="18"/>
  <c r="H524" i="18"/>
  <c r="H536" i="18"/>
  <c r="H548" i="18"/>
  <c r="H560" i="18"/>
  <c r="H572" i="18"/>
  <c r="H584" i="18"/>
  <c r="H596" i="18"/>
  <c r="H608" i="18"/>
  <c r="H620" i="18"/>
  <c r="H632" i="18"/>
  <c r="H644" i="18"/>
  <c r="H656" i="18"/>
  <c r="H668" i="18"/>
  <c r="H680" i="18"/>
  <c r="H692" i="18"/>
  <c r="H704" i="18"/>
  <c r="H716" i="18"/>
  <c r="H728" i="18"/>
  <c r="H740" i="18"/>
  <c r="H752" i="18"/>
  <c r="H764" i="18"/>
  <c r="H776" i="18"/>
  <c r="H788" i="18"/>
  <c r="H800" i="18"/>
  <c r="H812" i="18"/>
  <c r="H824" i="18"/>
  <c r="H836" i="18"/>
  <c r="H848" i="18"/>
  <c r="H860" i="18"/>
  <c r="H872" i="18"/>
  <c r="H884" i="18"/>
  <c r="H896" i="18"/>
  <c r="H908" i="18"/>
  <c r="H920" i="18"/>
  <c r="H932" i="18"/>
  <c r="H944" i="18"/>
  <c r="H956" i="18"/>
  <c r="H968" i="18"/>
  <c r="H980" i="18"/>
  <c r="H992" i="18"/>
  <c r="H1004" i="18"/>
  <c r="H1016" i="18"/>
  <c r="H9" i="18"/>
  <c r="H21" i="18"/>
  <c r="H33" i="18"/>
  <c r="H45" i="18"/>
  <c r="H57" i="18"/>
  <c r="H69" i="18"/>
  <c r="H81" i="18"/>
  <c r="H93" i="18"/>
  <c r="H105" i="18"/>
  <c r="H117" i="18"/>
  <c r="H129" i="18"/>
  <c r="H141" i="18"/>
  <c r="H153" i="18"/>
  <c r="H165" i="18"/>
  <c r="H177" i="18"/>
  <c r="H189" i="18"/>
  <c r="H201" i="18"/>
  <c r="H213" i="18"/>
  <c r="H225" i="18"/>
  <c r="H237" i="18"/>
  <c r="H249" i="18"/>
  <c r="H261" i="18"/>
  <c r="H273" i="18"/>
  <c r="H285" i="18"/>
  <c r="H297" i="18"/>
  <c r="H309" i="18"/>
  <c r="H321" i="18"/>
  <c r="H333" i="18"/>
  <c r="H345" i="18"/>
  <c r="H357" i="18"/>
  <c r="H369" i="18"/>
  <c r="H381" i="18"/>
  <c r="H393" i="18"/>
  <c r="H405" i="18"/>
  <c r="H417" i="18"/>
  <c r="H429" i="18"/>
  <c r="H441" i="18"/>
  <c r="H453" i="18"/>
  <c r="H465" i="18"/>
  <c r="H477" i="18"/>
  <c r="H489" i="18"/>
  <c r="H501" i="18"/>
  <c r="H513" i="18"/>
  <c r="H525" i="18"/>
  <c r="H537" i="18"/>
  <c r="H549" i="18"/>
  <c r="H561" i="18"/>
  <c r="H573" i="18"/>
  <c r="H585" i="18"/>
  <c r="H597" i="18"/>
  <c r="H609" i="18"/>
  <c r="H621" i="18"/>
  <c r="H633" i="18"/>
  <c r="H645" i="18"/>
  <c r="H657" i="18"/>
  <c r="H669" i="18"/>
  <c r="H681" i="18"/>
  <c r="H693" i="18"/>
  <c r="H705" i="18"/>
  <c r="H717" i="18"/>
  <c r="H729" i="18"/>
  <c r="H741" i="18"/>
  <c r="H753" i="18"/>
  <c r="H765" i="18"/>
  <c r="H777" i="18"/>
  <c r="H789" i="18"/>
  <c r="H801" i="18"/>
  <c r="H813" i="18"/>
  <c r="H825" i="18"/>
  <c r="H837" i="18"/>
  <c r="H849" i="18"/>
  <c r="H861" i="18"/>
  <c r="H873" i="18"/>
  <c r="H885" i="18"/>
  <c r="H897" i="18"/>
  <c r="H909" i="18"/>
  <c r="H921" i="18"/>
  <c r="H933" i="18"/>
  <c r="H945" i="18"/>
  <c r="H957" i="18"/>
  <c r="H969" i="18"/>
  <c r="H981" i="18"/>
  <c r="H10" i="18"/>
  <c r="H22" i="18"/>
  <c r="H34" i="18"/>
  <c r="H46" i="18"/>
  <c r="H58" i="18"/>
  <c r="H70" i="18"/>
  <c r="H82" i="18"/>
  <c r="H94" i="18"/>
  <c r="H106" i="18"/>
  <c r="H118" i="18"/>
  <c r="H130" i="18"/>
  <c r="H142" i="18"/>
  <c r="H154" i="18"/>
  <c r="H166" i="18"/>
  <c r="H178" i="18"/>
  <c r="H190" i="18"/>
  <c r="H202" i="18"/>
  <c r="H214" i="18"/>
  <c r="H226" i="18"/>
  <c r="H238" i="18"/>
  <c r="H250" i="18"/>
  <c r="H262" i="18"/>
  <c r="H274" i="18"/>
  <c r="H286" i="18"/>
  <c r="H298" i="18"/>
  <c r="H310" i="18"/>
  <c r="H322" i="18"/>
  <c r="H334" i="18"/>
  <c r="H346" i="18"/>
  <c r="H358" i="18"/>
  <c r="H370" i="18"/>
  <c r="H382" i="18"/>
  <c r="H394" i="18"/>
  <c r="H406" i="18"/>
  <c r="H418" i="18"/>
  <c r="H430" i="18"/>
  <c r="H442" i="18"/>
  <c r="H454" i="18"/>
  <c r="H466" i="18"/>
  <c r="H478" i="18"/>
  <c r="H490" i="18"/>
  <c r="H502" i="18"/>
  <c r="H514" i="18"/>
  <c r="H526" i="18"/>
  <c r="H538" i="18"/>
  <c r="H550" i="18"/>
  <c r="H562" i="18"/>
  <c r="H574" i="18"/>
  <c r="H586" i="18"/>
  <c r="H598" i="18"/>
  <c r="H610" i="18"/>
  <c r="H622" i="18"/>
  <c r="H634" i="18"/>
  <c r="H646" i="18"/>
  <c r="H658" i="18"/>
  <c r="H670" i="18"/>
  <c r="H682" i="18"/>
  <c r="H694" i="18"/>
  <c r="H706" i="18"/>
  <c r="H718" i="18"/>
  <c r="H730" i="18"/>
  <c r="H742" i="18"/>
  <c r="H754" i="18"/>
  <c r="H766" i="18"/>
  <c r="H778" i="18"/>
  <c r="H790" i="18"/>
  <c r="H802" i="18"/>
  <c r="H814" i="18"/>
  <c r="H826" i="18"/>
  <c r="H838" i="18"/>
  <c r="H850" i="18"/>
  <c r="H862" i="18"/>
  <c r="H874" i="18"/>
  <c r="H886" i="18"/>
  <c r="H898" i="18"/>
  <c r="H910" i="18"/>
  <c r="H922" i="18"/>
  <c r="H934" i="18"/>
  <c r="H946" i="18"/>
  <c r="H958" i="18"/>
  <c r="H970" i="18"/>
  <c r="H11" i="18"/>
  <c r="H23" i="18"/>
  <c r="H35" i="18"/>
  <c r="H47" i="18"/>
  <c r="H59" i="18"/>
  <c r="H71" i="18"/>
  <c r="H83" i="18"/>
  <c r="H95" i="18"/>
  <c r="H107" i="18"/>
  <c r="H119" i="18"/>
  <c r="H131" i="18"/>
  <c r="H143" i="18"/>
  <c r="H155" i="18"/>
  <c r="H167" i="18"/>
  <c r="H179" i="18"/>
  <c r="H191" i="18"/>
  <c r="H203" i="18"/>
  <c r="H215" i="18"/>
  <c r="H227" i="18"/>
  <c r="H239" i="18"/>
  <c r="H251" i="18"/>
  <c r="H263" i="18"/>
  <c r="H275" i="18"/>
  <c r="H287" i="18"/>
  <c r="H299" i="18"/>
  <c r="H311" i="18"/>
  <c r="H323" i="18"/>
  <c r="H335" i="18"/>
  <c r="H347" i="18"/>
  <c r="H359" i="18"/>
  <c r="H371" i="18"/>
  <c r="H383" i="18"/>
  <c r="H395" i="18"/>
  <c r="H407" i="18"/>
  <c r="H419" i="18"/>
  <c r="H431" i="18"/>
  <c r="H443" i="18"/>
  <c r="H455" i="18"/>
  <c r="H467" i="18"/>
  <c r="H479" i="18"/>
  <c r="H491" i="18"/>
  <c r="H503" i="18"/>
  <c r="H515" i="18"/>
  <c r="H527" i="18"/>
  <c r="H539" i="18"/>
  <c r="H551" i="18"/>
  <c r="H563" i="18"/>
  <c r="H575" i="18"/>
  <c r="H587" i="18"/>
  <c r="H599" i="18"/>
  <c r="H611" i="18"/>
  <c r="H623" i="18"/>
  <c r="H635" i="18"/>
  <c r="H647" i="18"/>
  <c r="H659" i="18"/>
  <c r="H671" i="18"/>
  <c r="H683" i="18"/>
  <c r="H695" i="18"/>
  <c r="H707" i="18"/>
  <c r="H719" i="18"/>
  <c r="H731" i="18"/>
  <c r="H743" i="18"/>
  <c r="H755" i="18"/>
  <c r="H767" i="18"/>
  <c r="H779" i="18"/>
  <c r="H791" i="18"/>
  <c r="H803" i="18"/>
  <c r="H815" i="18"/>
  <c r="H827" i="18"/>
  <c r="H839" i="18"/>
  <c r="H851" i="18"/>
  <c r="H863" i="18"/>
  <c r="H875" i="18"/>
  <c r="H887" i="18"/>
  <c r="H899" i="18"/>
  <c r="H911" i="18"/>
  <c r="H923" i="18"/>
  <c r="H935" i="18"/>
  <c r="H947" i="18"/>
  <c r="H959" i="18"/>
  <c r="H971" i="18"/>
  <c r="H12" i="18"/>
  <c r="H24" i="18"/>
  <c r="H36" i="18"/>
  <c r="H48" i="18"/>
  <c r="H60" i="18"/>
  <c r="H72" i="18"/>
  <c r="H84" i="18"/>
  <c r="H96" i="18"/>
  <c r="H108" i="18"/>
  <c r="H120" i="18"/>
  <c r="H132" i="18"/>
  <c r="H144" i="18"/>
  <c r="H156" i="18"/>
  <c r="H168" i="18"/>
  <c r="H180" i="18"/>
  <c r="H192" i="18"/>
  <c r="H204" i="18"/>
  <c r="H216" i="18"/>
  <c r="H228" i="18"/>
  <c r="H240" i="18"/>
  <c r="H252" i="18"/>
  <c r="H264" i="18"/>
  <c r="H276" i="18"/>
  <c r="H288" i="18"/>
  <c r="H300" i="18"/>
  <c r="H312" i="18"/>
  <c r="H324" i="18"/>
  <c r="H336" i="18"/>
  <c r="H348" i="18"/>
  <c r="H360" i="18"/>
  <c r="H372" i="18"/>
  <c r="H384" i="18"/>
  <c r="H396" i="18"/>
  <c r="H408" i="18"/>
  <c r="H420" i="18"/>
  <c r="H432" i="18"/>
  <c r="H444" i="18"/>
  <c r="H456" i="18"/>
  <c r="H468" i="18"/>
  <c r="H480" i="18"/>
  <c r="H492" i="18"/>
  <c r="H504" i="18"/>
  <c r="H516" i="18"/>
  <c r="H528" i="18"/>
  <c r="H540" i="18"/>
  <c r="H552" i="18"/>
  <c r="H564" i="18"/>
  <c r="H576" i="18"/>
  <c r="H588" i="18"/>
  <c r="H600" i="18"/>
  <c r="H612" i="18"/>
  <c r="H624" i="18"/>
  <c r="H636" i="18"/>
  <c r="H648" i="18"/>
  <c r="H660" i="18"/>
  <c r="H672" i="18"/>
  <c r="H684" i="18"/>
  <c r="H696" i="18"/>
  <c r="H708" i="18"/>
  <c r="H720" i="18"/>
  <c r="H732" i="18"/>
  <c r="H744" i="18"/>
  <c r="H756" i="18"/>
  <c r="H768" i="18"/>
  <c r="H780" i="18"/>
  <c r="H792" i="18"/>
  <c r="H804" i="18"/>
  <c r="H816" i="18"/>
  <c r="H828" i="18"/>
  <c r="H840" i="18"/>
  <c r="H852" i="18"/>
  <c r="H864" i="18"/>
  <c r="H876" i="18"/>
  <c r="H888" i="18"/>
  <c r="H900" i="18"/>
  <c r="H912" i="18"/>
  <c r="H924" i="18"/>
  <c r="H936" i="18"/>
  <c r="H948" i="18"/>
  <c r="H960" i="18"/>
  <c r="H972" i="18"/>
  <c r="H984" i="18"/>
  <c r="H996" i="18"/>
  <c r="H1008" i="18"/>
  <c r="H1020" i="18"/>
  <c r="H13" i="18"/>
  <c r="H25" i="18"/>
  <c r="H37" i="18"/>
  <c r="H49" i="18"/>
  <c r="H61" i="18"/>
  <c r="H73" i="18"/>
  <c r="H85" i="18"/>
  <c r="H97" i="18"/>
  <c r="H109" i="18"/>
  <c r="H121" i="18"/>
  <c r="H133" i="18"/>
  <c r="H145" i="18"/>
  <c r="H157" i="18"/>
  <c r="H169" i="18"/>
  <c r="H181" i="18"/>
  <c r="H193" i="18"/>
  <c r="H205" i="18"/>
  <c r="H217" i="18"/>
  <c r="H229" i="18"/>
  <c r="H241" i="18"/>
  <c r="H253" i="18"/>
  <c r="H265" i="18"/>
  <c r="H277" i="18"/>
  <c r="H289" i="18"/>
  <c r="H301" i="18"/>
  <c r="H313" i="18"/>
  <c r="H325" i="18"/>
  <c r="H337" i="18"/>
  <c r="H349" i="18"/>
  <c r="H361" i="18"/>
  <c r="H373" i="18"/>
  <c r="H385" i="18"/>
  <c r="H397" i="18"/>
  <c r="H409" i="18"/>
  <c r="H421" i="18"/>
  <c r="H433" i="18"/>
  <c r="H445" i="18"/>
  <c r="H457" i="18"/>
  <c r="H469" i="18"/>
  <c r="H481" i="18"/>
  <c r="H493" i="18"/>
  <c r="H505" i="18"/>
  <c r="H517" i="18"/>
  <c r="H529" i="18"/>
  <c r="H541" i="18"/>
  <c r="H553" i="18"/>
  <c r="H565" i="18"/>
  <c r="H577" i="18"/>
  <c r="H589" i="18"/>
  <c r="H601" i="18"/>
  <c r="H613" i="18"/>
  <c r="H625" i="18"/>
  <c r="H637" i="18"/>
  <c r="H649" i="18"/>
  <c r="H661" i="18"/>
  <c r="H673" i="18"/>
  <c r="H685" i="18"/>
  <c r="H697" i="18"/>
  <c r="H709" i="18"/>
  <c r="H721" i="18"/>
  <c r="H733" i="18"/>
  <c r="H745" i="18"/>
  <c r="H757" i="18"/>
  <c r="H769" i="18"/>
  <c r="H781" i="18"/>
  <c r="H793" i="18"/>
  <c r="H805" i="18"/>
  <c r="H817" i="18"/>
  <c r="H829" i="18"/>
  <c r="H841" i="18"/>
  <c r="H853" i="18"/>
  <c r="H865" i="18"/>
  <c r="H877" i="18"/>
  <c r="H889" i="18"/>
  <c r="H901" i="18"/>
  <c r="H913" i="18"/>
  <c r="H925" i="18"/>
  <c r="H937" i="18"/>
  <c r="H949" i="18"/>
  <c r="H961" i="18"/>
  <c r="H973" i="18"/>
  <c r="H985" i="18"/>
  <c r="H997" i="18"/>
  <c r="H1009" i="18"/>
  <c r="H1021" i="18"/>
  <c r="H14" i="18"/>
  <c r="H26" i="18"/>
  <c r="H38" i="18"/>
  <c r="H50" i="18"/>
  <c r="H62" i="18"/>
  <c r="H74" i="18"/>
  <c r="H86" i="18"/>
  <c r="H98" i="18"/>
  <c r="H110" i="18"/>
  <c r="H122" i="18"/>
  <c r="H134" i="18"/>
  <c r="H146" i="18"/>
  <c r="H158" i="18"/>
  <c r="H170" i="18"/>
  <c r="H182" i="18"/>
  <c r="H194" i="18"/>
  <c r="H206" i="18"/>
  <c r="H218" i="18"/>
  <c r="H230" i="18"/>
  <c r="H242" i="18"/>
  <c r="H254" i="18"/>
  <c r="H266" i="18"/>
  <c r="H278" i="18"/>
  <c r="H290" i="18"/>
  <c r="H302" i="18"/>
  <c r="H314" i="18"/>
  <c r="H326" i="18"/>
  <c r="H338" i="18"/>
  <c r="H350" i="18"/>
  <c r="H362" i="18"/>
  <c r="H374" i="18"/>
  <c r="H386" i="18"/>
  <c r="H398" i="18"/>
  <c r="H410" i="18"/>
  <c r="H422" i="18"/>
  <c r="H434" i="18"/>
  <c r="H446" i="18"/>
  <c r="H458" i="18"/>
  <c r="H470" i="18"/>
  <c r="H482" i="18"/>
  <c r="H494" i="18"/>
  <c r="H506" i="18"/>
  <c r="H518" i="18"/>
  <c r="H530" i="18"/>
  <c r="H542" i="18"/>
  <c r="H554" i="18"/>
  <c r="H566" i="18"/>
  <c r="H578" i="18"/>
  <c r="H590" i="18"/>
  <c r="H602" i="18"/>
  <c r="H614" i="18"/>
  <c r="H626" i="18"/>
  <c r="H638" i="18"/>
  <c r="H650" i="18"/>
  <c r="H662" i="18"/>
  <c r="H674" i="18"/>
  <c r="H686" i="18"/>
  <c r="H698" i="18"/>
  <c r="H710" i="18"/>
  <c r="H722" i="18"/>
  <c r="H734" i="18"/>
  <c r="H746" i="18"/>
  <c r="H758" i="18"/>
  <c r="H770" i="18"/>
  <c r="H782" i="18"/>
  <c r="H794" i="18"/>
  <c r="H806" i="18"/>
  <c r="H818" i="18"/>
  <c r="H830" i="18"/>
  <c r="H842" i="18"/>
  <c r="H854" i="18"/>
  <c r="H866" i="18"/>
  <c r="H878" i="18"/>
  <c r="H890" i="18"/>
  <c r="H902" i="18"/>
  <c r="H914" i="18"/>
  <c r="H926" i="18"/>
  <c r="H938" i="18"/>
  <c r="H950" i="18"/>
  <c r="H962" i="18"/>
  <c r="H974" i="18"/>
  <c r="H986" i="18"/>
  <c r="H998" i="18"/>
  <c r="H1010" i="18"/>
  <c r="H15" i="18"/>
  <c r="H51" i="18"/>
  <c r="H87" i="18"/>
  <c r="H123" i="18"/>
  <c r="H159" i="18"/>
  <c r="H195" i="18"/>
  <c r="H231" i="18"/>
  <c r="H267" i="18"/>
  <c r="H303" i="18"/>
  <c r="H339" i="18"/>
  <c r="H375" i="18"/>
  <c r="H411" i="18"/>
  <c r="H447" i="18"/>
  <c r="H483" i="18"/>
  <c r="H519" i="18"/>
  <c r="H555" i="18"/>
  <c r="H591" i="18"/>
  <c r="H627" i="18"/>
  <c r="H663" i="18"/>
  <c r="H699" i="18"/>
  <c r="H735" i="18"/>
  <c r="H771" i="18"/>
  <c r="H807" i="18"/>
  <c r="H843" i="18"/>
  <c r="H879" i="18"/>
  <c r="H915" i="18"/>
  <c r="H951" i="18"/>
  <c r="H982" i="18"/>
  <c r="H1002" i="18"/>
  <c r="H1022" i="18"/>
  <c r="H1034" i="18"/>
  <c r="H1046" i="18"/>
  <c r="H1058" i="18"/>
  <c r="H1070" i="18"/>
  <c r="H1082" i="18"/>
  <c r="H1094" i="18"/>
  <c r="H1106" i="18"/>
  <c r="H1118" i="18"/>
  <c r="H1130" i="18"/>
  <c r="H1142" i="18"/>
  <c r="H1154" i="18"/>
  <c r="H1166" i="18"/>
  <c r="H1178" i="18"/>
  <c r="H1190" i="18"/>
  <c r="H1202" i="18"/>
  <c r="H1214" i="18"/>
  <c r="H1226" i="18"/>
  <c r="H1238" i="18"/>
  <c r="H1250" i="18"/>
  <c r="H1262" i="18"/>
  <c r="H1274" i="18"/>
  <c r="H1286" i="18"/>
  <c r="H1298" i="18"/>
  <c r="H1310" i="18"/>
  <c r="H1322" i="18"/>
  <c r="H1334" i="18"/>
  <c r="H1346" i="18"/>
  <c r="H1358" i="18"/>
  <c r="H1370" i="18"/>
  <c r="H1382" i="18"/>
  <c r="H1394" i="18"/>
  <c r="H1406" i="18"/>
  <c r="H1418" i="18"/>
  <c r="H1430" i="18"/>
  <c r="H1442" i="18"/>
  <c r="H1454" i="18"/>
  <c r="H1466" i="18"/>
  <c r="H1478" i="18"/>
  <c r="H1490" i="18"/>
  <c r="H1502" i="18"/>
  <c r="H1514" i="18"/>
  <c r="H1526" i="18"/>
  <c r="H1538" i="18"/>
  <c r="H1550" i="18"/>
  <c r="H1562" i="18"/>
  <c r="H1574" i="18"/>
  <c r="H1586" i="18"/>
  <c r="H1598" i="18"/>
  <c r="H1610" i="18"/>
  <c r="H1622" i="18"/>
  <c r="H1634" i="18"/>
  <c r="H1646" i="18"/>
  <c r="H1658" i="18"/>
  <c r="H1670" i="18"/>
  <c r="H16" i="18"/>
  <c r="H52" i="18"/>
  <c r="H88" i="18"/>
  <c r="H124" i="18"/>
  <c r="H160" i="18"/>
  <c r="H196" i="18"/>
  <c r="H232" i="18"/>
  <c r="H268" i="18"/>
  <c r="H304" i="18"/>
  <c r="H340" i="18"/>
  <c r="H376" i="18"/>
  <c r="H412" i="18"/>
  <c r="H448" i="18"/>
  <c r="H484" i="18"/>
  <c r="H520" i="18"/>
  <c r="H556" i="18"/>
  <c r="H592" i="18"/>
  <c r="H628" i="18"/>
  <c r="H664" i="18"/>
  <c r="H700" i="18"/>
  <c r="H736" i="18"/>
  <c r="H772" i="18"/>
  <c r="H808" i="18"/>
  <c r="H844" i="18"/>
  <c r="H880" i="18"/>
  <c r="H916" i="18"/>
  <c r="H952" i="18"/>
  <c r="H983" i="18"/>
  <c r="H1005" i="18"/>
  <c r="H1023" i="18"/>
  <c r="H1035" i="18"/>
  <c r="H1047" i="18"/>
  <c r="H1059" i="18"/>
  <c r="H1071" i="18"/>
  <c r="H1083" i="18"/>
  <c r="H1095" i="18"/>
  <c r="H1107" i="18"/>
  <c r="H1119" i="18"/>
  <c r="H1131" i="18"/>
  <c r="H1143" i="18"/>
  <c r="H1155" i="18"/>
  <c r="H1167" i="18"/>
  <c r="H1179" i="18"/>
  <c r="H1191" i="18"/>
  <c r="H1203" i="18"/>
  <c r="H1215" i="18"/>
  <c r="H1227" i="18"/>
  <c r="H1239" i="18"/>
  <c r="H1251" i="18"/>
  <c r="H1263" i="18"/>
  <c r="H1275" i="18"/>
  <c r="H1287" i="18"/>
  <c r="H1299" i="18"/>
  <c r="H1311" i="18"/>
  <c r="H1323" i="18"/>
  <c r="H1335" i="18"/>
  <c r="H1347" i="18"/>
  <c r="H1359" i="18"/>
  <c r="H1371" i="18"/>
  <c r="H1383" i="18"/>
  <c r="H1395" i="18"/>
  <c r="H1407" i="18"/>
  <c r="H1419" i="18"/>
  <c r="H1431" i="18"/>
  <c r="H1443" i="18"/>
  <c r="H1455" i="18"/>
  <c r="H1467" i="18"/>
  <c r="H1479" i="18"/>
  <c r="H1491" i="18"/>
  <c r="H1503" i="18"/>
  <c r="H1515" i="18"/>
  <c r="H1527" i="18"/>
  <c r="H1539" i="18"/>
  <c r="H1551" i="18"/>
  <c r="H1563" i="18"/>
  <c r="H1575" i="18"/>
  <c r="H1587" i="18"/>
  <c r="H1599" i="18"/>
  <c r="H1611" i="18"/>
  <c r="H1623" i="18"/>
  <c r="H1635" i="18"/>
  <c r="H1647" i="18"/>
  <c r="H1659" i="18"/>
  <c r="H1671" i="18"/>
  <c r="H1683" i="18"/>
  <c r="H17" i="18"/>
  <c r="H53" i="18"/>
  <c r="H89" i="18"/>
  <c r="H125" i="18"/>
  <c r="H161" i="18"/>
  <c r="H197" i="18"/>
  <c r="H233" i="18"/>
  <c r="H269" i="18"/>
  <c r="H305" i="18"/>
  <c r="H341" i="18"/>
  <c r="H377" i="18"/>
  <c r="H413" i="18"/>
  <c r="H449" i="18"/>
  <c r="H485" i="18"/>
  <c r="H521" i="18"/>
  <c r="H557" i="18"/>
  <c r="H593" i="18"/>
  <c r="H629" i="18"/>
  <c r="H665" i="18"/>
  <c r="H701" i="18"/>
  <c r="H737" i="18"/>
  <c r="H773" i="18"/>
  <c r="H809" i="18"/>
  <c r="H845" i="18"/>
  <c r="H881" i="18"/>
  <c r="H917" i="18"/>
  <c r="H953" i="18"/>
  <c r="H987" i="18"/>
  <c r="H1006" i="18"/>
  <c r="H1024" i="18"/>
  <c r="H1036" i="18"/>
  <c r="H1048" i="18"/>
  <c r="H1060" i="18"/>
  <c r="H1072" i="18"/>
  <c r="H1084" i="18"/>
  <c r="H1096" i="18"/>
  <c r="H1108" i="18"/>
  <c r="H1120" i="18"/>
  <c r="H1132" i="18"/>
  <c r="H1144" i="18"/>
  <c r="H1156" i="18"/>
  <c r="H1168" i="18"/>
  <c r="H1180" i="18"/>
  <c r="H1192" i="18"/>
  <c r="H1204" i="18"/>
  <c r="H1216" i="18"/>
  <c r="H1228" i="18"/>
  <c r="H1240" i="18"/>
  <c r="H1252" i="18"/>
  <c r="H1264" i="18"/>
  <c r="H1276" i="18"/>
  <c r="H1288" i="18"/>
  <c r="H1300" i="18"/>
  <c r="H1312" i="18"/>
  <c r="H1324" i="18"/>
  <c r="H1336" i="18"/>
  <c r="H1348" i="18"/>
  <c r="H1360" i="18"/>
  <c r="H1372" i="18"/>
  <c r="H1384" i="18"/>
  <c r="H1396" i="18"/>
  <c r="H1408" i="18"/>
  <c r="H1420" i="18"/>
  <c r="H1432" i="18"/>
  <c r="H1444" i="18"/>
  <c r="H1456" i="18"/>
  <c r="H1468" i="18"/>
  <c r="H1480" i="18"/>
  <c r="H1492" i="18"/>
  <c r="H1504" i="18"/>
  <c r="H1516" i="18"/>
  <c r="H1528" i="18"/>
  <c r="H1540" i="18"/>
  <c r="H1552" i="18"/>
  <c r="H1564" i="18"/>
  <c r="H1576" i="18"/>
  <c r="H1588" i="18"/>
  <c r="H1600" i="18"/>
  <c r="H1612" i="18"/>
  <c r="H1624" i="18"/>
  <c r="H1636" i="18"/>
  <c r="H1648" i="18"/>
  <c r="H1660" i="18"/>
  <c r="H18" i="18"/>
  <c r="H54" i="18"/>
  <c r="H90" i="18"/>
  <c r="H126" i="18"/>
  <c r="H162" i="18"/>
  <c r="H198" i="18"/>
  <c r="H234" i="18"/>
  <c r="H270" i="18"/>
  <c r="H306" i="18"/>
  <c r="H342" i="18"/>
  <c r="H378" i="18"/>
  <c r="H414" i="18"/>
  <c r="H450" i="18"/>
  <c r="H486" i="18"/>
  <c r="H522" i="18"/>
  <c r="H558" i="18"/>
  <c r="H594" i="18"/>
  <c r="H630" i="18"/>
  <c r="H666" i="18"/>
  <c r="H702" i="18"/>
  <c r="H738" i="18"/>
  <c r="H774" i="18"/>
  <c r="H810" i="18"/>
  <c r="H846" i="18"/>
  <c r="H882" i="18"/>
  <c r="H918" i="18"/>
  <c r="H954" i="18"/>
  <c r="H988" i="18"/>
  <c r="H1007" i="18"/>
  <c r="H1025" i="18"/>
  <c r="H1037" i="18"/>
  <c r="H1049" i="18"/>
  <c r="H1061" i="18"/>
  <c r="H1073" i="18"/>
  <c r="H1085" i="18"/>
  <c r="H1097" i="18"/>
  <c r="H1109" i="18"/>
  <c r="H1121" i="18"/>
  <c r="H1133" i="18"/>
  <c r="H1145" i="18"/>
  <c r="H1157" i="18"/>
  <c r="H1169" i="18"/>
  <c r="H1181" i="18"/>
  <c r="H1193" i="18"/>
  <c r="H1205" i="18"/>
  <c r="H1217" i="18"/>
  <c r="H1229" i="18"/>
  <c r="H1241" i="18"/>
  <c r="H1253" i="18"/>
  <c r="H1265" i="18"/>
  <c r="H1277" i="18"/>
  <c r="H1289" i="18"/>
  <c r="H1301" i="18"/>
  <c r="H1313" i="18"/>
  <c r="H1325" i="18"/>
  <c r="H1337" i="18"/>
  <c r="H1349" i="18"/>
  <c r="H1361" i="18"/>
  <c r="H1373" i="18"/>
  <c r="H1385" i="18"/>
  <c r="H1397" i="18"/>
  <c r="H1409" i="18"/>
  <c r="H1421" i="18"/>
  <c r="H1433" i="18"/>
  <c r="H1445" i="18"/>
  <c r="H1457" i="18"/>
  <c r="H1469" i="18"/>
  <c r="H1481" i="18"/>
  <c r="H1493" i="18"/>
  <c r="H1505" i="18"/>
  <c r="H1517" i="18"/>
  <c r="H1529" i="18"/>
  <c r="H1541" i="18"/>
  <c r="H1553" i="18"/>
  <c r="H1565" i="18"/>
  <c r="H1577" i="18"/>
  <c r="H1589" i="18"/>
  <c r="H1601" i="18"/>
  <c r="H1613" i="18"/>
  <c r="H1625" i="18"/>
  <c r="H1637" i="18"/>
  <c r="H1649" i="18"/>
  <c r="H1661" i="18"/>
  <c r="H27" i="18"/>
  <c r="H63" i="18"/>
  <c r="H99" i="18"/>
  <c r="H135" i="18"/>
  <c r="H171" i="18"/>
  <c r="H207" i="18"/>
  <c r="H243" i="18"/>
  <c r="H279" i="18"/>
  <c r="H315" i="18"/>
  <c r="H351" i="18"/>
  <c r="H387" i="18"/>
  <c r="H423" i="18"/>
  <c r="H459" i="18"/>
  <c r="H495" i="18"/>
  <c r="H531" i="18"/>
  <c r="H567" i="18"/>
  <c r="H603" i="18"/>
  <c r="H639" i="18"/>
  <c r="H675" i="18"/>
  <c r="H711" i="18"/>
  <c r="H747" i="18"/>
  <c r="H783" i="18"/>
  <c r="H819" i="18"/>
  <c r="H855" i="18"/>
  <c r="H891" i="18"/>
  <c r="H927" i="18"/>
  <c r="H963" i="18"/>
  <c r="H989" i="18"/>
  <c r="H1011" i="18"/>
  <c r="H1026" i="18"/>
  <c r="H1038" i="18"/>
  <c r="H1050" i="18"/>
  <c r="H1062" i="18"/>
  <c r="H1074" i="18"/>
  <c r="H1086" i="18"/>
  <c r="H1098" i="18"/>
  <c r="H1110" i="18"/>
  <c r="H1122" i="18"/>
  <c r="H1134" i="18"/>
  <c r="H1146" i="18"/>
  <c r="H1158" i="18"/>
  <c r="H1170" i="18"/>
  <c r="H1182" i="18"/>
  <c r="H1194" i="18"/>
  <c r="H1206" i="18"/>
  <c r="H1218" i="18"/>
  <c r="H1230" i="18"/>
  <c r="H1242" i="18"/>
  <c r="H1254" i="18"/>
  <c r="H1266" i="18"/>
  <c r="H1278" i="18"/>
  <c r="H1290" i="18"/>
  <c r="H1302" i="18"/>
  <c r="H1314" i="18"/>
  <c r="H1326" i="18"/>
  <c r="H1338" i="18"/>
  <c r="H1350" i="18"/>
  <c r="H1362" i="18"/>
  <c r="H1374" i="18"/>
  <c r="H1386" i="18"/>
  <c r="H1398" i="18"/>
  <c r="H1410" i="18"/>
  <c r="H1422" i="18"/>
  <c r="H1434" i="18"/>
  <c r="H1446" i="18"/>
  <c r="H1458" i="18"/>
  <c r="H1470" i="18"/>
  <c r="H1482" i="18"/>
  <c r="H1494" i="18"/>
  <c r="H1506" i="18"/>
  <c r="H1518" i="18"/>
  <c r="H1530" i="18"/>
  <c r="H1542" i="18"/>
  <c r="H1554" i="18"/>
  <c r="H1566" i="18"/>
  <c r="H1578" i="18"/>
  <c r="H1590" i="18"/>
  <c r="H1602" i="18"/>
  <c r="H1614" i="18"/>
  <c r="H1626" i="18"/>
  <c r="H1638" i="18"/>
  <c r="H1650" i="18"/>
  <c r="H1662" i="18"/>
  <c r="H28" i="18"/>
  <c r="H64" i="18"/>
  <c r="H100" i="18"/>
  <c r="H136" i="18"/>
  <c r="H172" i="18"/>
  <c r="H208" i="18"/>
  <c r="H244" i="18"/>
  <c r="H280" i="18"/>
  <c r="H316" i="18"/>
  <c r="H352" i="18"/>
  <c r="H388" i="18"/>
  <c r="H424" i="18"/>
  <c r="H460" i="18"/>
  <c r="H496" i="18"/>
  <c r="H532" i="18"/>
  <c r="H568" i="18"/>
  <c r="H604" i="18"/>
  <c r="H640" i="18"/>
  <c r="H676" i="18"/>
  <c r="H712" i="18"/>
  <c r="H748" i="18"/>
  <c r="H784" i="18"/>
  <c r="H820" i="18"/>
  <c r="H856" i="18"/>
  <c r="H892" i="18"/>
  <c r="H928" i="18"/>
  <c r="H964" i="18"/>
  <c r="H990" i="18"/>
  <c r="H1012" i="18"/>
  <c r="H1027" i="18"/>
  <c r="H1039" i="18"/>
  <c r="H1051" i="18"/>
  <c r="H1063" i="18"/>
  <c r="H1075" i="18"/>
  <c r="H1087" i="18"/>
  <c r="H1099" i="18"/>
  <c r="H1111" i="18"/>
  <c r="H1123" i="18"/>
  <c r="H1135" i="18"/>
  <c r="H1147" i="18"/>
  <c r="H1159" i="18"/>
  <c r="H1171" i="18"/>
  <c r="H1183" i="18"/>
  <c r="H1195" i="18"/>
  <c r="H1207" i="18"/>
  <c r="H1219" i="18"/>
  <c r="H1231" i="18"/>
  <c r="H1243" i="18"/>
  <c r="H1255" i="18"/>
  <c r="H1267" i="18"/>
  <c r="H1279" i="18"/>
  <c r="H1291" i="18"/>
  <c r="H1303" i="18"/>
  <c r="H1315" i="18"/>
  <c r="H1327" i="18"/>
  <c r="H1339" i="18"/>
  <c r="H1351" i="18"/>
  <c r="H1363" i="18"/>
  <c r="H1375" i="18"/>
  <c r="H1387" i="18"/>
  <c r="H1399" i="18"/>
  <c r="H1411" i="18"/>
  <c r="H1423" i="18"/>
  <c r="H1435" i="18"/>
  <c r="H1447" i="18"/>
  <c r="H29" i="18"/>
  <c r="H65" i="18"/>
  <c r="H101" i="18"/>
  <c r="H137" i="18"/>
  <c r="H173" i="18"/>
  <c r="H209" i="18"/>
  <c r="H245" i="18"/>
  <c r="H281" i="18"/>
  <c r="H317" i="18"/>
  <c r="H353" i="18"/>
  <c r="H389" i="18"/>
  <c r="H425" i="18"/>
  <c r="H461" i="18"/>
  <c r="H497" i="18"/>
  <c r="H533" i="18"/>
  <c r="H569" i="18"/>
  <c r="H605" i="18"/>
  <c r="H641" i="18"/>
  <c r="H677" i="18"/>
  <c r="H713" i="18"/>
  <c r="H749" i="18"/>
  <c r="H785" i="18"/>
  <c r="H821" i="18"/>
  <c r="H857" i="18"/>
  <c r="H893" i="18"/>
  <c r="H929" i="18"/>
  <c r="H965" i="18"/>
  <c r="H993" i="18"/>
  <c r="H1013" i="18"/>
  <c r="H1028" i="18"/>
  <c r="H1040" i="18"/>
  <c r="H1052" i="18"/>
  <c r="H1064" i="18"/>
  <c r="H1076" i="18"/>
  <c r="H1088" i="18"/>
  <c r="H1100" i="18"/>
  <c r="H1112" i="18"/>
  <c r="H1124" i="18"/>
  <c r="H1136" i="18"/>
  <c r="H1148" i="18"/>
  <c r="H1160" i="18"/>
  <c r="H1172" i="18"/>
  <c r="H1184" i="18"/>
  <c r="H1196" i="18"/>
  <c r="H1208" i="18"/>
  <c r="H1220" i="18"/>
  <c r="H1232" i="18"/>
  <c r="H1244" i="18"/>
  <c r="H1256" i="18"/>
  <c r="H1268" i="18"/>
  <c r="H1280" i="18"/>
  <c r="H1292" i="18"/>
  <c r="H1304" i="18"/>
  <c r="H1316" i="18"/>
  <c r="H1328" i="18"/>
  <c r="H1340" i="18"/>
  <c r="H1352" i="18"/>
  <c r="H1364" i="18"/>
  <c r="H1376" i="18"/>
  <c r="H1388" i="18"/>
  <c r="H1400" i="18"/>
  <c r="H1412" i="18"/>
  <c r="H1424" i="18"/>
  <c r="H1436" i="18"/>
  <c r="H1448" i="18"/>
  <c r="H1460" i="18"/>
  <c r="H1472" i="18"/>
  <c r="H1484" i="18"/>
  <c r="H1496" i="18"/>
  <c r="H1508" i="18"/>
  <c r="H1520" i="18"/>
  <c r="H1532" i="18"/>
  <c r="H1544" i="18"/>
  <c r="H1556" i="18"/>
  <c r="H1568" i="18"/>
  <c r="H1580" i="18"/>
  <c r="H1592" i="18"/>
  <c r="H1604" i="18"/>
  <c r="H1616" i="18"/>
  <c r="H1628" i="18"/>
  <c r="H1640" i="18"/>
  <c r="H1652" i="18"/>
  <c r="H1664" i="18"/>
  <c r="H1676" i="18"/>
  <c r="H30" i="18"/>
  <c r="H66" i="18"/>
  <c r="H102" i="18"/>
  <c r="H138" i="18"/>
  <c r="H174" i="18"/>
  <c r="H210" i="18"/>
  <c r="H246" i="18"/>
  <c r="H282" i="18"/>
  <c r="H318" i="18"/>
  <c r="H354" i="18"/>
  <c r="H390" i="18"/>
  <c r="H426" i="18"/>
  <c r="H462" i="18"/>
  <c r="H498" i="18"/>
  <c r="H534" i="18"/>
  <c r="H570" i="18"/>
  <c r="H606" i="18"/>
  <c r="H642" i="18"/>
  <c r="H678" i="18"/>
  <c r="H714" i="18"/>
  <c r="H750" i="18"/>
  <c r="H786" i="18"/>
  <c r="H822" i="18"/>
  <c r="H858" i="18"/>
  <c r="H894" i="18"/>
  <c r="H930" i="18"/>
  <c r="H966" i="18"/>
  <c r="H994" i="18"/>
  <c r="H1014" i="18"/>
  <c r="H1029" i="18"/>
  <c r="H1041" i="18"/>
  <c r="H1053" i="18"/>
  <c r="H1065" i="18"/>
  <c r="H1077" i="18"/>
  <c r="H1089" i="18"/>
  <c r="H1101" i="18"/>
  <c r="H1113" i="18"/>
  <c r="H1125" i="18"/>
  <c r="H1137" i="18"/>
  <c r="H1149" i="18"/>
  <c r="H1161" i="18"/>
  <c r="H1173" i="18"/>
  <c r="H1185" i="18"/>
  <c r="H1197" i="18"/>
  <c r="H1209" i="18"/>
  <c r="H1221" i="18"/>
  <c r="H1233" i="18"/>
  <c r="H1245" i="18"/>
  <c r="H1257" i="18"/>
  <c r="H1269" i="18"/>
  <c r="H1281" i="18"/>
  <c r="H1293" i="18"/>
  <c r="H1305" i="18"/>
  <c r="H1317" i="18"/>
  <c r="H1329" i="18"/>
  <c r="H1341" i="18"/>
  <c r="H1353" i="18"/>
  <c r="H1365" i="18"/>
  <c r="H1377" i="18"/>
  <c r="H1389" i="18"/>
  <c r="H1401" i="18"/>
  <c r="H1413" i="18"/>
  <c r="H1425" i="18"/>
  <c r="H1437" i="18"/>
  <c r="H1449" i="18"/>
  <c r="H1461" i="18"/>
  <c r="H1473" i="18"/>
  <c r="H1485" i="18"/>
  <c r="H1497" i="18"/>
  <c r="H1509" i="18"/>
  <c r="H1521" i="18"/>
  <c r="H1533" i="18"/>
  <c r="H1545" i="18"/>
  <c r="H1557" i="18"/>
  <c r="H1569" i="18"/>
  <c r="H1581" i="18"/>
  <c r="H1593" i="18"/>
  <c r="H1605" i="18"/>
  <c r="H1617" i="18"/>
  <c r="H1629" i="18"/>
  <c r="H1641" i="18"/>
  <c r="H1653" i="18"/>
  <c r="H1665" i="18"/>
  <c r="H1677" i="18"/>
  <c r="H1689" i="18"/>
  <c r="H39" i="18"/>
  <c r="H40" i="18"/>
  <c r="H76" i="18"/>
  <c r="H112" i="18"/>
  <c r="H148" i="18"/>
  <c r="H184" i="18"/>
  <c r="H220" i="18"/>
  <c r="H256" i="18"/>
  <c r="H41" i="18"/>
  <c r="H185" i="18"/>
  <c r="H327" i="18"/>
  <c r="H435" i="18"/>
  <c r="H543" i="18"/>
  <c r="H651" i="18"/>
  <c r="H759" i="18"/>
  <c r="H867" i="18"/>
  <c r="H975" i="18"/>
  <c r="H1030" i="18"/>
  <c r="H1066" i="18"/>
  <c r="H1102" i="18"/>
  <c r="H1138" i="18"/>
  <c r="H1174" i="18"/>
  <c r="H1210" i="18"/>
  <c r="H1246" i="18"/>
  <c r="H1282" i="18"/>
  <c r="H1318" i="18"/>
  <c r="H1354" i="18"/>
  <c r="H1390" i="18"/>
  <c r="H1426" i="18"/>
  <c r="H1459" i="18"/>
  <c r="H1487" i="18"/>
  <c r="H1513" i="18"/>
  <c r="H1546" i="18"/>
  <c r="H1572" i="18"/>
  <c r="H1603" i="18"/>
  <c r="H1631" i="18"/>
  <c r="H1657" i="18"/>
  <c r="H1680" i="18"/>
  <c r="H1694" i="18"/>
  <c r="H1706" i="18"/>
  <c r="H1718" i="18"/>
  <c r="H1730" i="18"/>
  <c r="H1742" i="18"/>
  <c r="H1754" i="18"/>
  <c r="H1766" i="18"/>
  <c r="H1778" i="18"/>
  <c r="H1790" i="18"/>
  <c r="H1802" i="18"/>
  <c r="H1814" i="18"/>
  <c r="H1826" i="18"/>
  <c r="H1838" i="18"/>
  <c r="H1850" i="18"/>
  <c r="H1862" i="18"/>
  <c r="H1874" i="18"/>
  <c r="H1886" i="18"/>
  <c r="H1898" i="18"/>
  <c r="H1910" i="18"/>
  <c r="H1922" i="18"/>
  <c r="H1934" i="18"/>
  <c r="H1946" i="18"/>
  <c r="H1739" i="18"/>
  <c r="H1165" i="18"/>
  <c r="H42" i="18"/>
  <c r="H186" i="18"/>
  <c r="H328" i="18"/>
  <c r="H436" i="18"/>
  <c r="H544" i="18"/>
  <c r="H652" i="18"/>
  <c r="H760" i="18"/>
  <c r="H868" i="18"/>
  <c r="H976" i="18"/>
  <c r="H1031" i="18"/>
  <c r="H1067" i="18"/>
  <c r="H1103" i="18"/>
  <c r="H1139" i="18"/>
  <c r="H1175" i="18"/>
  <c r="H1211" i="18"/>
  <c r="H1247" i="18"/>
  <c r="H1283" i="18"/>
  <c r="H1319" i="18"/>
  <c r="H1355" i="18"/>
  <c r="H1391" i="18"/>
  <c r="H1427" i="18"/>
  <c r="H1462" i="18"/>
  <c r="H1488" i="18"/>
  <c r="H1519" i="18"/>
  <c r="H1547" i="18"/>
  <c r="H1573" i="18"/>
  <c r="H1606" i="18"/>
  <c r="H1632" i="18"/>
  <c r="H1663" i="18"/>
  <c r="H1681" i="18"/>
  <c r="H1695" i="18"/>
  <c r="H1707" i="18"/>
  <c r="H1719" i="18"/>
  <c r="H1731" i="18"/>
  <c r="H1743" i="18"/>
  <c r="H1755" i="18"/>
  <c r="H1767" i="18"/>
  <c r="H1779" i="18"/>
  <c r="H1791" i="18"/>
  <c r="H1803" i="18"/>
  <c r="H1815" i="18"/>
  <c r="H1827" i="18"/>
  <c r="H1839" i="18"/>
  <c r="H1851" i="18"/>
  <c r="H1863" i="18"/>
  <c r="H1875" i="18"/>
  <c r="H1887" i="18"/>
  <c r="H1899" i="18"/>
  <c r="H1911" i="18"/>
  <c r="H1923" i="18"/>
  <c r="H1935" i="18"/>
  <c r="H1947" i="18"/>
  <c r="H832" i="18"/>
  <c r="H1883" i="18"/>
  <c r="H834" i="18"/>
  <c r="H1801" i="18"/>
  <c r="H75" i="18"/>
  <c r="H219" i="18"/>
  <c r="H329" i="18"/>
  <c r="H437" i="18"/>
  <c r="H545" i="18"/>
  <c r="H653" i="18"/>
  <c r="H761" i="18"/>
  <c r="H869" i="18"/>
  <c r="H977" i="18"/>
  <c r="H1032" i="18"/>
  <c r="H1068" i="18"/>
  <c r="H1104" i="18"/>
  <c r="H1140" i="18"/>
  <c r="H1176" i="18"/>
  <c r="H1212" i="18"/>
  <c r="H1248" i="18"/>
  <c r="H1284" i="18"/>
  <c r="H1320" i="18"/>
  <c r="H1356" i="18"/>
  <c r="H1392" i="18"/>
  <c r="H1428" i="18"/>
  <c r="H1463" i="18"/>
  <c r="H1489" i="18"/>
  <c r="H1522" i="18"/>
  <c r="H1548" i="18"/>
  <c r="H1579" i="18"/>
  <c r="H1607" i="18"/>
  <c r="H1633" i="18"/>
  <c r="H1666" i="18"/>
  <c r="H1682" i="18"/>
  <c r="H1696" i="18"/>
  <c r="H1708" i="18"/>
  <c r="H1720" i="18"/>
  <c r="H1732" i="18"/>
  <c r="H1744" i="18"/>
  <c r="H1756" i="18"/>
  <c r="H1768" i="18"/>
  <c r="H1780" i="18"/>
  <c r="H1792" i="18"/>
  <c r="H1804" i="18"/>
  <c r="H1816" i="18"/>
  <c r="H1828" i="18"/>
  <c r="H1840" i="18"/>
  <c r="H1852" i="18"/>
  <c r="H1864" i="18"/>
  <c r="H1876" i="18"/>
  <c r="H1888" i="18"/>
  <c r="H1900" i="18"/>
  <c r="H1912" i="18"/>
  <c r="H1924" i="18"/>
  <c r="H1936" i="18"/>
  <c r="H1948" i="18"/>
  <c r="H724" i="18"/>
  <c r="H1621" i="18"/>
  <c r="H1799" i="18"/>
  <c r="H1919" i="18"/>
  <c r="H510" i="18"/>
  <c r="H1813" i="18"/>
  <c r="H77" i="18"/>
  <c r="H221" i="18"/>
  <c r="H330" i="18"/>
  <c r="H438" i="18"/>
  <c r="H546" i="18"/>
  <c r="H654" i="18"/>
  <c r="H762" i="18"/>
  <c r="H870" i="18"/>
  <c r="H978" i="18"/>
  <c r="H1033" i="18"/>
  <c r="H1069" i="18"/>
  <c r="H1105" i="18"/>
  <c r="H1141" i="18"/>
  <c r="H1177" i="18"/>
  <c r="H1213" i="18"/>
  <c r="H1249" i="18"/>
  <c r="H1285" i="18"/>
  <c r="H1321" i="18"/>
  <c r="H1357" i="18"/>
  <c r="H1393" i="18"/>
  <c r="H1429" i="18"/>
  <c r="H1464" i="18"/>
  <c r="H1495" i="18"/>
  <c r="H1523" i="18"/>
  <c r="H1549" i="18"/>
  <c r="H1582" i="18"/>
  <c r="H1608" i="18"/>
  <c r="H1639" i="18"/>
  <c r="H1667" i="18"/>
  <c r="H1684" i="18"/>
  <c r="H1697" i="18"/>
  <c r="H1709" i="18"/>
  <c r="H1721" i="18"/>
  <c r="H1733" i="18"/>
  <c r="H1745" i="18"/>
  <c r="H1757" i="18"/>
  <c r="H1769" i="18"/>
  <c r="H1781" i="18"/>
  <c r="H1793" i="18"/>
  <c r="H1805" i="18"/>
  <c r="H1817" i="18"/>
  <c r="H1829" i="18"/>
  <c r="H1841" i="18"/>
  <c r="H1853" i="18"/>
  <c r="H1865" i="18"/>
  <c r="H1877" i="18"/>
  <c r="H1889" i="18"/>
  <c r="H1901" i="18"/>
  <c r="H1913" i="18"/>
  <c r="H1925" i="18"/>
  <c r="H1937" i="18"/>
  <c r="H1949" i="18"/>
  <c r="H940" i="18"/>
  <c r="H1057" i="18"/>
  <c r="H78" i="18"/>
  <c r="H222" i="18"/>
  <c r="H363" i="18"/>
  <c r="H471" i="18"/>
  <c r="H579" i="18"/>
  <c r="H687" i="18"/>
  <c r="H795" i="18"/>
  <c r="H903" i="18"/>
  <c r="H995" i="18"/>
  <c r="H1042" i="18"/>
  <c r="H1078" i="18"/>
  <c r="H1114" i="18"/>
  <c r="H1150" i="18"/>
  <c r="H1186" i="18"/>
  <c r="H1222" i="18"/>
  <c r="H1258" i="18"/>
  <c r="H1294" i="18"/>
  <c r="H1330" i="18"/>
  <c r="H1366" i="18"/>
  <c r="H1402" i="18"/>
  <c r="H1438" i="18"/>
  <c r="H1465" i="18"/>
  <c r="H1498" i="18"/>
  <c r="H1524" i="18"/>
  <c r="H1555" i="18"/>
  <c r="H1583" i="18"/>
  <c r="H1609" i="18"/>
  <c r="H1642" i="18"/>
  <c r="H1668" i="18"/>
  <c r="H1685" i="18"/>
  <c r="H1698" i="18"/>
  <c r="H1710" i="18"/>
  <c r="H1722" i="18"/>
  <c r="H1734" i="18"/>
  <c r="H1746" i="18"/>
  <c r="H1758" i="18"/>
  <c r="H1770" i="18"/>
  <c r="H1782" i="18"/>
  <c r="H1794" i="18"/>
  <c r="H1806" i="18"/>
  <c r="H1818" i="18"/>
  <c r="H1830" i="18"/>
  <c r="H1842" i="18"/>
  <c r="H1854" i="18"/>
  <c r="H1866" i="18"/>
  <c r="H1878" i="18"/>
  <c r="H1890" i="18"/>
  <c r="H1902" i="18"/>
  <c r="H1914" i="18"/>
  <c r="H1926" i="18"/>
  <c r="H1938" i="18"/>
  <c r="H1950" i="18"/>
  <c r="H508" i="18"/>
  <c r="H1307" i="18"/>
  <c r="H1510" i="18"/>
  <c r="H1703" i="18"/>
  <c r="H1775" i="18"/>
  <c r="H1847" i="18"/>
  <c r="H1931" i="18"/>
  <c r="H618" i="18"/>
  <c r="H1861" i="18"/>
  <c r="H111" i="18"/>
  <c r="H255" i="18"/>
  <c r="H364" i="18"/>
  <c r="H472" i="18"/>
  <c r="H580" i="18"/>
  <c r="H688" i="18"/>
  <c r="H796" i="18"/>
  <c r="H904" i="18"/>
  <c r="H999" i="18"/>
  <c r="H1043" i="18"/>
  <c r="H1079" i="18"/>
  <c r="H1115" i="18"/>
  <c r="H1151" i="18"/>
  <c r="H1187" i="18"/>
  <c r="H1223" i="18"/>
  <c r="H1259" i="18"/>
  <c r="H1295" i="18"/>
  <c r="H1331" i="18"/>
  <c r="H1367" i="18"/>
  <c r="H1403" i="18"/>
  <c r="H1439" i="18"/>
  <c r="H1471" i="18"/>
  <c r="H1499" i="18"/>
  <c r="H1525" i="18"/>
  <c r="H1558" i="18"/>
  <c r="H1584" i="18"/>
  <c r="H1615" i="18"/>
  <c r="H1643" i="18"/>
  <c r="H1669" i="18"/>
  <c r="H1686" i="18"/>
  <c r="H1699" i="18"/>
  <c r="H1711" i="18"/>
  <c r="H1723" i="18"/>
  <c r="H1735" i="18"/>
  <c r="H1747" i="18"/>
  <c r="H1759" i="18"/>
  <c r="H1771" i="18"/>
  <c r="H1783" i="18"/>
  <c r="H1795" i="18"/>
  <c r="H1807" i="18"/>
  <c r="H1819" i="18"/>
  <c r="H1831" i="18"/>
  <c r="H1843" i="18"/>
  <c r="H1855" i="18"/>
  <c r="H1867" i="18"/>
  <c r="H1879" i="18"/>
  <c r="H1891" i="18"/>
  <c r="H1903" i="18"/>
  <c r="H1915" i="18"/>
  <c r="H1927" i="18"/>
  <c r="H1939" i="18"/>
  <c r="H400" i="18"/>
  <c r="H1199" i="18"/>
  <c r="H1451" i="18"/>
  <c r="H1595" i="18"/>
  <c r="H1715" i="18"/>
  <c r="H1811" i="18"/>
  <c r="H1871" i="18"/>
  <c r="H942" i="18"/>
  <c r="H1789" i="18"/>
  <c r="H113" i="18"/>
  <c r="H257" i="18"/>
  <c r="H365" i="18"/>
  <c r="H473" i="18"/>
  <c r="H581" i="18"/>
  <c r="H689" i="18"/>
  <c r="H797" i="18"/>
  <c r="H905" i="18"/>
  <c r="H1000" i="18"/>
  <c r="H1044" i="18"/>
  <c r="H1080" i="18"/>
  <c r="H1116" i="18"/>
  <c r="H1152" i="18"/>
  <c r="H1188" i="18"/>
  <c r="H1224" i="18"/>
  <c r="H1260" i="18"/>
  <c r="H1296" i="18"/>
  <c r="H1332" i="18"/>
  <c r="H1368" i="18"/>
  <c r="H1404" i="18"/>
  <c r="H1440" i="18"/>
  <c r="H1474" i="18"/>
  <c r="H1500" i="18"/>
  <c r="H1531" i="18"/>
  <c r="H1559" i="18"/>
  <c r="H1585" i="18"/>
  <c r="H1618" i="18"/>
  <c r="H1644" i="18"/>
  <c r="H1672" i="18"/>
  <c r="H1687" i="18"/>
  <c r="H1700" i="18"/>
  <c r="H1712" i="18"/>
  <c r="H1724" i="18"/>
  <c r="H1736" i="18"/>
  <c r="H1748" i="18"/>
  <c r="H1760" i="18"/>
  <c r="H1772" i="18"/>
  <c r="H1784" i="18"/>
  <c r="H1796" i="18"/>
  <c r="H1808" i="18"/>
  <c r="H1820" i="18"/>
  <c r="H1832" i="18"/>
  <c r="H1844" i="18"/>
  <c r="H1856" i="18"/>
  <c r="H1868" i="18"/>
  <c r="H1880" i="18"/>
  <c r="H1892" i="18"/>
  <c r="H1904" i="18"/>
  <c r="H1916" i="18"/>
  <c r="H1928" i="18"/>
  <c r="H1940" i="18"/>
  <c r="H616" i="18"/>
  <c r="H1017" i="18"/>
  <c r="H1055" i="18"/>
  <c r="H1127" i="18"/>
  <c r="H1163" i="18"/>
  <c r="H1271" i="18"/>
  <c r="H1379" i="18"/>
  <c r="H1477" i="18"/>
  <c r="H1567" i="18"/>
  <c r="H1675" i="18"/>
  <c r="H1727" i="18"/>
  <c r="H1787" i="18"/>
  <c r="H1835" i="18"/>
  <c r="H1907" i="18"/>
  <c r="H294" i="18"/>
  <c r="H1381" i="18"/>
  <c r="H1543" i="18"/>
  <c r="H1630" i="18"/>
  <c r="H1693" i="18"/>
  <c r="H1729" i="18"/>
  <c r="H1765" i="18"/>
  <c r="H1849" i="18"/>
  <c r="H1897" i="18"/>
  <c r="H1933" i="18"/>
  <c r="H114" i="18"/>
  <c r="H258" i="18"/>
  <c r="H366" i="18"/>
  <c r="H474" i="18"/>
  <c r="H582" i="18"/>
  <c r="H690" i="18"/>
  <c r="H798" i="18"/>
  <c r="H906" i="18"/>
  <c r="H1001" i="18"/>
  <c r="H1045" i="18"/>
  <c r="H1081" i="18"/>
  <c r="H1117" i="18"/>
  <c r="H1153" i="18"/>
  <c r="H1189" i="18"/>
  <c r="H1225" i="18"/>
  <c r="H1261" i="18"/>
  <c r="H1297" i="18"/>
  <c r="H1333" i="18"/>
  <c r="H1369" i="18"/>
  <c r="H1405" i="18"/>
  <c r="H1441" i="18"/>
  <c r="H1475" i="18"/>
  <c r="H1501" i="18"/>
  <c r="H1534" i="18"/>
  <c r="H1560" i="18"/>
  <c r="H1591" i="18"/>
  <c r="H1619" i="18"/>
  <c r="H1645" i="18"/>
  <c r="H1673" i="18"/>
  <c r="H1688" i="18"/>
  <c r="H1701" i="18"/>
  <c r="H1713" i="18"/>
  <c r="H1725" i="18"/>
  <c r="H1737" i="18"/>
  <c r="H1749" i="18"/>
  <c r="H1761" i="18"/>
  <c r="H1773" i="18"/>
  <c r="H1785" i="18"/>
  <c r="H1797" i="18"/>
  <c r="H1809" i="18"/>
  <c r="H1821" i="18"/>
  <c r="H1833" i="18"/>
  <c r="H1845" i="18"/>
  <c r="H1857" i="18"/>
  <c r="H1869" i="18"/>
  <c r="H1881" i="18"/>
  <c r="H1893" i="18"/>
  <c r="H1905" i="18"/>
  <c r="H1917" i="18"/>
  <c r="H1929" i="18"/>
  <c r="H1941" i="18"/>
  <c r="H292" i="18"/>
  <c r="H1091" i="18"/>
  <c r="H1235" i="18"/>
  <c r="H1415" i="18"/>
  <c r="H1536" i="18"/>
  <c r="H1691" i="18"/>
  <c r="H1751" i="18"/>
  <c r="H1823" i="18"/>
  <c r="H1895" i="18"/>
  <c r="H402" i="18"/>
  <c r="H1309" i="18"/>
  <c r="H1486" i="18"/>
  <c r="H1597" i="18"/>
  <c r="H1679" i="18"/>
  <c r="H1717" i="18"/>
  <c r="H1741" i="18"/>
  <c r="H1777" i="18"/>
  <c r="H1873" i="18"/>
  <c r="H1909" i="18"/>
  <c r="H1945" i="18"/>
  <c r="H147" i="18"/>
  <c r="H291" i="18"/>
  <c r="H399" i="18"/>
  <c r="H507" i="18"/>
  <c r="H615" i="18"/>
  <c r="H723" i="18"/>
  <c r="H831" i="18"/>
  <c r="H939" i="18"/>
  <c r="H1015" i="18"/>
  <c r="H1054" i="18"/>
  <c r="H1090" i="18"/>
  <c r="H1126" i="18"/>
  <c r="H1162" i="18"/>
  <c r="H1198" i="18"/>
  <c r="H1234" i="18"/>
  <c r="H1270" i="18"/>
  <c r="H1306" i="18"/>
  <c r="H1342" i="18"/>
  <c r="H1378" i="18"/>
  <c r="H1414" i="18"/>
  <c r="H1450" i="18"/>
  <c r="H1476" i="18"/>
  <c r="H1507" i="18"/>
  <c r="H1535" i="18"/>
  <c r="H1561" i="18"/>
  <c r="H1594" i="18"/>
  <c r="H1620" i="18"/>
  <c r="H1651" i="18"/>
  <c r="H1674" i="18"/>
  <c r="H1690" i="18"/>
  <c r="H1702" i="18"/>
  <c r="H1714" i="18"/>
  <c r="H1726" i="18"/>
  <c r="H1738" i="18"/>
  <c r="H1750" i="18"/>
  <c r="H1762" i="18"/>
  <c r="H1774" i="18"/>
  <c r="H1786" i="18"/>
  <c r="H1798" i="18"/>
  <c r="H1810" i="18"/>
  <c r="H1822" i="18"/>
  <c r="H1834" i="18"/>
  <c r="H1846" i="18"/>
  <c r="H1858" i="18"/>
  <c r="H1870" i="18"/>
  <c r="H1882" i="18"/>
  <c r="H1894" i="18"/>
  <c r="H1906" i="18"/>
  <c r="H1918" i="18"/>
  <c r="H1930" i="18"/>
  <c r="H1942" i="18"/>
  <c r="H149" i="18"/>
  <c r="H1343" i="18"/>
  <c r="H1654" i="18"/>
  <c r="H1763" i="18"/>
  <c r="H1859" i="18"/>
  <c r="H1943" i="18"/>
  <c r="H726" i="18"/>
  <c r="H1837" i="18"/>
  <c r="H150" i="18"/>
  <c r="H293" i="18"/>
  <c r="H401" i="18"/>
  <c r="H509" i="18"/>
  <c r="H617" i="18"/>
  <c r="H725" i="18"/>
  <c r="H833" i="18"/>
  <c r="H941" i="18"/>
  <c r="H1018" i="18"/>
  <c r="H1056" i="18"/>
  <c r="H1092" i="18"/>
  <c r="H1128" i="18"/>
  <c r="H1164" i="18"/>
  <c r="H1200" i="18"/>
  <c r="H1236" i="18"/>
  <c r="H1272" i="18"/>
  <c r="H1308" i="18"/>
  <c r="H1344" i="18"/>
  <c r="H1380" i="18"/>
  <c r="H1416" i="18"/>
  <c r="H1452" i="18"/>
  <c r="H1483" i="18"/>
  <c r="H1511" i="18"/>
  <c r="H1537" i="18"/>
  <c r="H1570" i="18"/>
  <c r="H1596" i="18"/>
  <c r="H1627" i="18"/>
  <c r="H1655" i="18"/>
  <c r="H1678" i="18"/>
  <c r="H1692" i="18"/>
  <c r="H1704" i="18"/>
  <c r="H1716" i="18"/>
  <c r="H1728" i="18"/>
  <c r="H1740" i="18"/>
  <c r="H1752" i="18"/>
  <c r="H1764" i="18"/>
  <c r="H1776" i="18"/>
  <c r="H1788" i="18"/>
  <c r="H1800" i="18"/>
  <c r="H1812" i="18"/>
  <c r="H1824" i="18"/>
  <c r="H1836" i="18"/>
  <c r="H1848" i="18"/>
  <c r="H1860" i="18"/>
  <c r="H1872" i="18"/>
  <c r="H1884" i="18"/>
  <c r="H1896" i="18"/>
  <c r="H1908" i="18"/>
  <c r="H1920" i="18"/>
  <c r="H1932" i="18"/>
  <c r="H1944" i="18"/>
  <c r="H183" i="18"/>
  <c r="H1019" i="18"/>
  <c r="H1093" i="18"/>
  <c r="H1129" i="18"/>
  <c r="H1201" i="18"/>
  <c r="H1237" i="18"/>
  <c r="H1273" i="18"/>
  <c r="H1345" i="18"/>
  <c r="H1417" i="18"/>
  <c r="H1453" i="18"/>
  <c r="H1512" i="18"/>
  <c r="H1571" i="18"/>
  <c r="H1656" i="18"/>
  <c r="H1705" i="18"/>
  <c r="H1753" i="18"/>
  <c r="H1825" i="18"/>
  <c r="H1885" i="18"/>
  <c r="H1921" i="18"/>
  <c r="B7" i="18"/>
  <c r="B8" i="18" l="1"/>
  <c r="B9" i="18" s="1"/>
  <c r="B10" i="18" s="1"/>
  <c r="B11" i="18" s="1"/>
  <c r="B12" i="18" s="1"/>
  <c r="B13" i="18" s="1"/>
  <c r="B14" i="18" s="1"/>
  <c r="B15" i="18" s="1"/>
  <c r="B16" i="18" s="1"/>
  <c r="B17" i="18" s="1"/>
  <c r="B18" i="18" s="1"/>
  <c r="B19" i="18" s="1"/>
  <c r="B20" i="18" s="1"/>
  <c r="B21" i="18" s="1"/>
  <c r="B22" i="18" s="1"/>
  <c r="B23" i="18" s="1"/>
  <c r="B24" i="18" s="1"/>
  <c r="B25" i="18" s="1"/>
  <c r="B26" i="18" s="1"/>
  <c r="B27" i="18" s="1"/>
  <c r="B28" i="18" s="1"/>
  <c r="B29" i="18" s="1"/>
  <c r="B30" i="18" s="1"/>
  <c r="B31" i="18" s="1"/>
  <c r="B32" i="18" s="1"/>
  <c r="B33" i="18" s="1"/>
  <c r="B34" i="18" s="1"/>
  <c r="B35" i="18" s="1"/>
  <c r="B36" i="18" s="1"/>
  <c r="B37" i="18" s="1"/>
  <c r="B38" i="18" s="1"/>
  <c r="B39" i="18" s="1"/>
  <c r="B40" i="18" s="1"/>
  <c r="B41" i="18" s="1"/>
  <c r="B42" i="18" s="1"/>
  <c r="B43" i="18" s="1"/>
  <c r="B44" i="18" s="1"/>
  <c r="B45" i="18" s="1"/>
  <c r="B46" i="18" s="1"/>
  <c r="B47" i="18" s="1"/>
  <c r="B48" i="18" s="1"/>
  <c r="B49" i="18" s="1"/>
  <c r="B50" i="18" s="1"/>
  <c r="B51" i="18" s="1"/>
  <c r="B52" i="18" s="1"/>
  <c r="B53" i="18" s="1"/>
  <c r="B54" i="18" s="1"/>
  <c r="B55" i="18" s="1"/>
  <c r="B56" i="18" s="1"/>
  <c r="B57" i="18" s="1"/>
  <c r="B58" i="18" s="1"/>
  <c r="B59" i="18" s="1"/>
  <c r="B60" i="18" s="1"/>
  <c r="B61" i="18" s="1"/>
  <c r="B62" i="18" s="1"/>
  <c r="B63" i="18" s="1"/>
  <c r="B64" i="18" s="1"/>
  <c r="B65" i="18" s="1"/>
  <c r="B66" i="18" s="1"/>
  <c r="B67" i="18" s="1"/>
  <c r="B68" i="18" s="1"/>
  <c r="B69" i="18" s="1"/>
  <c r="B70" i="18" s="1"/>
  <c r="B71" i="18" s="1"/>
  <c r="B72" i="18" s="1"/>
  <c r="B73" i="18" s="1"/>
  <c r="B74" i="18" s="1"/>
  <c r="B75" i="18" s="1"/>
  <c r="B76" i="18" s="1"/>
  <c r="B77" i="18" s="1"/>
  <c r="B78" i="18" s="1"/>
  <c r="B79" i="18" s="1"/>
  <c r="B80" i="18" s="1"/>
  <c r="B81" i="18" s="1"/>
  <c r="B82" i="18" s="1"/>
  <c r="B83" i="18" s="1"/>
  <c r="B84" i="18" s="1"/>
  <c r="B85" i="18" s="1"/>
  <c r="B86" i="18" s="1"/>
  <c r="B87" i="18" s="1"/>
  <c r="B88" i="18" s="1"/>
  <c r="B89" i="18" s="1"/>
  <c r="B90" i="18" s="1"/>
  <c r="B91" i="18" s="1"/>
  <c r="B92" i="18" s="1"/>
  <c r="B93" i="18" s="1"/>
  <c r="B94" i="18" s="1"/>
  <c r="B95" i="18" s="1"/>
  <c r="B96" i="18" s="1"/>
  <c r="B97" i="18" s="1"/>
  <c r="B98" i="18" s="1"/>
  <c r="B99" i="18" s="1"/>
  <c r="B100" i="18" s="1"/>
  <c r="B101" i="18" s="1"/>
  <c r="B102" i="18" s="1"/>
  <c r="B103" i="18" s="1"/>
  <c r="B104" i="18" s="1"/>
  <c r="B105" i="18" s="1"/>
  <c r="B106" i="18" s="1"/>
  <c r="B107" i="18" s="1"/>
  <c r="B108" i="18" s="1"/>
  <c r="B109" i="18" s="1"/>
  <c r="B110" i="18" s="1"/>
  <c r="B111" i="18" s="1"/>
  <c r="B112" i="18" s="1"/>
  <c r="B113" i="18" s="1"/>
  <c r="B114" i="18" s="1"/>
  <c r="B115" i="18" s="1"/>
  <c r="B116" i="18" s="1"/>
  <c r="B117" i="18" s="1"/>
  <c r="B118" i="18" s="1"/>
  <c r="B119" i="18" s="1"/>
  <c r="B120" i="18" s="1"/>
  <c r="B121" i="18" s="1"/>
  <c r="B122" i="18" s="1"/>
  <c r="B123" i="18" s="1"/>
  <c r="B124" i="18" s="1"/>
  <c r="B125" i="18" s="1"/>
  <c r="B126" i="18" s="1"/>
  <c r="B127" i="18" s="1"/>
  <c r="B128" i="18" s="1"/>
  <c r="B129" i="18" s="1"/>
  <c r="B130" i="18" s="1"/>
  <c r="B131" i="18" s="1"/>
  <c r="B132" i="18" s="1"/>
  <c r="B133" i="18" s="1"/>
  <c r="B134" i="18" s="1"/>
  <c r="B135" i="18" s="1"/>
  <c r="B136" i="18" s="1"/>
  <c r="B137" i="18" s="1"/>
  <c r="B138" i="18" s="1"/>
  <c r="B139" i="18" s="1"/>
  <c r="B140" i="18" s="1"/>
  <c r="B141" i="18" s="1"/>
  <c r="B142" i="18" s="1"/>
  <c r="B143" i="18" s="1"/>
  <c r="B144" i="18" s="1"/>
  <c r="B145" i="18" s="1"/>
  <c r="B146" i="18" s="1"/>
  <c r="B147" i="18" s="1"/>
  <c r="B148" i="18" s="1"/>
  <c r="B149" i="18" s="1"/>
  <c r="B150" i="18" s="1"/>
  <c r="B151" i="18" s="1"/>
  <c r="B152" i="18" s="1"/>
  <c r="B153" i="18" s="1"/>
  <c r="B154" i="18" s="1"/>
  <c r="B155" i="18" s="1"/>
  <c r="B156" i="18" s="1"/>
  <c r="B157" i="18" s="1"/>
  <c r="B158" i="18" s="1"/>
  <c r="B159" i="18" s="1"/>
  <c r="B160" i="18" s="1"/>
  <c r="B161" i="18" s="1"/>
  <c r="B162" i="18" s="1"/>
  <c r="B163" i="18" s="1"/>
  <c r="B164" i="18" s="1"/>
  <c r="B165" i="18" s="1"/>
  <c r="B166" i="18" s="1"/>
  <c r="B167" i="18" s="1"/>
  <c r="B168" i="18" s="1"/>
  <c r="B169" i="18" s="1"/>
  <c r="B170" i="18" s="1"/>
  <c r="B171" i="18" s="1"/>
  <c r="B172" i="18" s="1"/>
  <c r="B173" i="18" s="1"/>
  <c r="B174" i="18" s="1"/>
  <c r="B175" i="18" s="1"/>
  <c r="B176" i="18" s="1"/>
  <c r="B177" i="18" s="1"/>
  <c r="B178" i="18" s="1"/>
  <c r="B179" i="18" s="1"/>
  <c r="B180" i="18" s="1"/>
  <c r="B181" i="18" s="1"/>
  <c r="B182" i="18" s="1"/>
  <c r="B183" i="18" s="1"/>
  <c r="B184" i="18" s="1"/>
  <c r="B185" i="18" s="1"/>
  <c r="B186" i="18" s="1"/>
  <c r="B187" i="18" s="1"/>
  <c r="B188" i="18" s="1"/>
  <c r="B189" i="18" s="1"/>
  <c r="B190" i="18" s="1"/>
  <c r="B191" i="18" s="1"/>
  <c r="B192" i="18" s="1"/>
  <c r="B193" i="18" s="1"/>
  <c r="B194" i="18" s="1"/>
  <c r="B195" i="18" s="1"/>
  <c r="B196" i="18" s="1"/>
  <c r="B197" i="18" s="1"/>
  <c r="B198" i="18" s="1"/>
  <c r="B199" i="18" s="1"/>
  <c r="B200" i="18" s="1"/>
  <c r="B201" i="18" s="1"/>
  <c r="B202" i="18" s="1"/>
  <c r="B203" i="18" s="1"/>
  <c r="B204" i="18" s="1"/>
  <c r="B205" i="18" s="1"/>
  <c r="B206" i="18" s="1"/>
  <c r="B207" i="18" s="1"/>
  <c r="B208" i="18" s="1"/>
  <c r="B209" i="18" s="1"/>
  <c r="B210" i="18" s="1"/>
  <c r="B211" i="18" s="1"/>
  <c r="B212" i="18" s="1"/>
  <c r="B213" i="18" s="1"/>
  <c r="B214" i="18" s="1"/>
  <c r="B215" i="18" s="1"/>
  <c r="B216" i="18" s="1"/>
  <c r="B217" i="18" s="1"/>
  <c r="B218" i="18" s="1"/>
  <c r="B219" i="18" s="1"/>
  <c r="B220" i="18" s="1"/>
  <c r="B221" i="18" s="1"/>
  <c r="B222" i="18" s="1"/>
  <c r="B223" i="18" s="1"/>
  <c r="B224" i="18" s="1"/>
  <c r="B225" i="18" s="1"/>
  <c r="B226" i="18" s="1"/>
  <c r="B227" i="18" s="1"/>
  <c r="B228" i="18" s="1"/>
  <c r="B229" i="18" s="1"/>
  <c r="B230" i="18" s="1"/>
  <c r="B231" i="18" s="1"/>
  <c r="B232" i="18" s="1"/>
  <c r="B233" i="18" s="1"/>
  <c r="B234" i="18" s="1"/>
  <c r="B235" i="18" s="1"/>
  <c r="B236" i="18" s="1"/>
  <c r="B237" i="18" s="1"/>
  <c r="B238" i="18" s="1"/>
  <c r="B239" i="18" s="1"/>
  <c r="B240" i="18" s="1"/>
  <c r="B241" i="18" s="1"/>
  <c r="B242" i="18" s="1"/>
  <c r="B243" i="18" s="1"/>
  <c r="B244" i="18" s="1"/>
  <c r="B245" i="18" s="1"/>
  <c r="B246" i="18" s="1"/>
  <c r="B247" i="18" s="1"/>
  <c r="B248" i="18" s="1"/>
  <c r="B249" i="18" s="1"/>
  <c r="B250" i="18" s="1"/>
  <c r="B251" i="18" s="1"/>
  <c r="B252" i="18" s="1"/>
  <c r="B253" i="18" s="1"/>
  <c r="B254" i="18" s="1"/>
  <c r="B255" i="18" s="1"/>
  <c r="B256" i="18" s="1"/>
  <c r="B257" i="18" s="1"/>
  <c r="B258" i="18" s="1"/>
  <c r="B259" i="18" s="1"/>
  <c r="B260" i="18" s="1"/>
  <c r="B261" i="18" s="1"/>
  <c r="B262" i="18" s="1"/>
  <c r="B263" i="18" s="1"/>
  <c r="B264" i="18" s="1"/>
  <c r="B265" i="18" s="1"/>
  <c r="B266" i="18" s="1"/>
  <c r="B267" i="18" s="1"/>
  <c r="B268" i="18" s="1"/>
  <c r="B269" i="18" s="1"/>
  <c r="B270" i="18" s="1"/>
  <c r="B271" i="18" s="1"/>
  <c r="B272" i="18" s="1"/>
  <c r="B273" i="18" s="1"/>
  <c r="B274" i="18" s="1"/>
  <c r="B275" i="18" s="1"/>
  <c r="B276" i="18" s="1"/>
  <c r="B277" i="18" s="1"/>
  <c r="B278" i="18" s="1"/>
  <c r="B279" i="18" s="1"/>
  <c r="B280" i="18" s="1"/>
  <c r="B281" i="18" s="1"/>
  <c r="B282" i="18" s="1"/>
  <c r="B283" i="18" s="1"/>
  <c r="B284" i="18" s="1"/>
  <c r="B285" i="18" s="1"/>
  <c r="B286" i="18" s="1"/>
  <c r="B287" i="18" s="1"/>
  <c r="B288" i="18" s="1"/>
  <c r="B289" i="18" s="1"/>
  <c r="B290" i="18" s="1"/>
  <c r="B291" i="18" s="1"/>
  <c r="B292" i="18" s="1"/>
  <c r="B293" i="18" s="1"/>
  <c r="B294" i="18" s="1"/>
  <c r="B295" i="18" s="1"/>
  <c r="B296" i="18" s="1"/>
  <c r="B297" i="18" s="1"/>
  <c r="B298" i="18" s="1"/>
  <c r="B299" i="18" s="1"/>
  <c r="B300" i="18" s="1"/>
  <c r="B301" i="18" s="1"/>
  <c r="B302" i="18" s="1"/>
  <c r="B303" i="18" s="1"/>
  <c r="B304" i="18" s="1"/>
  <c r="B305" i="18" s="1"/>
  <c r="B306" i="18" s="1"/>
  <c r="B307" i="18" s="1"/>
  <c r="B308" i="18" s="1"/>
  <c r="B309" i="18" s="1"/>
  <c r="B310" i="18" s="1"/>
  <c r="B311" i="18" s="1"/>
  <c r="B312" i="18" s="1"/>
  <c r="B313" i="18" s="1"/>
  <c r="B314" i="18" s="1"/>
  <c r="B315" i="18" s="1"/>
  <c r="B316" i="18" s="1"/>
  <c r="B317" i="18" s="1"/>
  <c r="B318" i="18" s="1"/>
  <c r="B319" i="18" s="1"/>
  <c r="B320" i="18" s="1"/>
  <c r="B321" i="18" s="1"/>
  <c r="B322" i="18" s="1"/>
  <c r="B323" i="18" s="1"/>
  <c r="B324" i="18" s="1"/>
  <c r="B325" i="18" s="1"/>
  <c r="B326" i="18" s="1"/>
  <c r="B327" i="18" s="1"/>
  <c r="B328" i="18" s="1"/>
  <c r="B329" i="18" s="1"/>
  <c r="B330" i="18" s="1"/>
  <c r="B331" i="18" s="1"/>
  <c r="B332" i="18" s="1"/>
  <c r="B333" i="18" s="1"/>
  <c r="B334" i="18" s="1"/>
  <c r="B335" i="18" s="1"/>
  <c r="B336" i="18" s="1"/>
  <c r="B337" i="18" s="1"/>
  <c r="B338" i="18" s="1"/>
  <c r="B339" i="18" s="1"/>
  <c r="B340" i="18" s="1"/>
  <c r="B341" i="18" s="1"/>
  <c r="B342" i="18" s="1"/>
  <c r="B343" i="18" s="1"/>
  <c r="B344" i="18" s="1"/>
  <c r="B345" i="18" s="1"/>
  <c r="B346" i="18" s="1"/>
  <c r="B347" i="18" s="1"/>
  <c r="B348" i="18" s="1"/>
  <c r="B349" i="18" s="1"/>
  <c r="B350" i="18" s="1"/>
  <c r="B351" i="18" s="1"/>
  <c r="B352" i="18" s="1"/>
  <c r="B353" i="18" s="1"/>
  <c r="B354" i="18" s="1"/>
  <c r="B355" i="18" s="1"/>
  <c r="B356" i="18" s="1"/>
  <c r="B357" i="18" s="1"/>
  <c r="B358" i="18" s="1"/>
  <c r="B359" i="18" s="1"/>
  <c r="B360" i="18" s="1"/>
  <c r="B361" i="18" s="1"/>
  <c r="B362" i="18" s="1"/>
  <c r="B363" i="18" s="1"/>
  <c r="B364" i="18" s="1"/>
  <c r="B365" i="18" s="1"/>
  <c r="B366" i="18" s="1"/>
  <c r="B367" i="18" s="1"/>
  <c r="B368" i="18" s="1"/>
  <c r="B369" i="18" s="1"/>
  <c r="B370" i="18" s="1"/>
  <c r="B371" i="18" s="1"/>
  <c r="B372" i="18" s="1"/>
  <c r="B373" i="18" s="1"/>
  <c r="B374" i="18" s="1"/>
  <c r="B375" i="18" s="1"/>
  <c r="B376" i="18" s="1"/>
  <c r="B377" i="18" s="1"/>
  <c r="B378" i="18" s="1"/>
  <c r="B379" i="18" s="1"/>
  <c r="B380" i="18" s="1"/>
  <c r="B381" i="18" s="1"/>
  <c r="B382" i="18" s="1"/>
  <c r="B383" i="18" s="1"/>
  <c r="B384" i="18" s="1"/>
  <c r="B385" i="18" s="1"/>
  <c r="B386" i="18" s="1"/>
  <c r="B387" i="18" s="1"/>
  <c r="B388" i="18" s="1"/>
  <c r="B389" i="18" s="1"/>
  <c r="B390" i="18" s="1"/>
  <c r="B391" i="18" s="1"/>
  <c r="B392" i="18" s="1"/>
  <c r="B393" i="18" s="1"/>
  <c r="B394" i="18" s="1"/>
  <c r="B395" i="18" s="1"/>
  <c r="B396" i="18" s="1"/>
  <c r="B397" i="18" s="1"/>
  <c r="B398" i="18" s="1"/>
  <c r="B399" i="18" s="1"/>
  <c r="B400" i="18" s="1"/>
  <c r="B401" i="18" s="1"/>
  <c r="B402" i="18" s="1"/>
  <c r="B403" i="18" s="1"/>
  <c r="B404" i="18" s="1"/>
  <c r="B405" i="18" s="1"/>
  <c r="B406" i="18" s="1"/>
  <c r="B407" i="18" s="1"/>
  <c r="B408" i="18" s="1"/>
  <c r="B409" i="18" s="1"/>
  <c r="B410" i="18" s="1"/>
  <c r="B411" i="18" s="1"/>
  <c r="B412" i="18" s="1"/>
  <c r="B413" i="18" s="1"/>
  <c r="B414" i="18" s="1"/>
  <c r="B415" i="18" s="1"/>
  <c r="B416" i="18" s="1"/>
  <c r="B417" i="18" s="1"/>
  <c r="B418" i="18" s="1"/>
  <c r="B419" i="18" s="1"/>
  <c r="B420" i="18" s="1"/>
  <c r="B421" i="18" s="1"/>
  <c r="B422" i="18" s="1"/>
  <c r="B423" i="18" s="1"/>
  <c r="B424" i="18" s="1"/>
  <c r="B425" i="18" s="1"/>
  <c r="B426" i="18" s="1"/>
  <c r="B427" i="18" s="1"/>
  <c r="B428" i="18" s="1"/>
  <c r="B429" i="18" s="1"/>
  <c r="B430" i="18" s="1"/>
  <c r="B431" i="18" s="1"/>
  <c r="B432" i="18" s="1"/>
  <c r="B433" i="18" s="1"/>
  <c r="B434" i="18" s="1"/>
  <c r="B435" i="18" s="1"/>
  <c r="B436" i="18" s="1"/>
  <c r="B437" i="18" s="1"/>
  <c r="B438" i="18" s="1"/>
  <c r="B439" i="18" s="1"/>
  <c r="B440" i="18" s="1"/>
  <c r="B441" i="18" s="1"/>
  <c r="B442" i="18" s="1"/>
  <c r="B443" i="18" s="1"/>
  <c r="B444" i="18" s="1"/>
  <c r="B445" i="18" s="1"/>
  <c r="B446" i="18" s="1"/>
  <c r="B447" i="18" s="1"/>
  <c r="B448" i="18" s="1"/>
  <c r="B449" i="18" s="1"/>
  <c r="B450" i="18" s="1"/>
  <c r="B451" i="18" s="1"/>
  <c r="B452" i="18" s="1"/>
  <c r="B453" i="18" s="1"/>
  <c r="B454" i="18" s="1"/>
  <c r="B455" i="18" s="1"/>
  <c r="B456" i="18" s="1"/>
  <c r="B457" i="18" s="1"/>
  <c r="B458" i="18" s="1"/>
  <c r="B459" i="18" s="1"/>
  <c r="B460" i="18" s="1"/>
  <c r="B461" i="18" s="1"/>
  <c r="B462" i="18" s="1"/>
  <c r="B463" i="18" s="1"/>
  <c r="B464" i="18" s="1"/>
  <c r="B465" i="18" s="1"/>
  <c r="B466" i="18" s="1"/>
  <c r="B467" i="18" s="1"/>
  <c r="B468" i="18" s="1"/>
  <c r="B469" i="18" s="1"/>
  <c r="B470" i="18" s="1"/>
  <c r="B471" i="18" s="1"/>
  <c r="B472" i="18" s="1"/>
  <c r="B473" i="18" s="1"/>
  <c r="B474" i="18" s="1"/>
  <c r="B475" i="18" s="1"/>
  <c r="B476" i="18" s="1"/>
  <c r="B477" i="18" s="1"/>
  <c r="B478" i="18" s="1"/>
  <c r="B479" i="18" s="1"/>
  <c r="B480" i="18" s="1"/>
  <c r="B481" i="18" s="1"/>
  <c r="B482" i="18" s="1"/>
  <c r="B483" i="18" s="1"/>
  <c r="B484" i="18" s="1"/>
  <c r="B485" i="18" s="1"/>
  <c r="B486" i="18" s="1"/>
  <c r="B487" i="18" s="1"/>
  <c r="B488" i="18" s="1"/>
  <c r="B489" i="18" s="1"/>
  <c r="B490" i="18" s="1"/>
  <c r="B491" i="18" s="1"/>
  <c r="B492" i="18" s="1"/>
  <c r="B493" i="18" s="1"/>
  <c r="B494" i="18" s="1"/>
  <c r="B495" i="18" s="1"/>
  <c r="B496" i="18" s="1"/>
  <c r="B497" i="18" s="1"/>
  <c r="B498" i="18" s="1"/>
  <c r="B499" i="18" s="1"/>
  <c r="B500" i="18" s="1"/>
  <c r="B501" i="18" s="1"/>
  <c r="B502" i="18" s="1"/>
  <c r="B503" i="18" s="1"/>
  <c r="B504" i="18" s="1"/>
  <c r="B505" i="18" s="1"/>
  <c r="B506" i="18" s="1"/>
  <c r="B507" i="18" s="1"/>
  <c r="B508" i="18" s="1"/>
  <c r="B509" i="18" s="1"/>
  <c r="B510" i="18" s="1"/>
  <c r="B511" i="18" s="1"/>
  <c r="B512" i="18" s="1"/>
  <c r="B513" i="18" s="1"/>
  <c r="B514" i="18" s="1"/>
  <c r="B515" i="18" s="1"/>
  <c r="B516" i="18" s="1"/>
  <c r="B517" i="18" s="1"/>
  <c r="B518" i="18" s="1"/>
  <c r="B519" i="18" s="1"/>
  <c r="B520" i="18" s="1"/>
  <c r="B521" i="18" s="1"/>
  <c r="B522" i="18" s="1"/>
  <c r="B523" i="18" s="1"/>
  <c r="B524" i="18" s="1"/>
  <c r="B525" i="18" s="1"/>
  <c r="B526" i="18" s="1"/>
  <c r="B527" i="18" s="1"/>
  <c r="B528" i="18" s="1"/>
  <c r="B529" i="18" s="1"/>
  <c r="B530" i="18" s="1"/>
  <c r="B531" i="18" s="1"/>
  <c r="B532" i="18" s="1"/>
  <c r="B533" i="18" s="1"/>
  <c r="B534" i="18" s="1"/>
  <c r="B535" i="18" s="1"/>
  <c r="B536" i="18" s="1"/>
  <c r="B537" i="18" s="1"/>
  <c r="B538" i="18" s="1"/>
  <c r="B539" i="18" s="1"/>
  <c r="B540" i="18" s="1"/>
  <c r="B541" i="18" s="1"/>
  <c r="B542" i="18" s="1"/>
  <c r="B543" i="18" s="1"/>
  <c r="B544" i="18" s="1"/>
  <c r="B545" i="18" s="1"/>
  <c r="B546" i="18" s="1"/>
  <c r="B547" i="18" s="1"/>
  <c r="B548" i="18" s="1"/>
  <c r="B549" i="18" s="1"/>
  <c r="B550" i="18" s="1"/>
  <c r="B551" i="18" s="1"/>
  <c r="B552" i="18" s="1"/>
  <c r="B553" i="18" s="1"/>
  <c r="B554" i="18" s="1"/>
  <c r="B555" i="18" s="1"/>
  <c r="B556" i="18" s="1"/>
  <c r="B557" i="18" s="1"/>
  <c r="B558" i="18" s="1"/>
  <c r="B559" i="18" s="1"/>
  <c r="B560" i="18" s="1"/>
  <c r="B561" i="18" s="1"/>
  <c r="B562" i="18" s="1"/>
  <c r="B563" i="18" s="1"/>
  <c r="B564" i="18" s="1"/>
  <c r="B565" i="18" s="1"/>
  <c r="B566" i="18" s="1"/>
  <c r="B567" i="18" s="1"/>
  <c r="B568" i="18" s="1"/>
  <c r="B569" i="18" s="1"/>
  <c r="B570" i="18" s="1"/>
  <c r="B571" i="18" s="1"/>
  <c r="B572" i="18" s="1"/>
  <c r="B573" i="18" s="1"/>
  <c r="B574" i="18" s="1"/>
  <c r="B575" i="18" s="1"/>
  <c r="B576" i="18" s="1"/>
  <c r="B577" i="18" s="1"/>
  <c r="B578" i="18" s="1"/>
  <c r="B579" i="18" s="1"/>
  <c r="B580" i="18" s="1"/>
  <c r="B581" i="18" s="1"/>
  <c r="B582" i="18" s="1"/>
  <c r="B583" i="18" s="1"/>
  <c r="B584" i="18" s="1"/>
  <c r="B585" i="18" s="1"/>
  <c r="B586" i="18" s="1"/>
  <c r="B587" i="18" s="1"/>
  <c r="B588" i="18" s="1"/>
  <c r="B589" i="18" s="1"/>
  <c r="B590" i="18" s="1"/>
  <c r="B591" i="18" s="1"/>
  <c r="B592" i="18" s="1"/>
  <c r="B593" i="18" s="1"/>
  <c r="B594" i="18" s="1"/>
  <c r="B595" i="18" s="1"/>
  <c r="B596" i="18" s="1"/>
  <c r="B597" i="18" s="1"/>
  <c r="B598" i="18" s="1"/>
  <c r="B599" i="18" s="1"/>
  <c r="B600" i="18" s="1"/>
  <c r="B601" i="18" s="1"/>
  <c r="B602" i="18" s="1"/>
  <c r="B603" i="18" s="1"/>
  <c r="B604" i="18" s="1"/>
  <c r="B605" i="18" s="1"/>
  <c r="B606" i="18" s="1"/>
  <c r="B607" i="18" s="1"/>
  <c r="B608" i="18" s="1"/>
  <c r="B609" i="18" s="1"/>
  <c r="B610" i="18" s="1"/>
  <c r="B611" i="18" s="1"/>
  <c r="B612" i="18" s="1"/>
  <c r="B613" i="18" s="1"/>
  <c r="B614" i="18" s="1"/>
  <c r="B615" i="18" s="1"/>
  <c r="B616" i="18" s="1"/>
  <c r="B617" i="18" s="1"/>
  <c r="B618" i="18" s="1"/>
  <c r="B619" i="18" s="1"/>
  <c r="B620" i="18" s="1"/>
  <c r="B621" i="18" s="1"/>
  <c r="B622" i="18" s="1"/>
  <c r="B623" i="18" s="1"/>
  <c r="B624" i="18" s="1"/>
  <c r="B625" i="18" s="1"/>
  <c r="B626" i="18" s="1"/>
  <c r="B627" i="18" s="1"/>
  <c r="B628" i="18" s="1"/>
  <c r="B629" i="18" s="1"/>
  <c r="B630" i="18" s="1"/>
  <c r="B631" i="18" s="1"/>
  <c r="B632" i="18" s="1"/>
  <c r="B633" i="18" s="1"/>
  <c r="B634" i="18" s="1"/>
  <c r="B635" i="18" s="1"/>
  <c r="B636" i="18" s="1"/>
  <c r="B637" i="18" s="1"/>
  <c r="B638" i="18" s="1"/>
  <c r="B639" i="18" s="1"/>
  <c r="B640" i="18" s="1"/>
  <c r="B641" i="18" s="1"/>
  <c r="B642" i="18" s="1"/>
  <c r="B643" i="18" s="1"/>
  <c r="B644" i="18" s="1"/>
  <c r="B645" i="18" s="1"/>
  <c r="B646" i="18" s="1"/>
  <c r="B647" i="18" s="1"/>
  <c r="B648" i="18" s="1"/>
  <c r="B649" i="18" s="1"/>
  <c r="B650" i="18" s="1"/>
  <c r="B651" i="18" s="1"/>
  <c r="B652" i="18" s="1"/>
  <c r="B653" i="18" s="1"/>
  <c r="B654" i="18" s="1"/>
  <c r="B655" i="18" s="1"/>
  <c r="B656" i="18" s="1"/>
  <c r="B657" i="18" s="1"/>
  <c r="B658" i="18" s="1"/>
  <c r="B659" i="18" s="1"/>
  <c r="B660" i="18" s="1"/>
  <c r="B661" i="18" s="1"/>
  <c r="B662" i="18" s="1"/>
  <c r="B663" i="18" s="1"/>
  <c r="B664" i="18" s="1"/>
  <c r="B665" i="18" s="1"/>
  <c r="B666" i="18" s="1"/>
  <c r="B667" i="18" s="1"/>
  <c r="B668" i="18" s="1"/>
  <c r="B669" i="18" s="1"/>
  <c r="B670" i="18" s="1"/>
  <c r="B671" i="18" s="1"/>
  <c r="B672" i="18" s="1"/>
  <c r="B673" i="18" s="1"/>
  <c r="B674" i="18" s="1"/>
  <c r="B675" i="18" s="1"/>
  <c r="B676" i="18" s="1"/>
  <c r="B677" i="18" s="1"/>
  <c r="B678" i="18" s="1"/>
  <c r="B679" i="18" s="1"/>
  <c r="B680" i="18" s="1"/>
  <c r="B681" i="18" s="1"/>
  <c r="B682" i="18" s="1"/>
  <c r="B683" i="18" s="1"/>
  <c r="B684" i="18" s="1"/>
  <c r="B685" i="18" s="1"/>
  <c r="B686" i="18" s="1"/>
  <c r="B687" i="18" s="1"/>
  <c r="B688" i="18" s="1"/>
  <c r="B689" i="18" s="1"/>
  <c r="B690" i="18" s="1"/>
  <c r="B691" i="18" s="1"/>
  <c r="B692" i="18" s="1"/>
  <c r="B693" i="18" s="1"/>
  <c r="B694" i="18" s="1"/>
  <c r="B695" i="18" s="1"/>
  <c r="B696" i="18" s="1"/>
  <c r="B697" i="18" s="1"/>
  <c r="B698" i="18" s="1"/>
  <c r="B699" i="18" s="1"/>
  <c r="B700" i="18" s="1"/>
  <c r="B701" i="18" s="1"/>
  <c r="B702" i="18" s="1"/>
  <c r="B703" i="18" s="1"/>
  <c r="B704" i="18" s="1"/>
  <c r="B705" i="18" s="1"/>
  <c r="B706" i="18" s="1"/>
  <c r="B707" i="18" s="1"/>
  <c r="B708" i="18" s="1"/>
  <c r="B709" i="18" s="1"/>
  <c r="B710" i="18" s="1"/>
  <c r="B711" i="18" s="1"/>
  <c r="B712" i="18" s="1"/>
  <c r="B713" i="18" s="1"/>
  <c r="B714" i="18" s="1"/>
  <c r="B715" i="18" s="1"/>
  <c r="B716" i="18" s="1"/>
  <c r="B717" i="18" s="1"/>
  <c r="B718" i="18" s="1"/>
  <c r="B719" i="18" s="1"/>
  <c r="B720" i="18" s="1"/>
  <c r="B721" i="18" s="1"/>
  <c r="B722" i="18" s="1"/>
  <c r="B723" i="18" s="1"/>
  <c r="B724" i="18" s="1"/>
  <c r="B725" i="18" s="1"/>
  <c r="B726" i="18" s="1"/>
  <c r="B727" i="18" s="1"/>
  <c r="B728" i="18" s="1"/>
  <c r="B729" i="18" s="1"/>
  <c r="B730" i="18" s="1"/>
  <c r="B731" i="18" s="1"/>
  <c r="B732" i="18" s="1"/>
  <c r="B733" i="18" s="1"/>
  <c r="B734" i="18" s="1"/>
  <c r="B735" i="18" s="1"/>
  <c r="B736" i="18" s="1"/>
  <c r="B737" i="18" s="1"/>
  <c r="B738" i="18" s="1"/>
  <c r="B739" i="18" s="1"/>
  <c r="B740" i="18" s="1"/>
  <c r="B741" i="18" s="1"/>
  <c r="B742" i="18" s="1"/>
  <c r="B743" i="18" s="1"/>
  <c r="B744" i="18" s="1"/>
  <c r="B745" i="18" s="1"/>
  <c r="B746" i="18" s="1"/>
  <c r="B747" i="18" s="1"/>
  <c r="B748" i="18" s="1"/>
  <c r="B749" i="18" s="1"/>
  <c r="B750" i="18" s="1"/>
  <c r="B751" i="18" s="1"/>
  <c r="B752" i="18" s="1"/>
  <c r="B753" i="18" s="1"/>
  <c r="B754" i="18" s="1"/>
  <c r="B755" i="18" s="1"/>
  <c r="B756" i="18" s="1"/>
  <c r="B757" i="18" s="1"/>
  <c r="B758" i="18" s="1"/>
  <c r="B759" i="18" s="1"/>
  <c r="B760" i="18" s="1"/>
  <c r="B761" i="18" s="1"/>
  <c r="B762" i="18" s="1"/>
  <c r="B763" i="18" s="1"/>
  <c r="B764" i="18" s="1"/>
  <c r="B765" i="18" s="1"/>
  <c r="B766" i="18" s="1"/>
  <c r="B767" i="18" s="1"/>
  <c r="B768" i="18" s="1"/>
  <c r="B769" i="18" s="1"/>
  <c r="B770" i="18" s="1"/>
  <c r="B771" i="18" s="1"/>
  <c r="B772" i="18" s="1"/>
  <c r="B773" i="18" s="1"/>
  <c r="B774" i="18" s="1"/>
  <c r="B775" i="18" s="1"/>
  <c r="B776" i="18" s="1"/>
  <c r="B777" i="18" s="1"/>
  <c r="B778" i="18" s="1"/>
  <c r="B779" i="18" s="1"/>
  <c r="B780" i="18" s="1"/>
  <c r="B781" i="18" s="1"/>
  <c r="B782" i="18" s="1"/>
  <c r="B783" i="18" s="1"/>
  <c r="B784" i="18" s="1"/>
  <c r="B785" i="18" s="1"/>
  <c r="B786" i="18" s="1"/>
  <c r="B787" i="18" s="1"/>
  <c r="B788" i="18" s="1"/>
  <c r="B789" i="18" s="1"/>
  <c r="B790" i="18" s="1"/>
  <c r="B791" i="18" s="1"/>
  <c r="B792" i="18" s="1"/>
  <c r="B793" i="18" s="1"/>
  <c r="B794" i="18" s="1"/>
  <c r="B795" i="18" s="1"/>
  <c r="B796" i="18" s="1"/>
  <c r="B797" i="18" s="1"/>
  <c r="B798" i="18" s="1"/>
  <c r="B799" i="18" s="1"/>
  <c r="B800" i="18" s="1"/>
  <c r="B801" i="18" s="1"/>
  <c r="B802" i="18" s="1"/>
  <c r="B803" i="18" s="1"/>
  <c r="B804" i="18" s="1"/>
  <c r="B805" i="18" s="1"/>
  <c r="B806" i="18" s="1"/>
  <c r="B807" i="18" s="1"/>
  <c r="B808" i="18" s="1"/>
  <c r="B809" i="18" s="1"/>
  <c r="B810" i="18" s="1"/>
  <c r="B811" i="18" s="1"/>
  <c r="B812" i="18" s="1"/>
  <c r="B813" i="18" s="1"/>
  <c r="B814" i="18" s="1"/>
  <c r="B815" i="18" s="1"/>
  <c r="B816" i="18" s="1"/>
  <c r="B817" i="18" s="1"/>
  <c r="B818" i="18" s="1"/>
  <c r="B819" i="18" s="1"/>
  <c r="B820" i="18" s="1"/>
  <c r="B821" i="18" s="1"/>
  <c r="B822" i="18" s="1"/>
  <c r="B823" i="18" s="1"/>
  <c r="B824" i="18" s="1"/>
  <c r="B825" i="18" s="1"/>
  <c r="B826" i="18" s="1"/>
  <c r="B827" i="18" s="1"/>
  <c r="B828" i="18" s="1"/>
  <c r="B829" i="18" s="1"/>
  <c r="B830" i="18" s="1"/>
  <c r="B831" i="18" s="1"/>
  <c r="B832" i="18" s="1"/>
  <c r="B833" i="18" s="1"/>
  <c r="B834" i="18" s="1"/>
  <c r="B835" i="18" s="1"/>
  <c r="B836" i="18" s="1"/>
  <c r="B837" i="18" s="1"/>
  <c r="B838" i="18" s="1"/>
  <c r="B839" i="18" s="1"/>
  <c r="B840" i="18" s="1"/>
  <c r="B841" i="18" s="1"/>
  <c r="B842" i="18" s="1"/>
  <c r="B843" i="18" s="1"/>
  <c r="B844" i="18" s="1"/>
  <c r="B845" i="18" s="1"/>
  <c r="B846" i="18" s="1"/>
  <c r="B847" i="18" s="1"/>
  <c r="B848" i="18" s="1"/>
  <c r="B849" i="18" s="1"/>
  <c r="B850" i="18" s="1"/>
  <c r="B851" i="18" s="1"/>
  <c r="B852" i="18" s="1"/>
  <c r="B853" i="18" s="1"/>
  <c r="B854" i="18" s="1"/>
  <c r="B855" i="18" s="1"/>
  <c r="B856" i="18" s="1"/>
  <c r="B857" i="18" s="1"/>
  <c r="B858" i="18" s="1"/>
  <c r="B859" i="18" s="1"/>
  <c r="B860" i="18" s="1"/>
  <c r="B861" i="18" s="1"/>
  <c r="B862" i="18" s="1"/>
  <c r="B863" i="18" s="1"/>
  <c r="B864" i="18" s="1"/>
  <c r="B865" i="18" s="1"/>
  <c r="B866" i="18" s="1"/>
  <c r="B867" i="18" s="1"/>
  <c r="B868" i="18" s="1"/>
  <c r="B869" i="18" s="1"/>
  <c r="B870" i="18" s="1"/>
  <c r="B871" i="18" s="1"/>
  <c r="B872" i="18" s="1"/>
  <c r="B873" i="18" s="1"/>
  <c r="B874" i="18" s="1"/>
  <c r="B875" i="18" s="1"/>
  <c r="B876" i="18" s="1"/>
  <c r="B877" i="18" s="1"/>
  <c r="B878" i="18" s="1"/>
  <c r="B879" i="18" s="1"/>
  <c r="B880" i="18" s="1"/>
  <c r="B881" i="18" s="1"/>
  <c r="B882" i="18" s="1"/>
  <c r="B883" i="18" s="1"/>
  <c r="B884" i="18" s="1"/>
  <c r="B885" i="18" s="1"/>
  <c r="B886" i="18" s="1"/>
  <c r="B887" i="18" s="1"/>
  <c r="B888" i="18" s="1"/>
  <c r="B889" i="18" s="1"/>
  <c r="B890" i="18" s="1"/>
  <c r="B891" i="18" s="1"/>
  <c r="B892" i="18" s="1"/>
  <c r="B893" i="18" s="1"/>
  <c r="B894" i="18" s="1"/>
  <c r="B895" i="18" s="1"/>
  <c r="B896" i="18" s="1"/>
  <c r="B897" i="18" s="1"/>
  <c r="B898" i="18" s="1"/>
  <c r="B899" i="18" s="1"/>
  <c r="B900" i="18" s="1"/>
  <c r="B901" i="18" s="1"/>
  <c r="B902" i="18" s="1"/>
  <c r="B903" i="18" s="1"/>
  <c r="B904" i="18" s="1"/>
  <c r="B905" i="18" s="1"/>
  <c r="B906" i="18" s="1"/>
  <c r="B907" i="18" s="1"/>
  <c r="B908" i="18" s="1"/>
  <c r="B909" i="18" s="1"/>
  <c r="B910" i="18" s="1"/>
  <c r="B911" i="18" s="1"/>
  <c r="B912" i="18" s="1"/>
  <c r="B913" i="18" s="1"/>
  <c r="B914" i="18" s="1"/>
  <c r="B915" i="18" s="1"/>
  <c r="B916" i="18" s="1"/>
  <c r="B917" i="18" s="1"/>
  <c r="B918" i="18" s="1"/>
  <c r="B919" i="18" s="1"/>
  <c r="B920" i="18" s="1"/>
  <c r="B921" i="18" s="1"/>
  <c r="B922" i="18" s="1"/>
  <c r="B923" i="18" s="1"/>
  <c r="B924" i="18" s="1"/>
  <c r="B925" i="18" s="1"/>
  <c r="B926" i="18" s="1"/>
  <c r="B927" i="18" s="1"/>
  <c r="B928" i="18" s="1"/>
  <c r="B929" i="18" s="1"/>
  <c r="B930" i="18" s="1"/>
  <c r="B931" i="18" s="1"/>
  <c r="B932" i="18" s="1"/>
  <c r="B933" i="18" s="1"/>
  <c r="B934" i="18" s="1"/>
  <c r="B935" i="18" s="1"/>
  <c r="B936" i="18" s="1"/>
  <c r="B937" i="18" s="1"/>
  <c r="B938" i="18" s="1"/>
  <c r="B939" i="18" s="1"/>
  <c r="B940" i="18" s="1"/>
  <c r="B941" i="18" s="1"/>
  <c r="B942" i="18" s="1"/>
  <c r="B943" i="18" s="1"/>
  <c r="B944" i="18" s="1"/>
  <c r="B945" i="18" s="1"/>
  <c r="B946" i="18" s="1"/>
  <c r="B947" i="18" s="1"/>
  <c r="B948" i="18" s="1"/>
  <c r="B949" i="18" s="1"/>
  <c r="B950" i="18" s="1"/>
  <c r="B951" i="18" s="1"/>
  <c r="B952" i="18" s="1"/>
  <c r="B953" i="18" s="1"/>
  <c r="B954" i="18" s="1"/>
  <c r="B955" i="18" s="1"/>
  <c r="B956" i="18" s="1"/>
  <c r="B957" i="18" s="1"/>
  <c r="B958" i="18" s="1"/>
  <c r="B959" i="18" s="1"/>
  <c r="B960" i="18" s="1"/>
  <c r="B961" i="18" s="1"/>
  <c r="B962" i="18" s="1"/>
  <c r="B963" i="18" s="1"/>
  <c r="B964" i="18" s="1"/>
  <c r="B965" i="18" s="1"/>
  <c r="B966" i="18" s="1"/>
  <c r="B967" i="18" s="1"/>
  <c r="B968" i="18" s="1"/>
  <c r="B969" i="18" s="1"/>
  <c r="B970" i="18" s="1"/>
  <c r="B971" i="18" s="1"/>
  <c r="B972" i="18" s="1"/>
  <c r="B973" i="18" s="1"/>
  <c r="B974" i="18" s="1"/>
  <c r="B975" i="18" s="1"/>
  <c r="B976" i="18" s="1"/>
  <c r="B977" i="18" s="1"/>
  <c r="B978" i="18" s="1"/>
  <c r="B979" i="18" s="1"/>
  <c r="B980" i="18" s="1"/>
  <c r="B981" i="18" s="1"/>
  <c r="B982" i="18" s="1"/>
  <c r="B983" i="18" s="1"/>
  <c r="B984" i="18" s="1"/>
  <c r="B985" i="18" s="1"/>
  <c r="B986" i="18" s="1"/>
  <c r="B987" i="18" s="1"/>
  <c r="B988" i="18" s="1"/>
  <c r="B989" i="18" s="1"/>
  <c r="B990" i="18" s="1"/>
  <c r="B991" i="18" s="1"/>
  <c r="B992" i="18" s="1"/>
  <c r="B993" i="18" s="1"/>
  <c r="B994" i="18" s="1"/>
  <c r="B995" i="18" s="1"/>
  <c r="B996" i="18" s="1"/>
  <c r="B997" i="18" s="1"/>
  <c r="B998" i="18" s="1"/>
  <c r="B999" i="18" s="1"/>
  <c r="B1000" i="18" s="1"/>
  <c r="B1001" i="18" s="1"/>
  <c r="B1002" i="18" s="1"/>
  <c r="B1003" i="18" s="1"/>
  <c r="B1004" i="18" s="1"/>
  <c r="B1005" i="18" s="1"/>
  <c r="B1006" i="18" s="1"/>
  <c r="B1007" i="18" s="1"/>
  <c r="B1008" i="18" s="1"/>
  <c r="B1009" i="18" s="1"/>
  <c r="B1010" i="18" s="1"/>
  <c r="B1011" i="18" s="1"/>
  <c r="B1012" i="18" s="1"/>
  <c r="B1013" i="18" s="1"/>
  <c r="B1014" i="18" s="1"/>
  <c r="B1015" i="18" s="1"/>
  <c r="B1016" i="18" s="1"/>
  <c r="B1017" i="18" s="1"/>
  <c r="B1018" i="18" s="1"/>
  <c r="B1019" i="18" s="1"/>
  <c r="B1020" i="18" s="1"/>
  <c r="B1021" i="18" s="1"/>
  <c r="B1022" i="18" s="1"/>
  <c r="B1023" i="18" s="1"/>
  <c r="B1024" i="18" s="1"/>
  <c r="B1025" i="18" s="1"/>
  <c r="B1026" i="18" s="1"/>
  <c r="B1027" i="18" s="1"/>
  <c r="B1028" i="18" s="1"/>
  <c r="B1029" i="18" s="1"/>
  <c r="B1030" i="18" s="1"/>
  <c r="B1031" i="18" s="1"/>
  <c r="B1032" i="18" s="1"/>
  <c r="B1033" i="18" s="1"/>
  <c r="B1034" i="18" s="1"/>
  <c r="B1035" i="18" s="1"/>
  <c r="B1036" i="18" s="1"/>
  <c r="B1037" i="18" s="1"/>
  <c r="B1038" i="18" s="1"/>
  <c r="B1039" i="18" s="1"/>
  <c r="B1040" i="18" s="1"/>
  <c r="B1041" i="18" s="1"/>
  <c r="B1042" i="18" s="1"/>
  <c r="B1043" i="18" s="1"/>
  <c r="B1044" i="18" s="1"/>
  <c r="B1045" i="18" s="1"/>
  <c r="B1046" i="18" s="1"/>
  <c r="B1047" i="18" s="1"/>
  <c r="B1048" i="18" s="1"/>
  <c r="B1049" i="18" s="1"/>
  <c r="B1050" i="18" s="1"/>
  <c r="B1051" i="18" s="1"/>
  <c r="B1052" i="18" s="1"/>
  <c r="B1053" i="18" s="1"/>
  <c r="B1054" i="18" s="1"/>
  <c r="B1055" i="18" s="1"/>
  <c r="B1056" i="18" s="1"/>
  <c r="B1057" i="18" s="1"/>
  <c r="B1058" i="18" s="1"/>
  <c r="B1059" i="18" s="1"/>
  <c r="B1060" i="18" s="1"/>
  <c r="B1061" i="18" s="1"/>
  <c r="B1062" i="18" s="1"/>
  <c r="B1063" i="18" s="1"/>
  <c r="B1064" i="18" s="1"/>
  <c r="B1065" i="18" s="1"/>
  <c r="B1066" i="18" s="1"/>
  <c r="B1067" i="18" s="1"/>
  <c r="B1068" i="18" s="1"/>
  <c r="B1069" i="18" s="1"/>
  <c r="B1070" i="18" s="1"/>
  <c r="B1071" i="18" s="1"/>
  <c r="B1072" i="18" s="1"/>
  <c r="B1073" i="18" s="1"/>
  <c r="B1074" i="18" s="1"/>
  <c r="B1075" i="18" s="1"/>
  <c r="B1076" i="18" s="1"/>
  <c r="B1077" i="18" s="1"/>
  <c r="B1078" i="18" s="1"/>
  <c r="B1079" i="18" s="1"/>
  <c r="B1080" i="18" s="1"/>
  <c r="B1081" i="18" s="1"/>
  <c r="B1082" i="18" s="1"/>
  <c r="B1083" i="18" s="1"/>
  <c r="B1084" i="18" s="1"/>
  <c r="B1085" i="18" s="1"/>
  <c r="B1086" i="18" s="1"/>
  <c r="B1087" i="18" s="1"/>
  <c r="B1088" i="18" s="1"/>
  <c r="B1089" i="18" s="1"/>
  <c r="B1090" i="18" s="1"/>
  <c r="B1091" i="18" s="1"/>
  <c r="B1092" i="18" s="1"/>
  <c r="B1093" i="18" s="1"/>
  <c r="B1094" i="18" s="1"/>
  <c r="B1095" i="18" s="1"/>
  <c r="B1096" i="18" s="1"/>
  <c r="B1097" i="18" s="1"/>
  <c r="B1098" i="18" s="1"/>
  <c r="B1099" i="18" s="1"/>
  <c r="B1100" i="18" s="1"/>
  <c r="B1101" i="18" s="1"/>
  <c r="B1102" i="18" s="1"/>
  <c r="B1103" i="18" s="1"/>
  <c r="B1104" i="18" s="1"/>
  <c r="B1105" i="18" s="1"/>
  <c r="B1106" i="18" s="1"/>
  <c r="B1107" i="18" s="1"/>
  <c r="B1108" i="18" s="1"/>
  <c r="B1109" i="18" s="1"/>
  <c r="B1110" i="18" s="1"/>
  <c r="B1111" i="18" s="1"/>
  <c r="B1112" i="18" s="1"/>
  <c r="B1113" i="18" s="1"/>
  <c r="B1114" i="18" s="1"/>
  <c r="B1115" i="18" s="1"/>
  <c r="B1116" i="18" s="1"/>
  <c r="B1117" i="18" s="1"/>
  <c r="B1118" i="18" s="1"/>
  <c r="B1119" i="18" s="1"/>
  <c r="B1120" i="18" s="1"/>
  <c r="B1121" i="18" s="1"/>
  <c r="B1122" i="18" s="1"/>
  <c r="B1123" i="18" s="1"/>
  <c r="B1124" i="18" s="1"/>
  <c r="B1125" i="18" s="1"/>
  <c r="B1126" i="18" s="1"/>
  <c r="B1127" i="18" s="1"/>
  <c r="B1128" i="18" s="1"/>
  <c r="B1129" i="18" s="1"/>
  <c r="B1130" i="18" s="1"/>
  <c r="B1131" i="18" s="1"/>
  <c r="B1132" i="18" s="1"/>
  <c r="B1133" i="18" s="1"/>
  <c r="B1134" i="18" s="1"/>
  <c r="B1135" i="18" s="1"/>
  <c r="B1136" i="18" s="1"/>
  <c r="B1137" i="18" s="1"/>
  <c r="B1138" i="18" s="1"/>
  <c r="B1139" i="18" s="1"/>
  <c r="B1140" i="18" s="1"/>
  <c r="B1141" i="18" s="1"/>
  <c r="B1142" i="18" s="1"/>
  <c r="B1143" i="18" s="1"/>
  <c r="B1144" i="18" s="1"/>
  <c r="B1145" i="18" s="1"/>
  <c r="B1146" i="18" s="1"/>
  <c r="B1147" i="18" s="1"/>
  <c r="B1148" i="18" s="1"/>
  <c r="B1149" i="18" s="1"/>
  <c r="B1150" i="18" s="1"/>
  <c r="B1151" i="18" s="1"/>
  <c r="B1152" i="18" s="1"/>
  <c r="B1153" i="18" s="1"/>
  <c r="B1154" i="18" s="1"/>
  <c r="B1155" i="18" s="1"/>
  <c r="B1156" i="18" s="1"/>
  <c r="B1157" i="18" s="1"/>
  <c r="B1158" i="18" s="1"/>
  <c r="B1159" i="18" s="1"/>
  <c r="B1160" i="18" s="1"/>
  <c r="B1161" i="18" s="1"/>
  <c r="B1162" i="18" s="1"/>
  <c r="B1163" i="18" s="1"/>
  <c r="B1164" i="18" s="1"/>
  <c r="B1165" i="18" s="1"/>
  <c r="B1166" i="18" s="1"/>
  <c r="B1167" i="18" s="1"/>
  <c r="B1168" i="18" s="1"/>
  <c r="B1169" i="18" s="1"/>
  <c r="B1170" i="18" s="1"/>
  <c r="B1171" i="18" s="1"/>
  <c r="B1172" i="18" s="1"/>
  <c r="B1173" i="18" s="1"/>
  <c r="B1174" i="18" s="1"/>
  <c r="B1175" i="18" s="1"/>
  <c r="B1176" i="18" s="1"/>
  <c r="B1177" i="18" s="1"/>
  <c r="B1178" i="18" s="1"/>
  <c r="B1179" i="18" s="1"/>
  <c r="B1180" i="18" s="1"/>
  <c r="B1181" i="18" s="1"/>
  <c r="B1182" i="18" s="1"/>
  <c r="B1183" i="18" s="1"/>
  <c r="B1184" i="18" s="1"/>
  <c r="B1185" i="18" s="1"/>
  <c r="B1186" i="18" s="1"/>
  <c r="B1187" i="18" s="1"/>
  <c r="B1188" i="18" s="1"/>
  <c r="B1189" i="18" s="1"/>
  <c r="B1190" i="18" s="1"/>
  <c r="B1191" i="18" s="1"/>
  <c r="B1192" i="18" s="1"/>
  <c r="B1193" i="18" s="1"/>
  <c r="B1194" i="18" s="1"/>
  <c r="B1195" i="18" s="1"/>
  <c r="B1196" i="18" s="1"/>
  <c r="B1197" i="18" s="1"/>
  <c r="B1198" i="18" s="1"/>
  <c r="B1199" i="18" s="1"/>
  <c r="B1200" i="18" s="1"/>
  <c r="B1201" i="18" s="1"/>
  <c r="B1202" i="18" s="1"/>
  <c r="B1203" i="18" s="1"/>
  <c r="B1204" i="18" s="1"/>
  <c r="B1205" i="18" s="1"/>
  <c r="B1206" i="18" s="1"/>
  <c r="B1207" i="18" s="1"/>
  <c r="B1208" i="18" s="1"/>
  <c r="B1209" i="18" s="1"/>
  <c r="B1210" i="18" s="1"/>
  <c r="B1211" i="18" s="1"/>
  <c r="B1212" i="18" s="1"/>
  <c r="B1213" i="18" s="1"/>
  <c r="B1214" i="18" s="1"/>
  <c r="B1215" i="18" s="1"/>
  <c r="B1216" i="18" s="1"/>
  <c r="B1217" i="18" s="1"/>
  <c r="B1218" i="18" s="1"/>
  <c r="B1219" i="18" s="1"/>
  <c r="B1220" i="18" s="1"/>
  <c r="B1221" i="18" s="1"/>
  <c r="B1222" i="18" s="1"/>
  <c r="B1223" i="18" s="1"/>
  <c r="B1224" i="18" s="1"/>
  <c r="B1225" i="18" s="1"/>
  <c r="B1226" i="18" s="1"/>
  <c r="B1227" i="18" s="1"/>
  <c r="B1228" i="18" s="1"/>
  <c r="B1229" i="18" s="1"/>
  <c r="B1230" i="18" s="1"/>
  <c r="B1231" i="18" s="1"/>
  <c r="B1232" i="18" s="1"/>
  <c r="B1233" i="18" s="1"/>
  <c r="B1234" i="18" s="1"/>
  <c r="B1235" i="18" s="1"/>
  <c r="B1236" i="18" s="1"/>
  <c r="B1237" i="18" s="1"/>
  <c r="B1238" i="18" s="1"/>
  <c r="B1239" i="18" s="1"/>
  <c r="B1240" i="18" s="1"/>
  <c r="B1241" i="18" s="1"/>
  <c r="B1242" i="18" s="1"/>
  <c r="B1243" i="18" s="1"/>
  <c r="B1244" i="18" s="1"/>
  <c r="B1245" i="18" s="1"/>
  <c r="B1246" i="18" s="1"/>
  <c r="B1247" i="18" s="1"/>
  <c r="B1248" i="18" s="1"/>
  <c r="B1249" i="18" s="1"/>
  <c r="B1250" i="18" s="1"/>
  <c r="B1251" i="18" s="1"/>
  <c r="B1252" i="18" s="1"/>
  <c r="B1253" i="18" s="1"/>
  <c r="B1254" i="18" s="1"/>
  <c r="B1255" i="18" s="1"/>
  <c r="B1256" i="18" s="1"/>
  <c r="B1257" i="18" s="1"/>
  <c r="B1258" i="18" s="1"/>
  <c r="B1259" i="18" s="1"/>
  <c r="B1260" i="18" s="1"/>
  <c r="B1261" i="18" s="1"/>
  <c r="B1262" i="18" s="1"/>
  <c r="B1263" i="18" s="1"/>
  <c r="B1264" i="18" s="1"/>
  <c r="B1265" i="18" s="1"/>
  <c r="B1266" i="18" s="1"/>
  <c r="B1267" i="18" s="1"/>
  <c r="B1268" i="18" s="1"/>
  <c r="B1269" i="18" s="1"/>
  <c r="B1270" i="18" s="1"/>
  <c r="B1271" i="18" s="1"/>
  <c r="B1272" i="18" s="1"/>
  <c r="B1273" i="18" s="1"/>
  <c r="B1274" i="18" s="1"/>
  <c r="B1275" i="18" s="1"/>
  <c r="B1276" i="18" s="1"/>
  <c r="B1277" i="18" s="1"/>
  <c r="B1278" i="18" s="1"/>
  <c r="B1279" i="18" s="1"/>
  <c r="B1280" i="18" s="1"/>
  <c r="B1281" i="18" s="1"/>
  <c r="B1282" i="18" s="1"/>
  <c r="B1283" i="18" s="1"/>
  <c r="B1284" i="18" s="1"/>
  <c r="B1285" i="18" s="1"/>
  <c r="B1286" i="18" s="1"/>
  <c r="B1287" i="18" s="1"/>
  <c r="B1288" i="18" s="1"/>
  <c r="B1289" i="18" s="1"/>
  <c r="B1290" i="18" s="1"/>
  <c r="B1291" i="18" s="1"/>
  <c r="B1292" i="18" s="1"/>
  <c r="B1293" i="18" s="1"/>
  <c r="B1294" i="18" s="1"/>
  <c r="B1295" i="18" s="1"/>
  <c r="B1296" i="18" s="1"/>
  <c r="B1297" i="18" s="1"/>
  <c r="B1298" i="18" s="1"/>
  <c r="B1299" i="18" s="1"/>
  <c r="B1300" i="18" s="1"/>
  <c r="B1301" i="18" s="1"/>
  <c r="B1302" i="18" s="1"/>
  <c r="B1303" i="18" s="1"/>
  <c r="B1304" i="18" s="1"/>
  <c r="B1305" i="18" s="1"/>
  <c r="B1306" i="18" s="1"/>
  <c r="B1307" i="18" s="1"/>
  <c r="B1308" i="18" s="1"/>
  <c r="B1309" i="18" s="1"/>
  <c r="B1310" i="18" s="1"/>
  <c r="B1311" i="18" s="1"/>
  <c r="B1312" i="18" s="1"/>
  <c r="B1313" i="18" s="1"/>
  <c r="B1314" i="18" s="1"/>
  <c r="B1315" i="18" s="1"/>
  <c r="B1316" i="18" s="1"/>
  <c r="B1317" i="18" s="1"/>
  <c r="B1318" i="18" s="1"/>
  <c r="B1319" i="18" s="1"/>
  <c r="B1320" i="18" s="1"/>
  <c r="B1321" i="18" s="1"/>
  <c r="B1322" i="18" s="1"/>
  <c r="B1323" i="18" s="1"/>
  <c r="B1324" i="18" s="1"/>
  <c r="B1325" i="18" s="1"/>
  <c r="B1326" i="18" s="1"/>
  <c r="B1327" i="18" s="1"/>
  <c r="B1328" i="18" s="1"/>
  <c r="B1329" i="18" s="1"/>
  <c r="B1330" i="18" s="1"/>
  <c r="B1331" i="18" s="1"/>
  <c r="B1332" i="18" s="1"/>
  <c r="B1333" i="18" s="1"/>
  <c r="B1334" i="18" s="1"/>
  <c r="B1335" i="18" s="1"/>
  <c r="B1336" i="18" s="1"/>
  <c r="B1337" i="18" s="1"/>
  <c r="B1338" i="18" s="1"/>
  <c r="B1339" i="18" s="1"/>
  <c r="B1340" i="18" s="1"/>
  <c r="B1341" i="18" s="1"/>
  <c r="B1342" i="18" s="1"/>
  <c r="B1343" i="18" s="1"/>
  <c r="B1344" i="18" s="1"/>
  <c r="B1345" i="18" s="1"/>
  <c r="B1346" i="18" s="1"/>
  <c r="B1347" i="18" s="1"/>
  <c r="B1348" i="18" s="1"/>
  <c r="B1349" i="18" s="1"/>
  <c r="B1350" i="18" s="1"/>
  <c r="B1351" i="18" s="1"/>
  <c r="B1352" i="18" s="1"/>
  <c r="B1353" i="18" s="1"/>
  <c r="B1354" i="18" s="1"/>
  <c r="B1355" i="18" s="1"/>
  <c r="B1356" i="18" s="1"/>
  <c r="B1357" i="18" s="1"/>
  <c r="B1358" i="18" s="1"/>
  <c r="B1359" i="18" s="1"/>
  <c r="B1360" i="18" s="1"/>
  <c r="B1361" i="18" s="1"/>
  <c r="B1362" i="18" s="1"/>
  <c r="B1363" i="18" s="1"/>
  <c r="B1364" i="18" s="1"/>
  <c r="B1365" i="18" s="1"/>
  <c r="B1366" i="18" s="1"/>
  <c r="B1367" i="18" s="1"/>
  <c r="B1368" i="18" s="1"/>
  <c r="B1369" i="18" s="1"/>
  <c r="B1370" i="18" s="1"/>
  <c r="B1371" i="18" s="1"/>
  <c r="B1372" i="18" s="1"/>
  <c r="B1373" i="18" s="1"/>
  <c r="B1374" i="18" s="1"/>
  <c r="B1375" i="18" s="1"/>
  <c r="B1376" i="18" s="1"/>
  <c r="B1377" i="18" s="1"/>
  <c r="B1378" i="18" s="1"/>
  <c r="B1379" i="18" s="1"/>
  <c r="B1380" i="18" s="1"/>
  <c r="B1381" i="18" s="1"/>
  <c r="B1382" i="18" s="1"/>
  <c r="B1383" i="18" s="1"/>
  <c r="B1384" i="18" s="1"/>
  <c r="B1385" i="18" s="1"/>
  <c r="B1386" i="18" s="1"/>
  <c r="B1387" i="18" s="1"/>
  <c r="B1388" i="18" s="1"/>
  <c r="B1389" i="18" s="1"/>
  <c r="B1390" i="18" s="1"/>
  <c r="B1391" i="18" s="1"/>
  <c r="B1392" i="18" s="1"/>
  <c r="B1393" i="18" s="1"/>
  <c r="B1394" i="18" s="1"/>
  <c r="B1395" i="18" s="1"/>
  <c r="B1396" i="18" s="1"/>
  <c r="B1397" i="18" s="1"/>
  <c r="B1398" i="18" s="1"/>
  <c r="B1399" i="18" s="1"/>
  <c r="B1400" i="18" s="1"/>
  <c r="B1401" i="18" s="1"/>
  <c r="B1402" i="18" s="1"/>
  <c r="B1403" i="18" s="1"/>
  <c r="B1404" i="18" s="1"/>
  <c r="B1405" i="18" s="1"/>
  <c r="B1406" i="18" s="1"/>
  <c r="B1407" i="18" s="1"/>
  <c r="B1408" i="18" s="1"/>
  <c r="B1409" i="18" s="1"/>
  <c r="B1410" i="18" s="1"/>
  <c r="B1411" i="18" s="1"/>
  <c r="B1412" i="18" s="1"/>
  <c r="B1413" i="18" s="1"/>
  <c r="B1414" i="18" s="1"/>
  <c r="B1415" i="18" s="1"/>
  <c r="B1416" i="18" s="1"/>
  <c r="B1417" i="18" s="1"/>
  <c r="B1418" i="18" s="1"/>
  <c r="B1419" i="18" s="1"/>
  <c r="B1420" i="18" s="1"/>
  <c r="B1421" i="18" s="1"/>
  <c r="B1422" i="18" s="1"/>
  <c r="B1423" i="18" s="1"/>
  <c r="B1424" i="18" s="1"/>
  <c r="B1425" i="18" s="1"/>
  <c r="B1426" i="18" s="1"/>
  <c r="B1427" i="18" s="1"/>
  <c r="B1428" i="18" s="1"/>
  <c r="B1429" i="18" s="1"/>
  <c r="B1430" i="18" s="1"/>
  <c r="B1431" i="18" s="1"/>
  <c r="B1432" i="18" s="1"/>
  <c r="B1433" i="18" s="1"/>
  <c r="B1434" i="18" s="1"/>
  <c r="B1435" i="18" s="1"/>
  <c r="B1436" i="18" s="1"/>
  <c r="B1437" i="18" s="1"/>
  <c r="B1438" i="18" s="1"/>
  <c r="B1439" i="18" s="1"/>
  <c r="B1440" i="18" s="1"/>
  <c r="B1441" i="18" s="1"/>
  <c r="B1442" i="18" s="1"/>
  <c r="B1443" i="18" s="1"/>
  <c r="B1444" i="18" s="1"/>
  <c r="B1445" i="18" s="1"/>
  <c r="B1446" i="18" s="1"/>
  <c r="B1447" i="18" s="1"/>
  <c r="B1448" i="18" s="1"/>
  <c r="B1449" i="18" s="1"/>
  <c r="B1450" i="18" s="1"/>
  <c r="B1451" i="18" s="1"/>
  <c r="B1452" i="18" s="1"/>
  <c r="B1453" i="18" s="1"/>
  <c r="B1454" i="18" s="1"/>
  <c r="B1455" i="18" s="1"/>
  <c r="B1456" i="18" s="1"/>
  <c r="B1457" i="18" s="1"/>
  <c r="B1458" i="18" s="1"/>
  <c r="B1459" i="18" s="1"/>
  <c r="B1460" i="18" s="1"/>
  <c r="B1461" i="18" s="1"/>
  <c r="B1462" i="18" s="1"/>
  <c r="B1463" i="18" s="1"/>
  <c r="B1464" i="18" s="1"/>
  <c r="B1465" i="18" s="1"/>
  <c r="B1466" i="18" s="1"/>
  <c r="B1467" i="18" s="1"/>
  <c r="B1468" i="18" s="1"/>
  <c r="B1469" i="18" s="1"/>
  <c r="B1470" i="18" s="1"/>
  <c r="B1471" i="18" s="1"/>
  <c r="B1472" i="18" s="1"/>
  <c r="B1473" i="18" s="1"/>
  <c r="B1474" i="18" s="1"/>
  <c r="B1475" i="18" s="1"/>
  <c r="B1476" i="18" s="1"/>
  <c r="B1477" i="18" s="1"/>
  <c r="B1478" i="18" s="1"/>
  <c r="B1479" i="18" s="1"/>
  <c r="B1480" i="18" s="1"/>
  <c r="B1481" i="18" s="1"/>
  <c r="B1482" i="18" s="1"/>
  <c r="B1483" i="18" s="1"/>
  <c r="B1484" i="18" s="1"/>
  <c r="B1485" i="18" s="1"/>
  <c r="B1486" i="18" s="1"/>
  <c r="B1487" i="18" s="1"/>
  <c r="B1488" i="18" s="1"/>
  <c r="B1489" i="18" s="1"/>
  <c r="B1490" i="18" s="1"/>
  <c r="B1491" i="18" s="1"/>
  <c r="B1492" i="18" s="1"/>
  <c r="B1493" i="18" s="1"/>
  <c r="B1494" i="18" s="1"/>
  <c r="B1495" i="18" s="1"/>
  <c r="B1496" i="18" s="1"/>
  <c r="B1497" i="18" s="1"/>
  <c r="B1498" i="18" s="1"/>
  <c r="B1499" i="18" s="1"/>
  <c r="B1500" i="18" s="1"/>
  <c r="B1501" i="18" s="1"/>
  <c r="B1502" i="18" s="1"/>
  <c r="B1503" i="18" s="1"/>
  <c r="B1504" i="18" s="1"/>
  <c r="B1505" i="18" s="1"/>
  <c r="B1506" i="18" s="1"/>
  <c r="B1507" i="18" s="1"/>
  <c r="B1508" i="18" s="1"/>
  <c r="B1509" i="18" s="1"/>
  <c r="B1510" i="18" s="1"/>
  <c r="B1511" i="18" s="1"/>
  <c r="B1512" i="18" s="1"/>
  <c r="B1513" i="18" s="1"/>
  <c r="B1514" i="18" s="1"/>
  <c r="B1515" i="18" s="1"/>
  <c r="B1516" i="18" s="1"/>
  <c r="B1517" i="18" s="1"/>
  <c r="B1518" i="18" s="1"/>
  <c r="B1519" i="18" s="1"/>
  <c r="B1520" i="18" s="1"/>
  <c r="B1521" i="18" s="1"/>
  <c r="B1522" i="18" s="1"/>
  <c r="B1523" i="18" s="1"/>
  <c r="B1524" i="18" s="1"/>
  <c r="B1525" i="18" s="1"/>
  <c r="B1526" i="18" s="1"/>
  <c r="B1527" i="18" s="1"/>
  <c r="B1528" i="18" s="1"/>
  <c r="B1529" i="18" s="1"/>
  <c r="B1530" i="18" s="1"/>
  <c r="B1531" i="18" s="1"/>
  <c r="B1532" i="18" s="1"/>
  <c r="B1533" i="18" s="1"/>
  <c r="B1534" i="18" s="1"/>
  <c r="B1535" i="18" s="1"/>
  <c r="B1536" i="18" s="1"/>
  <c r="B1537" i="18" s="1"/>
  <c r="B1538" i="18" s="1"/>
  <c r="B1539" i="18" s="1"/>
  <c r="B1540" i="18" s="1"/>
  <c r="B1541" i="18" s="1"/>
  <c r="B1542" i="18" s="1"/>
  <c r="B1543" i="18" s="1"/>
  <c r="B1544" i="18" s="1"/>
  <c r="B1545" i="18" s="1"/>
  <c r="B1546" i="18" s="1"/>
  <c r="B1547" i="18" s="1"/>
  <c r="B1548" i="18" s="1"/>
  <c r="B1549" i="18" s="1"/>
  <c r="B1550" i="18" s="1"/>
  <c r="B1551" i="18" s="1"/>
  <c r="B1552" i="18" s="1"/>
  <c r="B1553" i="18" s="1"/>
  <c r="B1554" i="18" s="1"/>
  <c r="B1555" i="18" s="1"/>
  <c r="B1556" i="18" s="1"/>
  <c r="B1557" i="18" s="1"/>
  <c r="B1558" i="18" s="1"/>
  <c r="B1559" i="18" s="1"/>
  <c r="B1560" i="18" s="1"/>
  <c r="B1561" i="18" s="1"/>
  <c r="B1562" i="18" s="1"/>
  <c r="B1563" i="18" s="1"/>
  <c r="B1564" i="18" s="1"/>
  <c r="B1565" i="18" s="1"/>
  <c r="B1566" i="18" s="1"/>
  <c r="B1567" i="18" s="1"/>
  <c r="B1568" i="18" s="1"/>
  <c r="B1569" i="18" s="1"/>
  <c r="B1570" i="18" s="1"/>
  <c r="B1571" i="18" s="1"/>
  <c r="B1572" i="18" s="1"/>
  <c r="B1573" i="18" s="1"/>
  <c r="B1574" i="18" s="1"/>
  <c r="B1575" i="18" s="1"/>
  <c r="B1576" i="18" s="1"/>
  <c r="B1577" i="18" s="1"/>
  <c r="B1578" i="18" s="1"/>
  <c r="B1579" i="18" s="1"/>
  <c r="B1580" i="18" s="1"/>
  <c r="B1581" i="18" s="1"/>
  <c r="B1582" i="18" s="1"/>
  <c r="B1583" i="18" s="1"/>
  <c r="B1584" i="18" s="1"/>
  <c r="B1585" i="18" s="1"/>
  <c r="B1586" i="18" s="1"/>
  <c r="B1587" i="18" s="1"/>
  <c r="B1588" i="18" s="1"/>
  <c r="B1589" i="18" s="1"/>
  <c r="B1590" i="18" s="1"/>
  <c r="B1591" i="18" s="1"/>
  <c r="B1592" i="18" s="1"/>
  <c r="B1593" i="18" s="1"/>
  <c r="B1594" i="18" s="1"/>
  <c r="B1595" i="18" s="1"/>
  <c r="B1596" i="18" s="1"/>
  <c r="B1597" i="18" s="1"/>
  <c r="B1598" i="18" s="1"/>
  <c r="B1599" i="18" s="1"/>
  <c r="B1600" i="18" s="1"/>
  <c r="B1601" i="18" s="1"/>
  <c r="B1602" i="18" s="1"/>
  <c r="B1603" i="18" s="1"/>
  <c r="B1604" i="18" s="1"/>
  <c r="B1605" i="18" s="1"/>
  <c r="B1606" i="18" s="1"/>
  <c r="B1607" i="18" s="1"/>
  <c r="B1608" i="18" s="1"/>
  <c r="B1609" i="18" s="1"/>
  <c r="B1610" i="18" s="1"/>
  <c r="B1611" i="18" s="1"/>
  <c r="B1612" i="18" s="1"/>
  <c r="B1613" i="18" s="1"/>
  <c r="B1614" i="18" s="1"/>
  <c r="B1615" i="18" s="1"/>
  <c r="B1616" i="18" s="1"/>
  <c r="B1617" i="18" s="1"/>
  <c r="B1618" i="18" s="1"/>
  <c r="B1619" i="18" s="1"/>
  <c r="B1620" i="18" s="1"/>
  <c r="B1621" i="18" s="1"/>
  <c r="B1622" i="18" s="1"/>
  <c r="B1623" i="18" s="1"/>
  <c r="B1624" i="18" s="1"/>
  <c r="B1625" i="18" s="1"/>
  <c r="B1626" i="18" s="1"/>
  <c r="B1627" i="18" s="1"/>
  <c r="B1628" i="18" s="1"/>
  <c r="B1629" i="18" s="1"/>
  <c r="B1630" i="18" s="1"/>
  <c r="B1631" i="18" s="1"/>
  <c r="B1632" i="18" s="1"/>
  <c r="B1633" i="18" s="1"/>
  <c r="B1634" i="18" s="1"/>
  <c r="B1635" i="18" s="1"/>
  <c r="B1636" i="18" s="1"/>
  <c r="B1637" i="18" s="1"/>
  <c r="B1638" i="18" s="1"/>
  <c r="B1639" i="18" s="1"/>
  <c r="B1640" i="18" s="1"/>
  <c r="B1641" i="18" s="1"/>
  <c r="B1642" i="18" s="1"/>
  <c r="B1643" i="18" s="1"/>
  <c r="B1644" i="18" s="1"/>
  <c r="B1645" i="18" s="1"/>
  <c r="B1646" i="18" s="1"/>
  <c r="B1647" i="18" s="1"/>
  <c r="B1648" i="18" s="1"/>
  <c r="B1649" i="18" s="1"/>
  <c r="B1650" i="18" s="1"/>
  <c r="B1651" i="18" s="1"/>
  <c r="B1652" i="18" s="1"/>
  <c r="B1653" i="18" s="1"/>
  <c r="B1654" i="18" s="1"/>
  <c r="B1655" i="18" s="1"/>
  <c r="B1656" i="18" s="1"/>
  <c r="B1657" i="18" s="1"/>
  <c r="B1658" i="18" s="1"/>
  <c r="B1659" i="18" s="1"/>
  <c r="B1660" i="18" s="1"/>
  <c r="B1661" i="18" s="1"/>
  <c r="B1662" i="18" s="1"/>
  <c r="B1663" i="18" s="1"/>
  <c r="B1664" i="18" s="1"/>
  <c r="B1665" i="18" s="1"/>
  <c r="B1666" i="18" s="1"/>
  <c r="B1667" i="18" s="1"/>
  <c r="B1668" i="18" s="1"/>
  <c r="B1669" i="18" s="1"/>
  <c r="B1670" i="18" s="1"/>
  <c r="B1671" i="18" s="1"/>
  <c r="B1672" i="18" s="1"/>
  <c r="B1673" i="18" s="1"/>
  <c r="B1674" i="18" s="1"/>
  <c r="B1675" i="18" s="1"/>
  <c r="B1676" i="18" s="1"/>
  <c r="B1677" i="18" s="1"/>
  <c r="B1678" i="18" s="1"/>
  <c r="B1679" i="18" s="1"/>
  <c r="B1680" i="18" s="1"/>
  <c r="B1681" i="18" s="1"/>
  <c r="B1682" i="18" s="1"/>
  <c r="B1683" i="18" s="1"/>
  <c r="B1684" i="18" s="1"/>
  <c r="B1685" i="18" s="1"/>
  <c r="B1686" i="18" s="1"/>
  <c r="B1687" i="18" s="1"/>
  <c r="B1688" i="18" s="1"/>
  <c r="B1689" i="18" s="1"/>
  <c r="B1690" i="18" s="1"/>
  <c r="B1691" i="18" s="1"/>
  <c r="B1692" i="18" s="1"/>
  <c r="B1693" i="18" s="1"/>
  <c r="B1694" i="18" s="1"/>
  <c r="B1695" i="18" s="1"/>
  <c r="B1696" i="18" s="1"/>
  <c r="B1697" i="18" s="1"/>
  <c r="B1698" i="18" s="1"/>
  <c r="B1699" i="18" s="1"/>
  <c r="B1700" i="18" s="1"/>
  <c r="B1701" i="18" s="1"/>
  <c r="B1702" i="18" s="1"/>
  <c r="B1703" i="18" s="1"/>
  <c r="B1704" i="18" s="1"/>
  <c r="B1705" i="18" s="1"/>
  <c r="B1706" i="18" s="1"/>
  <c r="B1707" i="18" s="1"/>
  <c r="B1708" i="18" s="1"/>
  <c r="B1709" i="18" s="1"/>
  <c r="B1710" i="18" s="1"/>
  <c r="B1711" i="18" s="1"/>
  <c r="B1712" i="18" s="1"/>
  <c r="B1713" i="18" s="1"/>
  <c r="B1714" i="18" s="1"/>
  <c r="B1715" i="18" s="1"/>
  <c r="B1716" i="18" s="1"/>
  <c r="B1717" i="18" s="1"/>
  <c r="B1718" i="18" s="1"/>
  <c r="B1719" i="18" s="1"/>
  <c r="B1720" i="18" s="1"/>
  <c r="B1721" i="18" s="1"/>
  <c r="B1722" i="18" s="1"/>
  <c r="B1723" i="18" s="1"/>
  <c r="B1724" i="18" s="1"/>
  <c r="B1725" i="18" s="1"/>
  <c r="B1726" i="18" s="1"/>
  <c r="B1727" i="18" s="1"/>
  <c r="B1728" i="18" s="1"/>
  <c r="B1729" i="18" s="1"/>
  <c r="B1730" i="18" s="1"/>
  <c r="B1731" i="18" s="1"/>
  <c r="B1732" i="18" s="1"/>
  <c r="B1733" i="18" s="1"/>
  <c r="B1734" i="18" s="1"/>
  <c r="B1735" i="18" s="1"/>
  <c r="B1736" i="18" s="1"/>
  <c r="B1737" i="18" s="1"/>
  <c r="B1738" i="18" s="1"/>
  <c r="B1739" i="18" s="1"/>
  <c r="B1740" i="18" s="1"/>
  <c r="B1741" i="18" s="1"/>
  <c r="B1742" i="18" s="1"/>
  <c r="B1743" i="18" s="1"/>
  <c r="B1744" i="18" s="1"/>
  <c r="B1745" i="18" s="1"/>
  <c r="B1746" i="18" s="1"/>
  <c r="B1747" i="18" s="1"/>
  <c r="B1748" i="18" s="1"/>
  <c r="B1749" i="18" s="1"/>
  <c r="B1750" i="18" s="1"/>
  <c r="B1751" i="18" s="1"/>
  <c r="B1752" i="18" s="1"/>
  <c r="B1753" i="18" s="1"/>
  <c r="B1754" i="18" s="1"/>
  <c r="B1755" i="18" s="1"/>
  <c r="B1756" i="18" s="1"/>
  <c r="B1757" i="18" s="1"/>
  <c r="B1758" i="18" s="1"/>
  <c r="B1759" i="18" s="1"/>
  <c r="B1760" i="18" s="1"/>
  <c r="B1761" i="18" s="1"/>
  <c r="B1762" i="18" s="1"/>
  <c r="B1763" i="18" s="1"/>
  <c r="B1764" i="18" s="1"/>
  <c r="B1765" i="18" s="1"/>
  <c r="B1766" i="18" s="1"/>
  <c r="B1767" i="18" s="1"/>
  <c r="B1768" i="18" s="1"/>
  <c r="B1769" i="18" s="1"/>
  <c r="B1770" i="18" s="1"/>
  <c r="B1771" i="18" s="1"/>
  <c r="B1772" i="18" s="1"/>
  <c r="B1773" i="18" s="1"/>
  <c r="B1774" i="18" s="1"/>
  <c r="B1775" i="18" s="1"/>
  <c r="B1776" i="18" s="1"/>
  <c r="B1777" i="18" s="1"/>
  <c r="B1778" i="18" s="1"/>
  <c r="B1779" i="18" s="1"/>
  <c r="B1780" i="18" s="1"/>
  <c r="B1781" i="18" s="1"/>
  <c r="B1782" i="18" s="1"/>
  <c r="B1783" i="18" s="1"/>
  <c r="B1784" i="18" s="1"/>
  <c r="B1785" i="18" s="1"/>
  <c r="B1786" i="18" s="1"/>
  <c r="B1787" i="18" s="1"/>
  <c r="B1788" i="18" s="1"/>
  <c r="B1789" i="18" s="1"/>
  <c r="B1790" i="18" s="1"/>
  <c r="B1791" i="18" s="1"/>
  <c r="B1792" i="18" s="1"/>
  <c r="B1793" i="18" s="1"/>
  <c r="B1794" i="18" s="1"/>
  <c r="B1795" i="18" s="1"/>
  <c r="B1796" i="18" s="1"/>
  <c r="B1797" i="18" s="1"/>
  <c r="B1798" i="18" s="1"/>
  <c r="B1799" i="18" s="1"/>
  <c r="B1800" i="18" s="1"/>
  <c r="B1801" i="18" s="1"/>
  <c r="B1802" i="18" s="1"/>
  <c r="B1803" i="18" s="1"/>
  <c r="B1804" i="18" s="1"/>
  <c r="B1805" i="18" s="1"/>
  <c r="B1806" i="18" s="1"/>
  <c r="B1807" i="18" s="1"/>
  <c r="B1808" i="18" s="1"/>
  <c r="B1809" i="18" s="1"/>
  <c r="B1810" i="18" s="1"/>
  <c r="B1811" i="18" s="1"/>
  <c r="B1812" i="18" s="1"/>
  <c r="B1813" i="18" s="1"/>
  <c r="B1814" i="18" s="1"/>
  <c r="B1815" i="18" s="1"/>
  <c r="B1816" i="18" s="1"/>
  <c r="B1817" i="18" s="1"/>
  <c r="B1818" i="18" s="1"/>
  <c r="B1819" i="18" s="1"/>
  <c r="B1820" i="18" s="1"/>
  <c r="B1821" i="18" s="1"/>
  <c r="B1822" i="18" s="1"/>
  <c r="B1823" i="18" s="1"/>
  <c r="B1824" i="18" s="1"/>
  <c r="B1825" i="18" s="1"/>
  <c r="B1826" i="18" s="1"/>
  <c r="B1827" i="18" s="1"/>
  <c r="B1828" i="18" s="1"/>
  <c r="B1829" i="18" s="1"/>
  <c r="B1830" i="18" s="1"/>
  <c r="B1831" i="18" s="1"/>
  <c r="B1832" i="18" s="1"/>
  <c r="B1833" i="18" s="1"/>
  <c r="B1834" i="18" s="1"/>
  <c r="B1835" i="18" s="1"/>
  <c r="B1836" i="18" s="1"/>
  <c r="B1837" i="18" s="1"/>
  <c r="B1838" i="18" s="1"/>
  <c r="B1839" i="18" s="1"/>
  <c r="B1840" i="18" s="1"/>
  <c r="B1841" i="18" s="1"/>
  <c r="B1842" i="18" s="1"/>
  <c r="B1843" i="18" s="1"/>
  <c r="B1844" i="18" s="1"/>
  <c r="B1845" i="18" s="1"/>
  <c r="B1846" i="18" s="1"/>
  <c r="B1847" i="18" s="1"/>
  <c r="B1848" i="18" s="1"/>
  <c r="B1849" i="18" s="1"/>
  <c r="B1850" i="18" s="1"/>
  <c r="B1851" i="18" s="1"/>
  <c r="B1852" i="18" s="1"/>
  <c r="B1853" i="18" s="1"/>
  <c r="B1854" i="18" s="1"/>
  <c r="B1855" i="18" s="1"/>
  <c r="B1856" i="18" s="1"/>
  <c r="B1857" i="18" s="1"/>
  <c r="B1858" i="18" s="1"/>
  <c r="B1859" i="18" s="1"/>
  <c r="B1860" i="18" s="1"/>
  <c r="B1861" i="18" s="1"/>
  <c r="B1862" i="18" s="1"/>
  <c r="B1863" i="18" s="1"/>
  <c r="B1864" i="18" s="1"/>
  <c r="B1865" i="18" s="1"/>
  <c r="B1866" i="18" s="1"/>
  <c r="B1867" i="18" s="1"/>
  <c r="B1868" i="18" s="1"/>
  <c r="B1869" i="18" s="1"/>
  <c r="B1870" i="18" s="1"/>
  <c r="B1871" i="18" s="1"/>
  <c r="B1872" i="18" s="1"/>
  <c r="B1873" i="18" s="1"/>
  <c r="B1874" i="18" s="1"/>
  <c r="B1875" i="18" s="1"/>
  <c r="B1876" i="18" s="1"/>
  <c r="B1877" i="18" s="1"/>
  <c r="B1878" i="18" s="1"/>
  <c r="B1879" i="18" s="1"/>
  <c r="B1880" i="18" s="1"/>
  <c r="B1881" i="18" s="1"/>
  <c r="B1882" i="18" s="1"/>
  <c r="B1883" i="18" s="1"/>
  <c r="B1884" i="18" s="1"/>
  <c r="B1885" i="18" s="1"/>
  <c r="B1886" i="18" s="1"/>
  <c r="B1887" i="18" s="1"/>
  <c r="B1888" i="18" s="1"/>
  <c r="B1889" i="18" s="1"/>
  <c r="B1890" i="18" s="1"/>
  <c r="B1891" i="18" s="1"/>
  <c r="B1892" i="18" s="1"/>
  <c r="B1893" i="18" s="1"/>
  <c r="B1894" i="18" s="1"/>
  <c r="B1895" i="18" s="1"/>
  <c r="B1896" i="18" s="1"/>
  <c r="B1897" i="18" s="1"/>
  <c r="B1898" i="18" s="1"/>
  <c r="B1899" i="18" s="1"/>
  <c r="B1900" i="18" s="1"/>
  <c r="B1901" i="18" s="1"/>
  <c r="B1902" i="18" s="1"/>
  <c r="B1903" i="18" s="1"/>
  <c r="B1904" i="18" s="1"/>
  <c r="B1905" i="18" s="1"/>
  <c r="B1906" i="18" s="1"/>
  <c r="B1907" i="18" s="1"/>
  <c r="B1908" i="18" s="1"/>
  <c r="B1909" i="18" s="1"/>
  <c r="B1910" i="18" s="1"/>
  <c r="B1911" i="18" s="1"/>
  <c r="B1912" i="18" s="1"/>
  <c r="B1913" i="18" s="1"/>
  <c r="B1914" i="18" s="1"/>
  <c r="B1915" i="18" s="1"/>
  <c r="B1916" i="18" s="1"/>
  <c r="B1917" i="18" s="1"/>
  <c r="B1918" i="18" s="1"/>
  <c r="B1919" i="18" s="1"/>
  <c r="B1920" i="18" s="1"/>
  <c r="B1921" i="18" s="1"/>
  <c r="B1922" i="18" s="1"/>
  <c r="B1923" i="18" s="1"/>
  <c r="B1924" i="18" s="1"/>
  <c r="B1925" i="18" s="1"/>
  <c r="B1926" i="18" s="1"/>
  <c r="B1927" i="18" s="1"/>
  <c r="B1928" i="18" s="1"/>
  <c r="B1929" i="18" s="1"/>
  <c r="B1930" i="18" s="1"/>
  <c r="B1931" i="18" s="1"/>
  <c r="B1932" i="18" s="1"/>
  <c r="B1933" i="18" s="1"/>
  <c r="B1934" i="18" s="1"/>
  <c r="B1935" i="18" s="1"/>
  <c r="B1936" i="18" s="1"/>
  <c r="B1937" i="18" s="1"/>
  <c r="B1938" i="18" s="1"/>
  <c r="B1939" i="18" s="1"/>
  <c r="B1940" i="18" s="1"/>
  <c r="B1941" i="18" s="1"/>
  <c r="B1942" i="18" s="1"/>
  <c r="B1943" i="18" s="1"/>
  <c r="B1944" i="18" s="1"/>
  <c r="B1945" i="18" s="1"/>
  <c r="B1946" i="18" s="1"/>
  <c r="B1947" i="18" s="1"/>
  <c r="B1948" i="18" s="1"/>
  <c r="B1949" i="18" s="1"/>
  <c r="B1950" i="18" s="1"/>
  <c r="O7" i="18" l="1" a="1"/>
  <c r="O7" i="18" s="1"/>
  <c r="O8" i="18" s="1"/>
  <c r="Q7" i="18" a="1"/>
  <c r="Q7" i="18" s="1"/>
  <c r="Q8" i="18" s="1"/>
  <c r="P7" i="18" a="1"/>
  <c r="P7" i="18" s="1"/>
  <c r="P8" i="18" s="1"/>
  <c r="R7" i="18" a="1"/>
  <c r="R7" i="18" s="1"/>
  <c r="R8" i="18" s="1"/>
  <c r="IY13" i="4" l="1"/>
  <c r="IY14" i="4"/>
  <c r="IY15" i="4"/>
  <c r="IY16" i="4"/>
  <c r="IY17" i="4"/>
  <c r="IY18" i="4"/>
  <c r="IY19" i="4"/>
  <c r="IY20" i="4"/>
  <c r="IY21" i="4"/>
  <c r="IY22" i="4"/>
  <c r="IY23" i="4"/>
  <c r="IY12" i="4"/>
  <c r="IY10" i="4"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<sst xmlns="http://schemas.openxmlformats.org/spreadsheetml/2006/main" count="2065" uniqueCount="313">
  <si>
    <t>Phase Analyzer</t>
  </si>
  <si>
    <t>Started Delayed (&lt;=30 days)</t>
  </si>
  <si>
    <t>Completed Delayed (Between 31 to 60 days)</t>
  </si>
  <si>
    <t>Time Line</t>
  </si>
  <si>
    <t>Started Delayed (&gt;60 days)</t>
  </si>
  <si>
    <t>Started Delayed (Between 31 to 60 days)</t>
  </si>
  <si>
    <t>Completed Delayed (&gt;60 days)</t>
  </si>
  <si>
    <t>Primary Formula Analysis</t>
  </si>
  <si>
    <t>Phase Analysis</t>
  </si>
  <si>
    <t>N/A</t>
  </si>
  <si>
    <t>Completed Delayed (&lt;=30 days)</t>
  </si>
  <si>
    <t>Status Date (6-mo interval)</t>
  </si>
  <si>
    <t>CEI - Finishes</t>
  </si>
  <si>
    <t>CEI - Starts</t>
  </si>
  <si>
    <t>HMI - Finishes</t>
  </si>
  <si>
    <t>HMI - Starts</t>
  </si>
  <si>
    <t>BEI - Finishes</t>
  </si>
  <si>
    <t>BEI - Starts</t>
  </si>
  <si>
    <t>Y-axis (max)</t>
  </si>
  <si>
    <t>GRAPH 1</t>
  </si>
  <si>
    <t>GRAPH 2</t>
  </si>
  <si>
    <t>Status Date</t>
  </si>
  <si>
    <t>Baselined to Start</t>
  </si>
  <si>
    <t>Scheduled to Start</t>
  </si>
  <si>
    <t>Actual Starts</t>
  </si>
  <si>
    <t>Baselined to Finish</t>
  </si>
  <si>
    <t>Scheduled to Finish</t>
  </si>
  <si>
    <t>Actual Finishes</t>
  </si>
  <si>
    <t>Probability</t>
  </si>
  <si>
    <t>Cum Prob</t>
  </si>
  <si>
    <t>Duration Ratio</t>
  </si>
  <si>
    <t>DRM</t>
  </si>
  <si>
    <t>Baseline Duration</t>
  </si>
  <si>
    <t>Actual Duration</t>
  </si>
  <si>
    <t>Id</t>
  </si>
  <si>
    <t>Description</t>
  </si>
  <si>
    <t>Normal</t>
  </si>
  <si>
    <t>Max DRM</t>
  </si>
  <si>
    <t>Task Count</t>
  </si>
  <si>
    <t>Scheduled to Start - Cumulative</t>
  </si>
  <si>
    <t>Baselined to Start - Cumulative</t>
  </si>
  <si>
    <t>Actual Starts - Cumulative</t>
  </si>
  <si>
    <t>Baselined to Finish  - Cumulative</t>
  </si>
  <si>
    <t>Scheduled to Finish  - Cumulative</t>
  </si>
  <si>
    <t>Actual Finishes  - Cumulative</t>
  </si>
  <si>
    <t>Cumulative 
Calculations</t>
  </si>
  <si>
    <t>CEI Finishes - 3-mo Rolling Average</t>
  </si>
  <si>
    <t>HMI Finishes - 3-mo Rolling Average</t>
  </si>
  <si>
    <t>HMI Starts - 3-mo Rolling Average</t>
  </si>
  <si>
    <t>CEI Starts - 3-mo Rolling Average</t>
  </si>
  <si>
    <t>In DRM Metric Library, Sort Activity Browser of "Total Activities - DRM Graph" metric by DRM from smallest to largest, then copy and paste into green columns below.</t>
  </si>
  <si>
    <t>Match</t>
  </si>
  <si>
    <t xml:space="preserve">Target </t>
  </si>
  <si>
    <t>Row Max</t>
  </si>
  <si>
    <t>Update formulas for Match and DRM to represent appropriate table/column ranges using Row Max.</t>
  </si>
  <si>
    <t>DIRECTIONS --&gt;</t>
  </si>
  <si>
    <t>Current Baseline to Finish &amp; Not Finished (Incompletes)</t>
  </si>
  <si>
    <t>Future Baseline to Finish &amp; Delayed (Workoff Burden)</t>
  </si>
  <si>
    <t>Past Baseline to Finish &amp; Finished (Workoff Burden)</t>
  </si>
  <si>
    <t>Future Baseline to Finish &amp; Finished (Early Finishes)</t>
  </si>
  <si>
    <t>Current Baseline to Finish &amp; Finished (BL Plan)</t>
  </si>
  <si>
    <t>Current Baseline to Start &amp; Not Started (Incompletes)</t>
  </si>
  <si>
    <t>Future Baseline to Start &amp; Delayed (Workoff Burden)</t>
  </si>
  <si>
    <t>Past Baseline to Start &amp; Not Started (Workoff Burden)</t>
  </si>
  <si>
    <t>Past Baseline to Start &amp; Started (Workoff Burden)</t>
  </si>
  <si>
    <t>Future Baseline to Start &amp; Started (Early Starts)</t>
  </si>
  <si>
    <t>Current Baseline to Start &amp; Started (BL Plan)</t>
  </si>
  <si>
    <t>Middle 70% - Lower End</t>
  </si>
  <si>
    <t>Middle 70% - Upper End</t>
  </si>
  <si>
    <t>Middle 50% - Lower End</t>
  </si>
  <si>
    <t>Middle 50% - Upper End</t>
  </si>
  <si>
    <t>Average DRM</t>
  </si>
  <si>
    <t>Min DRM</t>
  </si>
  <si>
    <t>Past Baseline to Finish &amp; Not Finished (Workoff Burden)</t>
  </si>
  <si>
    <t>Score</t>
  </si>
  <si>
    <r>
      <t xml:space="preserve">Comparing </t>
    </r>
    <r>
      <rPr>
        <b/>
        <sz val="11"/>
        <color theme="1"/>
        <rFont val="Calibri"/>
        <family val="2"/>
        <scheme val="minor"/>
      </rPr>
      <t>Total # of Normal Tasks</t>
    </r>
    <r>
      <rPr>
        <sz val="11"/>
        <color theme="1"/>
        <rFont val="Calibri"/>
        <family val="2"/>
        <scheme val="minor"/>
      </rPr>
      <t xml:space="preserve"> to </t>
    </r>
    <r>
      <rPr>
        <b/>
        <sz val="11"/>
        <color theme="1"/>
        <rFont val="Calibri"/>
        <family val="2"/>
        <scheme val="minor"/>
      </rPr>
      <t>To-Go Normal Tasks</t>
    </r>
  </si>
  <si>
    <t>On the Phases Ribbon, Select Charts (Line from the dropdown).  
From the Phase Analyzer, Select Normal Tasks and Normal Tasks (To-Go).</t>
  </si>
  <si>
    <r>
      <t xml:space="preserve">To recreate this chart in Excel, choose the </t>
    </r>
    <r>
      <rPr>
        <b/>
        <sz val="11"/>
        <color theme="1"/>
        <rFont val="Calibri"/>
        <family val="2"/>
        <scheme val="minor"/>
      </rPr>
      <t xml:space="preserve">Publish --&gt; To Microsoft Excel </t>
    </r>
    <r>
      <rPr>
        <sz val="11"/>
        <color theme="1"/>
        <rFont val="Calibri"/>
        <family val="2"/>
        <scheme val="minor"/>
      </rPr>
      <t>option</t>
    </r>
  </si>
  <si>
    <t>In the MS Excel file, select the Phase Analysis tab.</t>
  </si>
  <si>
    <t>Total Activities</t>
  </si>
  <si>
    <t>Milestones</t>
  </si>
  <si>
    <t>Normal Tasks</t>
  </si>
  <si>
    <t>Summaries</t>
  </si>
  <si>
    <t>Hammocks</t>
  </si>
  <si>
    <t>Total Tasks &amp; Milestones</t>
  </si>
  <si>
    <t>Completed Tasks &amp; Milestones</t>
  </si>
  <si>
    <t>Milestones (To-Go)</t>
  </si>
  <si>
    <t>Normal Tasks (To-Go)</t>
  </si>
  <si>
    <t>Summaries (To-Go)</t>
  </si>
  <si>
    <t>Hammocks (To-Go)</t>
  </si>
  <si>
    <t>Recurring Tasks (To-Go)</t>
  </si>
  <si>
    <t>Work-to-Go</t>
  </si>
  <si>
    <t>This graph illustrates all the normal tasks in the schedule (grey) vs. the work-to-go normal tasks (blue).  It also shows how many work-to-go normal tasks are critical (orange).</t>
  </si>
  <si>
    <t>Displaying the critical activities on this work-to-go chart helps to visualize "how much" of the the work-to-go is critical.</t>
  </si>
  <si>
    <t>Milestone data can be selected instead of (or in addition to) normal activities.</t>
  </si>
  <si>
    <t xml:space="preserve">This is the same graph as the one above, but displays all normal tasks as "area", whereas the work-to-go normal tasks are shown as bars (blue) against the full set of normal task area (grey).  </t>
  </si>
  <si>
    <t>The critical tasks are still shown as a line (orange).</t>
  </si>
  <si>
    <t>The benefit of this chart is that it helps the reader to visualize more directly the longest path activities (orange line) as a proportion of the work-to-go activities (blue bars).</t>
  </si>
  <si>
    <t>Completed Work vs. Work-to-Go</t>
  </si>
  <si>
    <t>This chart illustrates, for normal tasks and milestones, the completed activities vs. work-to-go activities over the total work planned (grey area) . It also shows the portion of work-to-go that is critical (orange line).</t>
  </si>
  <si>
    <t xml:space="preserve">This chart illustrates, for normal tasks and milestones, the completed activities vs. work-to-go activities over the total work planned (grey area) . It also shows the portion of work-to-go that is critical (orange line).  It is the same as the previous chart, exept that the normal tasks and milestones are represented by clustered bars, instead of stacked bars.  </t>
  </si>
  <si>
    <t>Project 12</t>
  </si>
  <si>
    <t>Project 11</t>
  </si>
  <si>
    <t>Project 10</t>
  </si>
  <si>
    <t>Project 9</t>
  </si>
  <si>
    <t>Project 8</t>
  </si>
  <si>
    <t>Project 7</t>
  </si>
  <si>
    <t>Project 6</t>
  </si>
  <si>
    <t>Project 5</t>
  </si>
  <si>
    <t>Project 4</t>
  </si>
  <si>
    <t>Project 3</t>
  </si>
  <si>
    <t>Project 2</t>
  </si>
  <si>
    <t>Project 1</t>
  </si>
  <si>
    <t>CEI</t>
  </si>
  <si>
    <t>HMI</t>
  </si>
  <si>
    <t>Normal To-Go</t>
  </si>
  <si>
    <t>Longest</t>
  </si>
  <si>
    <t>Recurring Normal Tasks</t>
  </si>
  <si>
    <t>Completed Milestones</t>
  </si>
  <si>
    <t>Completed Tasks</t>
  </si>
  <si>
    <t>Total Activities (To-Go) - % of Total</t>
  </si>
  <si>
    <t>Tasks &amp; Milestones (To-Go) - % of Total To-Go</t>
  </si>
  <si>
    <t>Longest Path (Tasks &amp; Milestones)</t>
  </si>
  <si>
    <t>Longest Path (Normal Tasks)</t>
  </si>
  <si>
    <t>Longest Path (Milestones)</t>
  </si>
  <si>
    <t>Total New Tasks &amp; Milestones in Status Period</t>
  </si>
  <si>
    <t>Total New Completed Tasks &amp; Milestones in Status Period</t>
  </si>
  <si>
    <t>Ribbon Analysis</t>
  </si>
  <si>
    <t>Ribbons</t>
  </si>
  <si>
    <t>To-Go Starts vs. Baseline Starts</t>
  </si>
  <si>
    <t>To-Go Finishes vs. Baseline Finishes</t>
  </si>
  <si>
    <t xml:space="preserve">Manual Entry - Data from Acumen Fuse </t>
  </si>
  <si>
    <t>Critical Milestones (To-Go)</t>
  </si>
  <si>
    <t>Critical Normal Tasks (To-Go)</t>
  </si>
  <si>
    <t>GRAPH 3</t>
  </si>
  <si>
    <t>Riding Data Date</t>
  </si>
  <si>
    <t>The tabs that follow are setup to graph Acumen Fuse data for single projects.</t>
  </si>
  <si>
    <t>The tabs that follow are setup to graph Acumen Fuse data for multiple projects as a "portfolio" view.</t>
  </si>
  <si>
    <t>BEI - Value Tasks</t>
  </si>
  <si>
    <t>Critical Path To-Go</t>
  </si>
  <si>
    <t>% Critical Path To-Go Activities</t>
  </si>
  <si>
    <t>Calculated</t>
  </si>
  <si>
    <t>GRAPH 2 and GRAPH 3 metrics can be copied and pasted into the table directly from the Acumen Fuse MS  Excel output to generate the charts to the right.</t>
  </si>
  <si>
    <t>***</t>
  </si>
  <si>
    <t xml:space="preserve">Note: Place the max y-axis value in the columns for the status date, as well as 6 months before and after to show the 6-month intervals on the chart. </t>
  </si>
  <si>
    <t xml:space="preserve">Add/delete columns as necessary to fit the data exported from Acumen Fuse. </t>
  </si>
  <si>
    <t>Yellow rows are calculated in the MS Excel sheet from the Acumen Fuse data in the rows above.</t>
  </si>
  <si>
    <t>*</t>
  </si>
  <si>
    <t>*Cumulative 
Calculations</t>
  </si>
  <si>
    <t>Being recovered later in the timeline, or</t>
  </si>
  <si>
    <t>Turning into permanent, unrecoverable gaps between planned and actual progress.</t>
  </si>
  <si>
    <t>Still aligned with the original baseline expectations, or</t>
  </si>
  <si>
    <t>Drifting over time (i.e., continually rephasing and pushing work into the future instead of executing it).</t>
  </si>
  <si>
    <t>Catching up in subsequent months, or</t>
  </si>
  <si>
    <t>Creating a growing backlog (a "bow wave" of deferred work). This gives leadership deep insight into actual execution capacity and team throughput, not just punctuality.</t>
  </si>
  <si>
    <t>Chart 1</t>
  </si>
  <si>
    <t>Chart 2</t>
  </si>
  <si>
    <t>Chart 3</t>
  </si>
  <si>
    <t>Chart 4</t>
  </si>
  <si>
    <t>The Nuance Between the Charts</t>
  </si>
  <si>
    <t>Chart 1 vs. Chart 2: Work-to-Go (Normal Tasks)</t>
  </si>
  <si>
    <t>Chart 3 vs. Chart 4: Completed vs. Work-to-Go Tasks</t>
  </si>
  <si>
    <t>Work-To-Go</t>
  </si>
  <si>
    <r>
      <t>Purpose of the Activity Starts Chart</t>
    </r>
    <r>
      <rPr>
        <sz val="10"/>
        <color rgb="FF424242"/>
        <rFont val="Arial"/>
        <family val="2"/>
      </rPr>
      <t xml:space="preserve"> The primary purpose of this chart is to diagnose schedule execution health over time, rather than simply reporting dates. It provides a multi-dimensional view of schedule performance through four key lenses:</t>
    </r>
  </si>
  <si>
    <r>
      <t>Purpose of the Cumulative Activity Starts Chart</t>
    </r>
    <r>
      <rPr>
        <sz val="10"/>
        <color rgb="FF424242"/>
        <rFont val="Arial"/>
        <family val="2"/>
      </rPr>
      <t xml:space="preserve"> The primary purpose of this chart is to connect near-term execution performance with long-term delivery outcomes by combining monthly start behavior with cumulative progress tracking. It provides insight into overall execution flow and schedule credibility through four key lenses:</t>
    </r>
  </si>
  <si>
    <r>
      <t>1. Plan vs. Reality Alignment</t>
    </r>
    <r>
      <rPr>
        <sz val="10"/>
        <color rgb="FF424242"/>
        <rFont val="Arial"/>
        <family val="2"/>
      </rPr>
      <t xml:space="preserve"> By comparing the baseline plan (dark grey bars), the current schedule (orange bars), and actual execution (green bars), the chart answers a fundamental question: </t>
    </r>
    <r>
      <rPr>
        <i/>
        <sz val="10"/>
        <color rgb="FF424242"/>
        <rFont val="Arial"/>
        <family val="2"/>
      </rPr>
      <t>Are we doing what we said we would do, when we said we would do it?</t>
    </r>
  </si>
  <si>
    <r>
      <t>1. Link Execution to Overall Progress</t>
    </r>
    <r>
      <rPr>
        <sz val="10"/>
        <color rgb="FF424242"/>
        <rFont val="Arial"/>
        <family val="2"/>
      </rPr>
      <t xml:space="preserve"> The cumulative lines (baseline, scheduled, actual) show how work is building over time, rather than just what is happening month to month. This big-picture view helps answer a critical question: </t>
    </r>
    <r>
      <rPr>
        <i/>
        <sz val="10"/>
        <color rgb="FF424242"/>
        <rFont val="Arial"/>
        <family val="2"/>
      </rPr>
      <t>Are we actually delivering the total scope at the pace we originally planned?</t>
    </r>
  </si>
  <si>
    <r>
      <t>2. Timeliness of Execution</t>
    </r>
    <r>
      <rPr>
        <sz val="10"/>
        <color rgb="FF424242"/>
        <rFont val="Arial"/>
        <family val="2"/>
      </rPr>
      <t xml:space="preserve"> The background area charts break out delayed starts by severity (&lt;=30 days, 31-60 days, and &gt;60 days). This highlights whether work is starting on time or slipping—and how serious those slips are. It measures schedule discipline rather than just the total volume of work.</t>
    </r>
  </si>
  <si>
    <r>
      <t>2. Reveal Whether Delays Are Being Recovered or Absorbed</t>
    </r>
    <r>
      <rPr>
        <sz val="10"/>
        <color rgb="FF424242"/>
        <rFont val="Arial"/>
        <family val="2"/>
      </rPr>
      <t xml:space="preserve"> By pairing the delay distribution areas (late starts) with the cumulative curves, the chart shows the true impact of schedule slips. It makes it easy to see whether short-term delays are:</t>
    </r>
  </si>
  <si>
    <r>
      <t>3. Leading Indicators of Schedule Performance</t>
    </r>
    <r>
      <rPr>
        <sz val="10"/>
        <color rgb="FF424242"/>
        <rFont val="Arial"/>
        <family val="2"/>
      </rPr>
      <t xml:space="preserve"> The line graphs tracking indices like BEI (Baseline Execution Index), CEI (Current Execution Index), and HMI (Hit or Miss Index) serve as early warning metrics. Instead of waiting for downstream delays to become apparent, these trends show whether near-term commitments and start performance are moving in a healthy direction.</t>
    </r>
  </si>
  <si>
    <r>
      <t>4. Trend Visibility Across Status Periods</t>
    </r>
    <r>
      <rPr>
        <sz val="10"/>
        <color rgb="FF424242"/>
        <rFont val="Arial"/>
        <family val="2"/>
      </rPr>
      <t xml:space="preserve"> Plotted over a two-year timeline with regular status markers (vertical dashed lines), the chart allows stakeholders to see whether performance is improving, degrading, or staying flat, which is critical for timely management action.</t>
    </r>
  </si>
  <si>
    <r>
      <t>3. Assess Schedule Credibility Over the Full Timeline</t>
    </r>
    <r>
      <rPr>
        <sz val="10"/>
        <color rgb="FF424242"/>
        <rFont val="Arial"/>
        <family val="2"/>
      </rPr>
      <t xml:space="preserve"> Comparing the cumulative baseline (light orange line) against the current schedule (yellow line) and actuals (dark blue line) helps determine the realism of the current plan. It highlights whether the schedule is:</t>
    </r>
  </si>
  <si>
    <r>
      <t>Why It’s Useful</t>
    </r>
    <r>
      <rPr>
        <sz val="10"/>
        <color rgb="FF424242"/>
        <rFont val="Arial"/>
        <family val="2"/>
      </rPr>
      <t xml:space="preserve"> This visualization is a vital tool for project controls, schedulers, and leadership to:</t>
    </r>
  </si>
  <si>
    <r>
      <t>Spot systemic execution issues early</t>
    </r>
    <r>
      <rPr>
        <sz val="10"/>
        <color rgb="FF424242"/>
        <rFont val="Arial"/>
        <family val="2"/>
      </rPr>
      <t> (e.g., a growing wave of chronic late starts).</t>
    </r>
  </si>
  <si>
    <r>
      <t>Assess schedule realism vs. optimism</t>
    </r>
    <r>
      <rPr>
        <sz val="10"/>
        <color rgb="FF424242"/>
        <rFont val="Arial"/>
        <family val="2"/>
      </rPr>
      <t> by comparing scheduled work against historical actuals.</t>
    </r>
  </si>
  <si>
    <r>
      <t>Evaluate short-term commitment reliability</t>
    </r>
    <r>
      <rPr>
        <sz val="10"/>
        <color rgb="FF424242"/>
        <rFont val="Arial"/>
        <family val="2"/>
      </rPr>
      <t> using the execution indices.</t>
    </r>
  </si>
  <si>
    <r>
      <t>4. Evaluate Throughput vs. Backlog Buildup</t>
    </r>
    <r>
      <rPr>
        <sz val="10"/>
        <color rgb="FF424242"/>
        <rFont val="Arial"/>
        <family val="2"/>
      </rPr>
      <t xml:space="preserve"> The chart contrasts the monthly bars (planned vs. actual starts) with the cumulative lines to reveal how unmet work is handled. It shows whether missed activities are:</t>
    </r>
  </si>
  <si>
    <r>
      <t>Support data-driven decisions</t>
    </r>
    <r>
      <rPr>
        <sz val="10"/>
        <color rgb="FF424242"/>
        <rFont val="Arial"/>
        <family val="2"/>
      </rPr>
      <t> regarding corrective actions, replanning, or risk mitigation.</t>
    </r>
  </si>
  <si>
    <r>
      <t>Purpose of the Workload and Schedule Hygiene Charts</t>
    </r>
    <r>
      <rPr>
        <sz val="10"/>
        <color rgb="FF424242"/>
        <rFont val="Arial"/>
        <family val="2"/>
      </rPr>
      <t xml:space="preserve"> The primary purpose of this suite of charts is to visualize execution capacity, identify unrealistic future planning (the "bow wave" effect), and diagnose schedule maintenance issues. By mapping historical throughput against future scheduled work and the critical path, these charts tell a story about schedule realism and team capacity.</t>
    </r>
  </si>
  <si>
    <r>
      <t>1. Historical Throughput vs. Future Demand</t>
    </r>
    <r>
      <rPr>
        <sz val="10"/>
        <color rgb="FF424242"/>
        <rFont val="Arial"/>
        <family val="2"/>
      </rPr>
      <t xml:space="preserve"> By showing the historical volume of tasks (gray) or completed tasks (green) alongside the "To-Go" future work (blue), the charts answer a critical feasibility question: </t>
    </r>
    <r>
      <rPr>
        <i/>
        <sz val="10"/>
        <color rgb="FF424242"/>
        <rFont val="Arial"/>
        <family val="2"/>
      </rPr>
      <t>Is the volume of work we are planning to do next month realistically aligned with the volume of work we have proven we can complete in past months?</t>
    </r>
  </si>
  <si>
    <r>
      <t>2. The "Bow Wave" Indicator</t>
    </r>
    <r>
      <rPr>
        <sz val="10"/>
        <color rgb="FF424242"/>
        <rFont val="Arial"/>
        <family val="2"/>
      </rPr>
      <t xml:space="preserve"> In all of these charts, there is a massive spike of blue "To-Go" work immediately following the current status date (mid-2025). This indicates a "bow wave"—where uncompleted work from the past hasn't been properly spread out, but instead simply pushed into the immediate next month. This is a classic leading indicator of an unrealistic, overly optimistic schedule.</t>
    </r>
  </si>
  <si>
    <r>
      <t>3. Longest Path (Critical Path) Density</t>
    </r>
    <r>
      <rPr>
        <sz val="10"/>
        <color rgb="FF424242"/>
        <rFont val="Arial"/>
        <family val="2"/>
      </rPr>
      <t xml:space="preserve"> The orange line isolates the "Longest Path" tasks relative to the total volume of work. This helps management see whether the upcoming bottleneck is due to a massive volume of parallel work (resource constraint) or a dense sequence of critical path tasks (schedule logic constraint).</t>
    </r>
  </si>
  <si>
    <r>
      <t>Focus:</t>
    </r>
    <r>
      <rPr>
        <sz val="10"/>
        <color rgb="FF424242"/>
        <rFont val="Arial"/>
        <family val="2"/>
      </rPr>
      <t> These charts strip away historical completions to focus purely on the shape of the total task baseline (gray) versus what remains (blue) and what is critical (orange).</t>
    </r>
  </si>
  <si>
    <r>
      <t>The Nuance:</t>
    </r>
    <r>
      <rPr>
        <sz val="10"/>
        <color rgb="FF424242"/>
        <rFont val="Arial"/>
        <family val="2"/>
      </rPr>
      <t> Chart 1 uses a solid blue line for "To-Go" work, which emphasizes the continuous trend and shape of the bow wave. Chart 2 uses blue bars, which is often preferred for discrete monthly data because it makes it much easier to see the exact concentration of individual tasks scheduled for a specific month.</t>
    </r>
  </si>
  <si>
    <r>
      <t>Focus:</t>
    </r>
    <r>
      <rPr>
        <sz val="10"/>
        <color rgb="FF424242"/>
        <rFont val="Arial"/>
        <family val="2"/>
      </rPr>
      <t> These charts add historical context, layering Completed Tasks (green) against the Total Tasks (gray area) to demonstrate the project's actual historical "burn rate" or throughput capability.</t>
    </r>
  </si>
  <si>
    <r>
      <t>The Nuance (Schedule Hygiene):</t>
    </r>
    <r>
      <rPr>
        <sz val="10"/>
        <color rgb="FF424242"/>
        <rFont val="Arial"/>
        <family val="2"/>
      </rPr>
      <t> The critical difference between these two charts lies in how past data is handled leading up to the status date.</t>
    </r>
  </si>
  <si>
    <r>
      <t>In Chart 3:</t>
    </r>
    <r>
      <rPr>
        <sz val="10"/>
        <color rgb="FF424242"/>
        <rFont val="Arial"/>
        <family val="2"/>
      </rPr>
      <t> The green bars perfectly match the gray background up to the current date. This means schedule hygiene is "clean"—all work scheduled in the past was either completed, or formally moved into the future (creating the huge blue spike).</t>
    </r>
  </si>
  <si>
    <r>
      <t>In Chart 4:</t>
    </r>
    <r>
      <rPr>
        <sz val="10"/>
        <color rgb="FF424242"/>
        <rFont val="Arial"/>
        <family val="2"/>
      </rPr>
      <t> Look closely at the months just prior to the status date (late 2024/early 2025). The green bars (completed) fall significantly short of the gray area (total scheduled), and there are tiny slivers of blue "To-Go" tasks sitting in the past. This reveals poor schedule hygiene: there is past-due work that hasn't been statused, completed, or formally re-planned into the future. It indicates the schedule is technically out of date or "broken" prior to the current status date.</t>
    </r>
  </si>
  <si>
    <r>
      <t>Why It’s Useful</t>
    </r>
    <r>
      <rPr>
        <sz val="10"/>
        <color rgb="FF424242"/>
        <rFont val="Arial"/>
        <family val="2"/>
      </rPr>
      <t xml:space="preserve"> This visualization suite is used by project managers and reviewers to:</t>
    </r>
  </si>
  <si>
    <r>
      <t>Challenge schedule realism:</t>
    </r>
    <r>
      <rPr>
        <sz val="10"/>
        <color rgb="FF424242"/>
        <rFont val="Arial"/>
        <family val="2"/>
      </rPr>
      <t> Spot immediate resource bottlenecks caused by deferring too much work to the near term.</t>
    </r>
  </si>
  <si>
    <r>
      <t>Audit schedule maintenance:</t>
    </r>
    <r>
      <rPr>
        <sz val="10"/>
        <color rgb="FF424242"/>
        <rFont val="Arial"/>
        <family val="2"/>
      </rPr>
      <t> Identify past-due activities left lingering in the past (as seen in Chart 4).</t>
    </r>
  </si>
  <si>
    <r>
      <t>Assess risk:</t>
    </r>
    <r>
      <rPr>
        <sz val="10"/>
        <color rgb="FF424242"/>
        <rFont val="Arial"/>
        <family val="2"/>
      </rPr>
      <t> See if the team is being asked to perform at a throughput rate they have never historically achieved.</t>
    </r>
  </si>
  <si>
    <r>
      <t>Purpose of the Baseline Activities &amp; Workoff Burden Chart</t>
    </r>
    <r>
      <rPr>
        <sz val="10"/>
        <color rgb="FF424242"/>
        <rFont val="Arial"/>
        <family val="2"/>
      </rPr>
      <t xml:space="preserve"> The primary purpose of this chart is to visualize "schedule debt." It goes beyond simply showing how much work is starting, and instead breaks down the data to reveal whether the project is executing according to its current plan, or struggling under the weight of a deferred backlog (the "workoff burden").</t>
    </r>
  </si>
  <si>
    <r>
      <t>1. Differentiating On-Time Execution vs. Catch-Up Work</t>
    </r>
    <r>
      <rPr>
        <sz val="10"/>
        <color rgb="FF424242"/>
        <rFont val="Arial"/>
        <family val="2"/>
      </rPr>
      <t xml:space="preserve"> The bars above the zero line represent work that is starting (or scheduled to start). By splitting these starts into "Current Baseline" (blue bars) and "Past Baseline" (orange bars), the chart reveals the team's true focus. In this specific chart, the orange bars heavily dominate the blue bars, which tells a clear story: the team is spending the vast majority of its capacity catching up on late work, rather than executing the current month's plan.</t>
    </r>
  </si>
  <si>
    <r>
      <t>2. Visualizing Missed Commitments (The Negative Bars)</t>
    </r>
    <r>
      <rPr>
        <sz val="10"/>
        <color rgb="FF424242"/>
        <rFont val="Arial"/>
        <family val="2"/>
      </rPr>
      <t xml:space="preserve"> The dashed bars extending below the zero line represent "Incompletes"—activities that were baselined to start in that specific month but failed to do so. This allows management to easily pinpoint exact timeframes where schedule execution broke down (for example, the massive volume of missed starts in October through December 2024).</t>
    </r>
  </si>
  <si>
    <r>
      <t>3. Quantifying the Future "Bow Wave" of Deferred Work</t>
    </r>
    <r>
      <rPr>
        <sz val="10"/>
        <color rgb="FF424242"/>
        <rFont val="Arial"/>
        <family val="2"/>
      </rPr>
      <t xml:space="preserve"> Looking forward from the status date (around Feb/Mar 2025), the towering yellow bars represent past baseline work that </t>
    </r>
    <r>
      <rPr>
        <i/>
        <sz val="10"/>
        <color rgb="FF424242"/>
        <rFont val="Arial"/>
        <family val="2"/>
      </rPr>
      <t>still</t>
    </r>
    <r>
      <rPr>
        <sz val="10"/>
        <color rgb="FF424242"/>
        <rFont val="Arial"/>
        <family val="2"/>
      </rPr>
      <t xml:space="preserve"> hasn't started and has been pushed into the near future. This visually demonstrates how unmet past commitments stack up to create a highly unrealistic, near-term bottleneck of unexecuted work.</t>
    </r>
  </si>
  <si>
    <r>
      <t>4. Tracking Early Starts (or Finishes) and Schedule Agility</t>
    </r>
    <r>
      <rPr>
        <sz val="10"/>
        <color rgb="FF424242"/>
        <rFont val="Arial"/>
        <family val="2"/>
      </rPr>
      <t xml:space="preserve"> Though minimal in this specific dataset, the legend includes "Future Baseline to Start &amp; Started" (green). This would indicate working ahead of schedule—a key metric for assessing if a team has the agility to pull work forward when other areas are blocked.</t>
    </r>
  </si>
  <si>
    <r>
      <t>Why It’s Useful</t>
    </r>
    <r>
      <rPr>
        <sz val="10"/>
        <color rgb="FF424242"/>
        <rFont val="Arial"/>
        <family val="2"/>
      </rPr>
      <t xml:space="preserve"> This visualization is highly effective for project managers, analysts, and leadership to:</t>
    </r>
  </si>
  <si>
    <r>
      <t>Diagnose "schedule churning"</t>
    </r>
    <r>
      <rPr>
        <sz val="10"/>
        <color rgb="FF424242"/>
        <rFont val="Arial"/>
        <family val="2"/>
      </rPr>
      <t>: Prove when a team is working hard but only making progress on past-due work.</t>
    </r>
  </si>
  <si>
    <r>
      <t>Highlight severe baseline drift</t>
    </r>
    <r>
      <rPr>
        <sz val="10"/>
        <color rgb="FF424242"/>
        <rFont val="Arial"/>
        <family val="2"/>
      </rPr>
      <t>: Visually demonstrate how far the actual execution has decoupled from the original baseline plan.</t>
    </r>
  </si>
  <si>
    <r>
      <t>Challenge future schedule realism</t>
    </r>
    <r>
      <rPr>
        <sz val="10"/>
        <color rgb="FF424242"/>
        <rFont val="Arial"/>
        <family val="2"/>
      </rPr>
      <t>: Point to the massive yellow "bow wave" to force a realistic replanning or re-baselining conversation.</t>
    </r>
  </si>
  <si>
    <r>
      <t>Purpose of the Duration Ratio Probability Chart</t>
    </r>
    <r>
      <rPr>
        <sz val="10"/>
        <color rgb="FF424242"/>
        <rFont val="Arial"/>
        <family val="2"/>
      </rPr>
      <t xml:space="preserve"> The primary purpose of this chart is to evaluate estimating accuracy and diagnose the integrity of schedule status data. By plotting the ratio of Actual Duration to Baseline Duration against its cumulative probability, the chart reveals how realistic the original estimates were and whether project actuals are being recorded honestly.</t>
    </r>
  </si>
  <si>
    <r>
      <t>1. Assessing Estimating Accuracy vs. Reality</t>
    </r>
    <r>
      <rPr>
        <sz val="10"/>
        <color rgb="FF424242"/>
        <rFont val="Arial"/>
        <family val="2"/>
      </rPr>
      <t xml:space="preserve"> The X-axis acts as a benchmark for task performance:</t>
    </r>
  </si>
  <si>
    <r>
      <t>Ratio &lt; 1.0:</t>
    </r>
    <r>
      <rPr>
        <sz val="10"/>
        <color rgb="FF424242"/>
        <rFont val="Arial"/>
        <family val="2"/>
      </rPr>
      <t> Tasks finished faster than planned (about 20% of the data here).</t>
    </r>
  </si>
  <si>
    <r>
      <t>Ratio &gt; 1.0:</t>
    </r>
    <r>
      <rPr>
        <sz val="10"/>
        <color rgb="FF424242"/>
        <rFont val="Arial"/>
        <family val="2"/>
      </rPr>
      <t> Tasks took longer than planned (the long tail to the right).</t>
    </r>
  </si>
  <si>
    <r>
      <t>Ratio = 1.0:</t>
    </r>
    <r>
      <rPr>
        <sz val="10"/>
        <color rgb="FF424242"/>
        <rFont val="Arial"/>
        <family val="2"/>
      </rPr>
      <t> Tasks finished exactly on schedule. This distribution helps answer: </t>
    </r>
    <r>
      <rPr>
        <i/>
        <sz val="10"/>
        <color rgb="FF424242"/>
        <rFont val="Arial"/>
        <family val="2"/>
      </rPr>
      <t>Does our estimating process have an optimistic or pessimistic bias?</t>
    </r>
  </si>
  <si>
    <r>
      <t>2. Diagnosing Data Integrity Issues (The Vertical Spike)</t>
    </r>
    <r>
      <rPr>
        <sz val="10"/>
        <color rgb="FF424242"/>
        <rFont val="Arial"/>
        <family val="2"/>
      </rPr>
      <t xml:space="preserve"> The most critical feature of this chart is the massive vertical spike right at the 1.0 ratio. Statistically, it is nearly impossible for project execution to be this precise. This vertical jump indicates that roughly 50% of the 1,945 tasks had actual durations that </t>
    </r>
    <r>
      <rPr>
        <i/>
        <sz val="10"/>
        <color rgb="FF424242"/>
        <rFont val="Arial"/>
        <family val="2"/>
      </rPr>
      <t>exactly</t>
    </r>
    <r>
      <rPr>
        <sz val="10"/>
        <color rgb="FF424242"/>
        <rFont val="Arial"/>
        <family val="2"/>
      </rPr>
      <t xml:space="preserve"> matched their baselined durations. This strongly suggests poor data hygiene—specifically, that the project team is simply "auto-completing" tasks or "backing into" actuals to match the plan, rather than recording true execution times.</t>
    </r>
  </si>
  <si>
    <r>
      <t>3. Visualizing Core Data Concentration (The Boxes)</t>
    </r>
    <r>
      <rPr>
        <sz val="10"/>
        <color rgb="FF424242"/>
        <rFont val="Arial"/>
        <family val="2"/>
      </rPr>
      <t xml:space="preserve"> The red box explicitly frames the middle 50% of the dataset (the interquartile range), while a green box would frame the middle 70%. Because the red box is almost entirely vertical and compressed at the 1.0 mark, it visually reinforces that the vast majority of "typical" tasks are subject to this exact-duration reporting phenomenon, making it a systemic issue rather than an isolated anomaly.</t>
    </r>
  </si>
  <si>
    <r>
      <t>4. Understanding "Tail Risk" in Execution</t>
    </r>
    <r>
      <rPr>
        <sz val="10"/>
        <color rgb="FF424242"/>
        <rFont val="Arial"/>
        <family val="2"/>
      </rPr>
      <t xml:space="preserve"> The long, trailing curve to the right (from 1.5 up to 5.0) represents the ~30% of tasks that exceeded their planned durations. While smaller in probability, the shape of this tail shows that when tasks </t>
    </r>
    <r>
      <rPr>
        <i/>
        <sz val="10"/>
        <color rgb="FF424242"/>
        <rFont val="Arial"/>
        <family val="2"/>
      </rPr>
      <t>do</t>
    </r>
    <r>
      <rPr>
        <sz val="10"/>
        <color rgb="FF424242"/>
        <rFont val="Arial"/>
        <family val="2"/>
      </rPr>
      <t xml:space="preserve"> run late, they can slip significantly—taking 2x, 3x, or even 5x longer than estimated. This helps quantify the severity of schedule risks when things go off-plan.</t>
    </r>
  </si>
  <si>
    <r>
      <t>Why It’s Useful</t>
    </r>
    <r>
      <rPr>
        <sz val="10"/>
        <color rgb="FF424242"/>
        <rFont val="Arial"/>
        <family val="2"/>
      </rPr>
      <t xml:space="preserve"> This type of statistical chart is a powerful auditing tool for project controls, risk analysts, and leadership to:</t>
    </r>
  </si>
  <si>
    <r>
      <t>Spot "fake" actuals:</t>
    </r>
    <r>
      <rPr>
        <sz val="10"/>
        <color rgb="FF424242"/>
        <rFont val="Arial"/>
        <family val="2"/>
      </rPr>
      <t> Immediately identify when a team is rubber-stamping their schedule updates instead of tracking real performance.</t>
    </r>
  </si>
  <si>
    <r>
      <t>Improve future estimating:</t>
    </r>
    <r>
      <rPr>
        <sz val="10"/>
        <color rgb="FF424242"/>
        <rFont val="Arial"/>
        <family val="2"/>
      </rPr>
      <t> Use the historical spread (especially the long tail) to inform more realistic duration modeling and risk contingencies.</t>
    </r>
  </si>
  <si>
    <r>
      <t>Evaluate systemic biases:</t>
    </r>
    <r>
      <rPr>
        <sz val="10"/>
        <color rgb="FF424242"/>
        <rFont val="Arial"/>
        <family val="2"/>
      </rPr>
      <t> Determine if the project suffers from severe optimism bias when tasks deviate from the plan.</t>
    </r>
  </si>
  <si>
    <t>Adjust x-axis on graph to fit the Max DRM (or as appropriate).
Update the graph title for the "n" with the Task Count.
Move the boxes according to the x- and y-axis calculations in columns N-Q</t>
  </si>
  <si>
    <t>↑</t>
  </si>
  <si>
    <t>red box 
y-axis low value</t>
  </si>
  <si>
    <t>red box 
y-axis high value</t>
  </si>
  <si>
    <t>green box 
y-axis low value</t>
  </si>
  <si>
    <t>green box
y-axis high value</t>
  </si>
  <si>
    <t>x-axis values for red and green boxes</t>
  </si>
  <si>
    <t>←</t>
  </si>
  <si>
    <r>
      <t>Purpose of the HMI vs. CEI Scatter Plot</t>
    </r>
    <r>
      <rPr>
        <sz val="10"/>
        <color rgb="FF424242"/>
        <rFont val="Arial"/>
        <family val="2"/>
      </rPr>
      <t xml:space="preserve"> The primary purpose of this chart is to evaluate and compare schedule execution discipline and predictability across a portfolio of projects. By plotting two distinct leading indicators—Current Execution Index (CEI) against the Hit or Miss Index (HMI)—the chart reveals not just </t>
    </r>
    <r>
      <rPr>
        <i/>
        <sz val="10"/>
        <color rgb="FF424242"/>
        <rFont val="Arial"/>
        <family val="2"/>
      </rPr>
      <t>how much</t>
    </r>
    <r>
      <rPr>
        <sz val="10"/>
        <color rgb="FF424242"/>
        <rFont val="Arial"/>
        <family val="2"/>
      </rPr>
      <t xml:space="preserve"> work is getting done, but whether teams are working on the </t>
    </r>
    <r>
      <rPr>
        <i/>
        <sz val="10"/>
        <color rgb="FF424242"/>
        <rFont val="Arial"/>
        <family val="2"/>
      </rPr>
      <t>right</t>
    </r>
    <r>
      <rPr>
        <sz val="10"/>
        <color rgb="FF424242"/>
        <rFont val="Arial"/>
        <family val="2"/>
      </rPr>
      <t xml:space="preserve"> things.</t>
    </r>
  </si>
  <si>
    <r>
      <t>1. Measuring Throughput vs. Precision</t>
    </r>
    <r>
      <rPr>
        <sz val="10"/>
        <color rgb="FF424242"/>
        <rFont val="Arial"/>
        <family val="2"/>
      </rPr>
      <t xml:space="preserve"> The axes represent two different angles of execution health:</t>
    </r>
  </si>
  <si>
    <r>
      <t>CEI (Y-Axis):</t>
    </r>
    <r>
      <rPr>
        <sz val="10"/>
        <color rgb="FF424242"/>
        <rFont val="Arial"/>
        <family val="2"/>
      </rPr>
      <t> Measures </t>
    </r>
    <r>
      <rPr>
        <i/>
        <sz val="10"/>
        <color rgb="FF424242"/>
        <rFont val="Arial"/>
        <family val="2"/>
      </rPr>
      <t>throughput against the plan</t>
    </r>
    <r>
      <rPr>
        <sz val="10"/>
        <color rgb="FF424242"/>
        <rFont val="Arial"/>
        <family val="2"/>
      </rPr>
      <t>. It answers: </t>
    </r>
    <r>
      <rPr>
        <i/>
        <sz val="10"/>
        <color rgb="FF424242"/>
        <rFont val="Arial"/>
        <family val="2"/>
      </rPr>
      <t>Did we finish the work we promised to finish this period?</t>
    </r>
  </si>
  <si>
    <r>
      <t>HMI (X-Axis):</t>
    </r>
    <r>
      <rPr>
        <sz val="10"/>
        <color rgb="FF424242"/>
        <rFont val="Arial"/>
        <family val="2"/>
      </rPr>
      <t> Measures </t>
    </r>
    <r>
      <rPr>
        <i/>
        <sz val="10"/>
        <color rgb="FF424242"/>
        <rFont val="Arial"/>
        <family val="2"/>
      </rPr>
      <t>precision and focus</t>
    </r>
    <r>
      <rPr>
        <sz val="10"/>
        <color rgb="FF424242"/>
        <rFont val="Arial"/>
        <family val="2"/>
      </rPr>
      <t>. It answers: </t>
    </r>
    <r>
      <rPr>
        <i/>
        <sz val="10"/>
        <color rgb="FF424242"/>
        <rFont val="Arial"/>
        <family val="2"/>
      </rPr>
      <t>Of the work we actually did finish, how much of it was actually scheduled for this period?</t>
    </r>
  </si>
  <si>
    <r>
      <t>2. Portfolio-Level Benchmarking</t>
    </r>
    <r>
      <rPr>
        <sz val="10"/>
        <color rgb="FF424242"/>
        <rFont val="Arial"/>
        <family val="2"/>
      </rPr>
      <t xml:space="preserve"> By plotting multiple projects (represented by different colored dots) on a single 0-to-1 scale, this chart provides leadership with an immediate, high-level view of portfolio health. It quickly separates top performers from those struggling with schedule control or resource allocation.</t>
    </r>
  </si>
  <si>
    <r>
      <t>3. Identifying the "Gold Standard" (Top-Right Quadrant)</t>
    </r>
    <r>
      <rPr>
        <sz val="10"/>
        <color rgb="FF424242"/>
        <rFont val="Arial"/>
        <family val="2"/>
      </rPr>
      <t xml:space="preserve"> Projects clustered in the upper right (like Projects 4, 5, and 12) are the most predictable and disciplined. Scores close to 1.0 on both axes mean these teams accurately plan their near-term work, execute exactly what they planned, and avoid getting distracted by unplanned or out-of-sequence tasks.</t>
    </r>
  </si>
  <si>
    <r>
      <t>4. Diagnosing Problematic Execution Profiles</t>
    </r>
    <r>
      <rPr>
        <sz val="10"/>
        <color rgb="FF424242"/>
        <rFont val="Arial"/>
        <family val="2"/>
      </rPr>
      <t xml:space="preserve"> The chart visually categorizes different types of schedule dysfunction:</t>
    </r>
  </si>
  <si>
    <r>
      <t>The "Danger Zone" (Bottom-Left):</t>
    </r>
    <r>
      <rPr>
        <sz val="10"/>
        <color rgb="FF424242"/>
        <rFont val="Arial"/>
        <family val="2"/>
      </rPr>
      <t> Projects like 3 and 8 have low scores in both metrics. This indicates high chaos—they aren't finishing their scheduled work, and the work they </t>
    </r>
    <r>
      <rPr>
        <i/>
        <sz val="10"/>
        <color rgb="FF424242"/>
        <rFont val="Arial"/>
        <family val="2"/>
      </rPr>
      <t>are</t>
    </r>
    <r>
      <rPr>
        <sz val="10"/>
        <color rgb="FF424242"/>
        <rFont val="Arial"/>
        <family val="2"/>
      </rPr>
      <t> doing wasn't part of the near-term plan.</t>
    </r>
  </si>
  <si>
    <r>
      <t>The "Distracted Achievers" (Top-Left):</t>
    </r>
    <r>
      <rPr>
        <sz val="10"/>
        <color rgb="FF424242"/>
        <rFont val="Arial"/>
        <family val="2"/>
      </rPr>
      <t> Projects like 6 and 11 have high CEI but low HMI. This means they are finishing a high volume of work, but they are likely working out-of-sequence, cherry-picking easier tasks, or grabbing future work to stay busy while critical near-term tasks slip.</t>
    </r>
  </si>
  <si>
    <r>
      <t>Why It’s Useful</t>
    </r>
    <r>
      <rPr>
        <sz val="10"/>
        <color rgb="FF424242"/>
        <rFont val="Arial"/>
        <family val="2"/>
      </rPr>
      <t xml:space="preserve"> This visualization is a vital tool for PMO (Project Management Office) leadership and executives to:</t>
    </r>
  </si>
  <si>
    <r>
      <t>Assess portfolio predictability</t>
    </r>
    <r>
      <rPr>
        <sz val="10"/>
        <color rgb="FF424242"/>
        <rFont val="Arial"/>
        <family val="2"/>
      </rPr>
      <t> at a single glance.</t>
    </r>
  </si>
  <si>
    <r>
      <t>Target interventions</t>
    </r>
    <r>
      <rPr>
        <sz val="10"/>
        <color rgb="FF424242"/>
        <rFont val="Arial"/>
        <family val="2"/>
      </rPr>
      <t> by distinguishing between projects that need help with throughput (low CEI) versus those that need help with focus and schedule discipline (low HMI).</t>
    </r>
  </si>
  <si>
    <r>
      <t>Spot "fake" progress</t>
    </r>
    <r>
      <rPr>
        <sz val="10"/>
        <color rgb="FF424242"/>
        <rFont val="Arial"/>
        <family val="2"/>
      </rPr>
      <t> by revealing when a team is simply churning through out-of-sequence tasks rather than executing the actual plan.</t>
    </r>
  </si>
  <si>
    <r>
      <t xml:space="preserve">The </t>
    </r>
    <r>
      <rPr>
        <sz val="11"/>
        <color theme="1"/>
        <rFont val="Calibri"/>
        <family val="2"/>
        <scheme val="minor"/>
      </rPr>
      <t>multiple-project charts (G3, G6, G7)</t>
    </r>
    <r>
      <rPr>
        <sz val="11"/>
        <color theme="1"/>
        <rFont val="Calibri"/>
        <family val="2"/>
        <scheme val="minor"/>
      </rPr>
      <t xml:space="preserve"> serve as strategic, portfolio-level benchmarks designed for PMO leadership and executives. By stripping away timeline details and plotting standard execution indices (like CEI, HMI, and BEI) on scatter plots, these charts allow leadership to quickly triage systemic risks, spot severe outliers, and compare overall schedule predictability and discipline across an entire portfolio at a single glance.</t>
    </r>
  </si>
  <si>
    <r>
      <t xml:space="preserve">The </t>
    </r>
    <r>
      <rPr>
        <sz val="11"/>
        <color theme="1"/>
        <rFont val="Calibri"/>
        <family val="2"/>
        <scheme val="minor"/>
      </rPr>
      <t>individual project charts (G1–G5)</t>
    </r>
    <r>
      <rPr>
        <sz val="11"/>
        <color theme="1"/>
        <rFont val="Calibri"/>
        <family val="2"/>
        <scheme val="minor"/>
      </rPr>
      <t xml:space="preserve"> provide a tactical, time-phased diagnostic of a single project's execution health, focusing on granular details like historical throughput, schedule realism, data hygiene, and the near-term buildup of deferred work (the "bow wave"). These are deep-dive tools designed for project managers and schedulers to correct specific execution issues. </t>
    </r>
  </si>
  <si>
    <t>Quad Chart - BEI vs Critical Path %</t>
  </si>
  <si>
    <t>Quad Chart - To-Go-Starts vs. To-Go-Finishes</t>
  </si>
  <si>
    <t>Quadrants:</t>
  </si>
  <si>
    <t>Top Right (Green), HMI&gt;0.8, CEI&gt;0.6:  Work is getting done according to the baseline plan and the schedule forecast plan.</t>
  </si>
  <si>
    <t>Top Left (Yellow), HMI&lt;0.8, CEI&gt;0.6:  Work is getting done according to the schedule forecast plan but not the baseline plan.</t>
  </si>
  <si>
    <t>Bottom Right (Yellow), HMI&gt;0.8, CEI&lt;0.6:  Work is getting done according to the baseline plan, but not the forecast plan.  These scenarios are much less likely but would indicate that there is a disconnect between current planning and baseline expectations.</t>
  </si>
  <si>
    <t>Bottom Left (Red), HMI&lt;0.8, CEI&lt;0.6:  Work is neither getting done according to the baseline plan nor the forecast plan.  The project is having difficulty meeting schedule and replanning and/or risk mitigation should be considered.</t>
  </si>
  <si>
    <r>
      <t xml:space="preserve">Hit or Miss Index (HMI) </t>
    </r>
    <r>
      <rPr>
        <sz val="12"/>
        <color rgb="FF000000"/>
        <rFont val="Calibri"/>
        <family val="2"/>
        <scheme val="minor"/>
      </rPr>
      <t xml:space="preserve">– compares how many tasks in a given month were completed that were baselined to be completed in that month, hence the phrase "hit or miss." </t>
    </r>
  </si>
  <si>
    <t>HMI helps answer the question:</t>
  </si>
  <si>
    <r>
      <t>•</t>
    </r>
    <r>
      <rPr>
        <i/>
        <sz val="12"/>
        <color rgb="FF000000"/>
        <rFont val="Calibri"/>
        <family val="2"/>
        <scheme val="minor"/>
      </rPr>
      <t>Did we accomplish the tasks we said we would accomplish according to the baseline this month?</t>
    </r>
  </si>
  <si>
    <r>
      <t>•</t>
    </r>
    <r>
      <rPr>
        <i/>
        <sz val="12"/>
        <color rgb="FF000000"/>
        <rFont val="Calibri"/>
        <family val="2"/>
        <scheme val="minor"/>
      </rPr>
      <t xml:space="preserve">Is work getting done in according to the baseline plan? </t>
    </r>
  </si>
  <si>
    <r>
      <t xml:space="preserve">Current Execution Index (CEI) </t>
    </r>
    <r>
      <rPr>
        <sz val="12"/>
        <color rgb="FF000000"/>
        <rFont val="Calibri"/>
        <family val="2"/>
        <scheme val="minor"/>
      </rPr>
      <t>– calculates how many tasks in a given month were completed that were planned/forecast to complete in that month per prior month’s schedule update.</t>
    </r>
  </si>
  <si>
    <t>CEI helps answer the question:</t>
  </si>
  <si>
    <r>
      <t>•</t>
    </r>
    <r>
      <rPr>
        <i/>
        <sz val="12"/>
        <color rgb="FF000000"/>
        <rFont val="Calibri"/>
        <family val="2"/>
        <scheme val="minor"/>
      </rPr>
      <t xml:space="preserve">Did we accomplish this month what we said we would accomplish when we updated the schedule forecast last month? </t>
    </r>
  </si>
  <si>
    <r>
      <t>•</t>
    </r>
    <r>
      <rPr>
        <i/>
        <sz val="12"/>
        <color rgb="FF000000"/>
        <rFont val="Calibri"/>
        <family val="2"/>
        <scheme val="minor"/>
      </rPr>
      <t xml:space="preserve">Is work getting done in the forecasted time frame? </t>
    </r>
  </si>
  <si>
    <t>Color-coded quadrants will need to be manually added.</t>
  </si>
  <si>
    <t>To-Go Start Ratio vs. To-Go Finish Ratio</t>
  </si>
  <si>
    <t>To-Go Start Ratio – To-Go Starts / To-Go Baseline Starts</t>
  </si>
  <si>
    <t>To-Go Finish Ration – To-Go Finishes / To-Go Baseline Finishes</t>
  </si>
  <si>
    <t>Line of Equality:</t>
  </si>
  <si>
    <r>
      <t>•</t>
    </r>
    <r>
      <rPr>
        <i/>
        <sz val="10"/>
        <color rgb="FF000000"/>
        <rFont val="Calibri"/>
        <family val="2"/>
        <scheme val="minor"/>
      </rPr>
      <t xml:space="preserve">Top Right (Orange, Red), x&gt;1, y&gt;1:  Planning to start and finish more tasks than baselined – possibly catch-up or resequencing of work. </t>
    </r>
  </si>
  <si>
    <r>
      <t>•</t>
    </r>
    <r>
      <rPr>
        <i/>
        <sz val="10"/>
        <color rgb="FF000000"/>
        <rFont val="Calibri"/>
        <family val="2"/>
        <scheme val="minor"/>
      </rPr>
      <t>Top Left (Yellow), x&lt;1, y&gt;1:  Finishing more tasks than starting — may be closing out backlog, but not initiating new work as planned.</t>
    </r>
  </si>
  <si>
    <r>
      <t>•</t>
    </r>
    <r>
      <rPr>
        <i/>
        <sz val="10"/>
        <color rgb="FF000000"/>
        <rFont val="Calibri"/>
        <family val="2"/>
        <scheme val="minor"/>
      </rPr>
      <t>Bottom Right (Yellow), x&gt;1, y&lt;1:  Planning to start more tasks than the baseline, but not finishing as many — risk of work buildup or overload.</t>
    </r>
  </si>
  <si>
    <r>
      <t>•</t>
    </r>
    <r>
      <rPr>
        <i/>
        <sz val="10"/>
        <color rgb="FF000000"/>
        <rFont val="Calibri"/>
        <family val="2"/>
        <scheme val="minor"/>
      </rPr>
      <t xml:space="preserve">Bottom Left (Green), x≤1, y≤1:  </t>
    </r>
    <r>
      <rPr>
        <sz val="10"/>
        <color rgb="FF000000"/>
        <rFont val="Calibri"/>
        <family val="2"/>
        <scheme val="minor"/>
      </rPr>
      <t xml:space="preserve">Assuming all activities have assigned baseline starts and baseline finishes, then less work remains than what was baselined as “to go” work from time now — both fewer starts and fewer finishes are planned than baselined. </t>
    </r>
  </si>
  <si>
    <r>
      <t>•</t>
    </r>
    <r>
      <rPr>
        <sz val="10"/>
        <color rgb="FF000000"/>
        <rFont val="Calibri"/>
        <family val="2"/>
        <scheme val="minor"/>
      </rPr>
      <t>*Note: There is flexibility on whether the quadrant bounds should be set at 1 or +5-10% to allow for some late starts and finishes.</t>
    </r>
  </si>
  <si>
    <r>
      <t>•</t>
    </r>
    <r>
      <rPr>
        <i/>
        <sz val="10"/>
        <color rgb="FF000000"/>
        <rFont val="Calibri"/>
        <family val="2"/>
        <scheme val="minor"/>
      </rPr>
      <t xml:space="preserve">Above the line: </t>
    </r>
    <r>
      <rPr>
        <sz val="10"/>
        <color rgb="FF000000"/>
        <rFont val="Calibri"/>
        <family val="2"/>
        <scheme val="minor"/>
      </rPr>
      <t>More to-go finishes vs. baseline plan than to-go starts vs. baseline plan.  Planning to finish more work relative to the baseline than start work.  This could indicate that work is taking longer to finish (i.e., growing activity durations).</t>
    </r>
  </si>
  <si>
    <r>
      <t>•</t>
    </r>
    <r>
      <rPr>
        <i/>
        <sz val="10"/>
        <color rgb="FF000000"/>
        <rFont val="Calibri"/>
        <family val="2"/>
        <scheme val="minor"/>
      </rPr>
      <t>Below the line</t>
    </r>
    <r>
      <rPr>
        <sz val="10"/>
        <color rgb="FF000000"/>
        <rFont val="Calibri"/>
        <family val="2"/>
        <scheme val="minor"/>
      </rPr>
      <t>: There should not be more to-go starts than to-go finishes.  This would indicate an error in the schedule.</t>
    </r>
  </si>
  <si>
    <r>
      <t>Purpose of the Starts vs. Finishes (To-Go vs. Baseline) Chart</t>
    </r>
    <r>
      <rPr>
        <sz val="10"/>
        <color rgb="FF424242"/>
        <rFont val="Calibri"/>
        <family val="2"/>
        <scheme val="minor"/>
      </rPr>
      <t xml:space="preserve"> The primary purpose of this scatter plot is to evaluate schedule slippage, scope growth, and the buildup of deferred work across a portfolio of projects. By comparing the volume of </t>
    </r>
    <r>
      <rPr>
        <i/>
        <sz val="10"/>
        <color rgb="FF424242"/>
        <rFont val="Calibri"/>
        <family val="2"/>
        <scheme val="minor"/>
      </rPr>
      <t>remaining</t>
    </r>
    <r>
      <rPr>
        <sz val="10"/>
        <color rgb="FF424242"/>
        <rFont val="Calibri"/>
        <family val="2"/>
        <scheme val="minor"/>
      </rPr>
      <t xml:space="preserve"> work in the current schedule against the </t>
    </r>
    <r>
      <rPr>
        <i/>
        <sz val="10"/>
        <color rgb="FF424242"/>
        <rFont val="Calibri"/>
        <family val="2"/>
        <scheme val="minor"/>
      </rPr>
      <t>remaining</t>
    </r>
    <r>
      <rPr>
        <sz val="10"/>
        <color rgb="FF424242"/>
        <rFont val="Calibri"/>
        <family val="2"/>
        <scheme val="minor"/>
      </rPr>
      <t xml:space="preserve"> work expected in the original baseline, this chart quickly identifies projects that are drowning in delayed activities.</t>
    </r>
  </si>
  <si>
    <r>
      <t>1. Measuring Schedule Growth and Delays</t>
    </r>
    <r>
      <rPr>
        <sz val="10"/>
        <color rgb="FF424242"/>
        <rFont val="Calibri"/>
        <family val="2"/>
        <scheme val="minor"/>
      </rPr>
      <t xml:space="preserve"> The axes represent ratios of current remaining work ("To-Go") versus what was originally planned ("Baseline"):</t>
    </r>
  </si>
  <si>
    <r>
      <t>X-Axis (Starts Ratio):</t>
    </r>
    <r>
      <rPr>
        <sz val="10"/>
        <color rgb="FF424242"/>
        <rFont val="Calibri"/>
        <family val="2"/>
        <scheme val="minor"/>
      </rPr>
      <t> A ratio of current tasks left to start divided by baseline tasks left to start.</t>
    </r>
  </si>
  <si>
    <r>
      <t>Y-Axis (Finishes Ratio):</t>
    </r>
    <r>
      <rPr>
        <sz val="10"/>
        <color rgb="FF424242"/>
        <rFont val="Calibri"/>
        <family val="2"/>
        <scheme val="minor"/>
      </rPr>
      <t> A ratio of current tasks left to finish divided by baseline tasks left to finish. A ratio of exactly 1.0 means the project has the exact amount of work remaining as originally planned for this point in time.</t>
    </r>
  </si>
  <si>
    <r>
      <t>2. Identifying "In Control" Projects (The 1.0 Cluster)</t>
    </r>
    <r>
      <rPr>
        <sz val="10"/>
        <color rgb="FF424242"/>
        <rFont val="Calibri"/>
        <family val="2"/>
        <scheme val="minor"/>
      </rPr>
      <t xml:space="preserve"> Projects tightly clustered around the 1.0 / 1.0 mark in the bottom-left corner (like Projects 2, 3, 7, and 8) represent healthy or "in-control" schedules. These teams are tracking closely to their original baseline expectations—they have not pushed a massive volume of unmet past work into the future, nor have they suffered from massive scope creep.</t>
    </r>
  </si>
  <si>
    <r>
      <t>3. Spotting Severe Outliers and "Bow Waves" (The Upper Right)</t>
    </r>
    <r>
      <rPr>
        <sz val="10"/>
        <color rgb="FF424242"/>
        <rFont val="Calibri"/>
        <family val="2"/>
        <scheme val="minor"/>
      </rPr>
      <t xml:space="preserve"> The chart’s most powerful feature is its ability to highlight extreme outliers. Projects located far up the diagonal (like Projects 1 and 9) are in severe distress. A ratio of 4.0 or 6.0 indicates that these projects have 4 to 6 times </t>
    </r>
    <r>
      <rPr>
        <i/>
        <sz val="10"/>
        <color rgb="FF424242"/>
        <rFont val="Calibri"/>
        <family val="2"/>
        <scheme val="minor"/>
      </rPr>
      <t>more</t>
    </r>
    <r>
      <rPr>
        <sz val="10"/>
        <color rgb="FF424242"/>
        <rFont val="Calibri"/>
        <family val="2"/>
        <scheme val="minor"/>
      </rPr>
      <t xml:space="preserve"> work left to start and finish than the original baseline dictated. This massive accumulation of future work usually points to a severe "bow wave" of deferred tasks, chronic execution delays, or massive unbaselined scope additions.</t>
    </r>
  </si>
  <si>
    <r>
      <t>4. The Start/Finish Correlation</t>
    </r>
    <r>
      <rPr>
        <sz val="10"/>
        <color rgb="FF424242"/>
        <rFont val="Calibri"/>
        <family val="2"/>
        <scheme val="minor"/>
      </rPr>
      <t xml:space="preserve"> The fact that the projects plot along a neat 45-degree diagonal line reinforces a core scheduling reality: start delays dictate finish delays. If a project has four times as much work left to </t>
    </r>
    <r>
      <rPr>
        <i/>
        <sz val="10"/>
        <color rgb="FF424242"/>
        <rFont val="Calibri"/>
        <family val="2"/>
        <scheme val="minor"/>
      </rPr>
      <t>start</t>
    </r>
    <r>
      <rPr>
        <sz val="10"/>
        <color rgb="FF424242"/>
        <rFont val="Calibri"/>
        <family val="2"/>
        <scheme val="minor"/>
      </rPr>
      <t xml:space="preserve"> as planned, it naturally has four times as much work left to </t>
    </r>
    <r>
      <rPr>
        <i/>
        <sz val="10"/>
        <color rgb="FF424242"/>
        <rFont val="Calibri"/>
        <family val="2"/>
        <scheme val="minor"/>
      </rPr>
      <t>finish</t>
    </r>
    <r>
      <rPr>
        <sz val="10"/>
        <color rgb="FF424242"/>
        <rFont val="Calibri"/>
        <family val="2"/>
        <scheme val="minor"/>
      </rPr>
      <t>.</t>
    </r>
  </si>
  <si>
    <r>
      <t>Why It’s Useful</t>
    </r>
    <r>
      <rPr>
        <sz val="10"/>
        <color rgb="FF424242"/>
        <rFont val="Calibri"/>
        <family val="2"/>
        <scheme val="minor"/>
      </rPr>
      <t xml:space="preserve"> This visualization is highly effective for PMO leadership and executives to:</t>
    </r>
  </si>
  <si>
    <r>
      <t>Triage portfolio risk:</t>
    </r>
    <r>
      <rPr>
        <sz val="10"/>
        <color rgb="FF424242"/>
        <rFont val="Calibri"/>
        <family val="2"/>
        <scheme val="minor"/>
      </rPr>
      <t> Instantly identify which specific projects (the outliers) require immediate executive intervention.</t>
    </r>
  </si>
  <si>
    <r>
      <t>Quantify the "Bow Wave":</t>
    </r>
    <r>
      <rPr>
        <sz val="10"/>
        <color rgb="FF424242"/>
        <rFont val="Calibri"/>
        <family val="2"/>
        <scheme val="minor"/>
      </rPr>
      <t> Show exactly how bloated a project's remaining schedule has become compared to the original plan.</t>
    </r>
  </si>
  <si>
    <r>
      <t>Trigger re-baselining conversations:</t>
    </r>
    <r>
      <rPr>
        <sz val="10"/>
        <color rgb="FF424242"/>
        <rFont val="Calibri"/>
        <family val="2"/>
        <scheme val="minor"/>
      </rPr>
      <t> Visually prove when a project's current reality has decoupled so far from its original baseline (e.g., 6x the remaining work) that the current plan is no longer viable or realistic to execute.</t>
    </r>
  </si>
  <si>
    <t>Warning Flags:</t>
  </si>
  <si>
    <t>&lt;5% Critical: May indicate excessive float and lack of clarity about what’s truly driving the project's end date. (e.g., missing logic - predecessor or successor links, overuse of leads and lags)</t>
  </si>
  <si>
    <t>&gt;15–20% Critical: Could signal poor logic (e.g., overuse of constraints, lack of float, or too many links between activities – “hotspots”).</t>
  </si>
  <si>
    <t xml:space="preserve">The ideal percentage depends on: </t>
  </si>
  <si>
    <r>
      <t xml:space="preserve">Critical Path % Typical Range: </t>
    </r>
    <r>
      <rPr>
        <sz val="10"/>
        <color rgb="FF000000"/>
        <rFont val="Calibri"/>
        <family val="2"/>
        <scheme val="minor"/>
      </rPr>
      <t>In a well-developed schedule, 5% to 15% of the total activities are usually on the critical path.</t>
    </r>
  </si>
  <si>
    <r>
      <t>•</t>
    </r>
    <r>
      <rPr>
        <sz val="10"/>
        <color rgb="FF000000"/>
        <rFont val="Calibri"/>
        <family val="2"/>
        <scheme val="minor"/>
      </rPr>
      <t>Project Type &amp; Complexity: Infrastructure projects may have different profiles than software or design-heavy projects.</t>
    </r>
  </si>
  <si>
    <r>
      <t>•</t>
    </r>
    <r>
      <rPr>
        <sz val="10"/>
        <color rgb="FF000000"/>
        <rFont val="Calibri"/>
        <family val="2"/>
        <scheme val="minor"/>
      </rPr>
      <t>Level of Detail: More detailed schedules (e.g., with many low-level tasks) may naturally have a lower percentage of critical activities.</t>
    </r>
  </si>
  <si>
    <r>
      <t>•</t>
    </r>
    <r>
      <rPr>
        <sz val="10"/>
        <color rgb="FF000000"/>
        <rFont val="Calibri"/>
        <family val="2"/>
        <scheme val="minor"/>
      </rPr>
      <t>Use of Constraints: Excessive use of constraints can artificially inflate the number of critical activities.</t>
    </r>
  </si>
  <si>
    <r>
      <t>•</t>
    </r>
    <r>
      <rPr>
        <sz val="10"/>
        <color rgb="FF000000"/>
        <rFont val="Calibri"/>
        <family val="2"/>
        <scheme val="minor"/>
      </rPr>
      <t>Schedule Quality: A high-quality schedule has well-defined logic and reasonable float, regardless of the critical percentage.</t>
    </r>
  </si>
  <si>
    <r>
      <t>Purpose of the % of Critical Activities vs. Baseline Execution Chart</t>
    </r>
    <r>
      <rPr>
        <sz val="10"/>
        <color rgb="FF424242"/>
        <rFont val="Calibri"/>
        <family val="2"/>
        <scheme val="minor"/>
      </rPr>
      <t xml:space="preserve"> The primary purpose of this scatter plot is to evaluate how historical schedule execution impacts future schedule risk. By plotting Baseline Execution Index (BEI) against the density of the critical path, the chart reveals whether poor past performance is causing future work to lose its flexibility (float) and stack up into a brittle, high-risk schedule.</t>
    </r>
  </si>
  <si>
    <r>
      <t>1. Balancing Past Throughput with Future Flexibility</t>
    </r>
    <r>
      <rPr>
        <sz val="10"/>
        <color rgb="FF424242"/>
        <rFont val="Calibri"/>
        <family val="2"/>
        <scheme val="minor"/>
      </rPr>
      <t xml:space="preserve"> The axes represent two distinct but deeply connected scheduling concepts:</t>
    </r>
  </si>
  <si>
    <r>
      <t>X-Axis (BEI - Value Tasks):</t>
    </r>
    <r>
      <rPr>
        <sz val="10"/>
        <color rgb="FF424242"/>
        <rFont val="Calibri"/>
        <family val="2"/>
        <scheme val="minor"/>
      </rPr>
      <t> Measures historical execution against the baseline. A score near 1.0 means the team is completing work exactly at the pace originally planned. A low score means they are falling behind.</t>
    </r>
  </si>
  <si>
    <r>
      <t>Y-Axis (% Critical Path To-Go Activities):</t>
    </r>
    <r>
      <rPr>
        <sz val="10"/>
        <color rgb="FF424242"/>
        <rFont val="Calibri"/>
        <family val="2"/>
        <scheme val="minor"/>
      </rPr>
      <t> Measures the proportion of remaining work that is on the critical path (possessing zero float). A low percentage means the schedule has healthy flexibility. A high percentage means the schedule is highly constrained and "brittle"—meaning any slip in any task will delay the whole project.</t>
    </r>
  </si>
  <si>
    <r>
      <t>2. The "Healthy" Zone (Bottom-Right)</t>
    </r>
    <r>
      <rPr>
        <sz val="10"/>
        <color rgb="FF424242"/>
        <rFont val="Calibri"/>
        <family val="2"/>
        <scheme val="minor"/>
      </rPr>
      <t xml:space="preserve"> Projects clustered in the lower right (like Projects 1, 4, and 6) represent healthy, well-managed schedules. They have a high BEI (meaning they are executing their baseline plan efficiently) and a low percentage of critical remaining work (meaning their future schedule still contains plenty of float and flexibility to absorb unexpected issues).</t>
    </r>
  </si>
  <si>
    <r>
      <t>3. The "Danger" Zone (Top-Left)</t>
    </r>
    <r>
      <rPr>
        <sz val="10"/>
        <color rgb="FF424242"/>
        <rFont val="Calibri"/>
        <family val="2"/>
        <scheme val="minor"/>
      </rPr>
      <t xml:space="preserve"> Projects moving toward the upper left (like Project 3) are flashing warning signs. They have a low execution index (falling behind baseline) and a high percentage of critical remaining work (nearly 50% of everything left to do is critical).</t>
    </r>
  </si>
  <si>
    <r>
      <t>4. Diagnosing "Float Erosion"</t>
    </r>
    <r>
      <rPr>
        <sz val="10"/>
        <color rgb="FF424242"/>
        <rFont val="Calibri"/>
        <family val="2"/>
        <scheme val="minor"/>
      </rPr>
      <t xml:space="preserve"> This chart visually demonstrates the concept of "float erosion." When teams fail to execute their plan (low BEI), delayed non-critical tasks consume their available float. Eventually, those delayed tasks become critical. A schedule where 40-50% of all remaining tasks are on the critical path is often a sign that parallel paths have collapsed, and the project is at extreme risk for day-for-day slips.</t>
    </r>
  </si>
  <si>
    <r>
      <t>Why It’s Useful</t>
    </r>
    <r>
      <rPr>
        <sz val="10"/>
        <color rgb="FF424242"/>
        <rFont val="Calibri"/>
        <family val="2"/>
        <scheme val="minor"/>
      </rPr>
      <t xml:space="preserve"> This visualization is highly effective for PMO leadership and risk managers to:</t>
    </r>
  </si>
  <si>
    <r>
      <t>Assess project fragility:</t>
    </r>
    <r>
      <rPr>
        <sz val="10"/>
        <color rgb="FF424242"/>
        <rFont val="Calibri"/>
        <family val="2"/>
        <scheme val="minor"/>
      </rPr>
      <t> Quickly identify projects that have lost their schedule flexibility and cannot absorb any more delays (high Y-axis).</t>
    </r>
  </si>
  <si>
    <r>
      <t>Connect cause and effect:</t>
    </r>
    <r>
      <rPr>
        <sz val="10"/>
        <color rgb="FF424242"/>
        <rFont val="Calibri"/>
        <family val="2"/>
        <scheme val="minor"/>
      </rPr>
      <t> Show project managers how failing to meet near-term commitments (low X-axis) directly increases the overall risk profile of the remaining project.</t>
    </r>
  </si>
  <si>
    <r>
      <t>Target schedule reviews:</t>
    </r>
    <r>
      <rPr>
        <sz val="10"/>
        <color rgb="FF424242"/>
        <rFont val="Calibri"/>
        <family val="2"/>
        <scheme val="minor"/>
      </rPr>
      <t> Identify schedules that may need a logic deep-dive (e.g., if a project has terrible execution but zero critical tasks, the schedule logic might be broken or missing).</t>
    </r>
  </si>
  <si>
    <t>Quad Chart - HMI vs. CEI</t>
  </si>
  <si>
    <t>Duration Ratio (S-curve)</t>
  </si>
  <si>
    <t>Baseline Activities &amp; Workoff Burden</t>
  </si>
  <si>
    <t>Baseline Activities &amp; Workoff Burden (First Look)</t>
  </si>
  <si>
    <t>Baseline Activities &amp; Workoff Burden (6-Month Delta Look)</t>
  </si>
  <si>
    <t xml:space="preserve">It answers a fundamental question: Did the team actually execute the deferred work, or did they simply push the problem further down the road?
</t>
  </si>
  <si>
    <t xml:space="preserve">If a follow-up chart shows that the massive spike of near-term "To-Go" work has simply shifted 6 months to the right (a phenomenon known as "rolling the bow wave"), it proves that the project is suffering from chronic execution failure and continuous unrealistic planning. </t>
  </si>
  <si>
    <t>Conversely, if the follow-up chart shows a smoothed future curve and a higher volume of historical actuals, it validates that the team either successfully burned down their schedule debt or formally replanned the baseline to reflect a realistic throughput capacity.</t>
  </si>
  <si>
    <r>
      <rPr>
        <b/>
        <sz val="10"/>
        <color theme="1"/>
        <rFont val="Calibri"/>
        <family val="2"/>
        <scheme val="minor"/>
      </rPr>
      <t>Note:</t>
    </r>
    <r>
      <rPr>
        <sz val="10"/>
        <color theme="1"/>
        <rFont val="Calibri"/>
        <family val="2"/>
        <scheme val="minor"/>
      </rPr>
      <t xml:space="preserve"> Running the "Bow Wave" chart again 6 months later is a crucial diagnostic technique used to test management accountability and schedule reality. </t>
    </r>
  </si>
  <si>
    <t>If starts are on track, but finishes are lagging, there will likely be a buildup of in-progress work or execution issues (bow wave).</t>
  </si>
  <si>
    <t>A delay in starts compared to the baseline may indicate upstream schedule slippage.</t>
  </si>
  <si>
    <t>A delay in finishes, even if starts are on time, may signal downstream inefficiencies or underestimated durations.</t>
  </si>
  <si>
    <t>Comparing both helps isolate where in the schedule the delays are occurring—early (planning/start delays) or late (execution/finish delays).</t>
  </si>
  <si>
    <t>If actual starts and finishes closely match the baselined and planned counts, the schedule is likely under control.</t>
  </si>
  <si>
    <t>Significant variance between planned vs. actual starts and finishes may indicate a need for replanning or risk mitigation.</t>
  </si>
  <si>
    <t>Showing late activities in the background also gives insight into how many activities started or finished on plan vs. not on plan.</t>
  </si>
  <si>
    <t>Overlaying BEI, HMI, and CEI gives you a sense of how well those starts aligned with the schedule expectations.</t>
  </si>
  <si>
    <r>
      <t xml:space="preserve">Activity Starts </t>
    </r>
    <r>
      <rPr>
        <sz val="10"/>
        <color rgb="FF000000"/>
        <rFont val="Calibri"/>
        <family val="2"/>
        <scheme val="minor"/>
      </rPr>
      <t>– show how quickly work is being initiated.</t>
    </r>
  </si>
  <si>
    <r>
      <t xml:space="preserve">Activity Finishes </t>
    </r>
    <r>
      <rPr>
        <sz val="10"/>
        <color rgb="FF000000"/>
        <rFont val="Calibri"/>
        <family val="2"/>
        <scheme val="minor"/>
      </rPr>
      <t xml:space="preserve">– show how quickly work is actually being completed.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</si>
</sst>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00000"/>
    <numFmt numFmtId="166" formatCode="0.000"/>
    <numFmt numFmtId="167" formatCode="0.0"/>
  </numFmts>
  <fonts count="33" x14ac:knownFonts="1">
    <font>
      <sz val="11"/>
      <color theme="1"/>
      <name val="Calibri"/>
      <family val="2"/>
      <scheme val="minor"/>
    </font>
    <font>
      <sz val="11"/>
      <color rgb="FF000000"/>
      <name val="Calibri"/>
      <family val="2"/>
      <scheme val="minor"/>
    </font>
    <font>
      <b/>
      <sz val="12"/>
      <color theme="1"/>
      <name val="Calibri"/>
      <family val="2"/>
      <scheme val="minor"/>
    </font>
    <font>
      <sz val="16"/>
      <color theme="1"/>
      <name val="Calibri"/>
      <family val="2"/>
      <scheme val="minor"/>
    </font>
    <font>
      <sz val="11"/>
      <color rgb="FFFFFFFF"/>
      <name val="Calibri"/>
      <family val="2"/>
      <scheme val="minor"/>
    </font>
    <font>
      <b/>
      <sz val="11"/>
      <color theme="1"/>
      <name val="Calibri"/>
      <family val="2"/>
      <scheme val="minor"/>
    </font>
    <font>
      <b/>
      <sz val="14"/>
      <color rgb="FF808080"/>
      <name val="Calibri"/>
      <family val="2"/>
      <scheme val="minor"/>
    </font>
    <font>
      <sz val="11"/>
      <name val="Calibri"/>
      <family val="2"/>
      <scheme val="minor"/>
    </font>
    <font>
      <sz val="11"/>
      <color rgb="FFFF0000"/>
      <name val="Calibri"/>
      <family val="2"/>
      <scheme val="minor"/>
    </font>
    <font>
      <b/>
      <sz val="14"/>
      <color theme="1"/>
      <name val="Calibri"/>
      <family val="2"/>
      <scheme val="minor"/>
    </font>
    <font>
      <i/>
      <sz val="11"/>
      <color theme="1"/>
      <name val="Calibri"/>
      <family val="2"/>
      <scheme val="minor"/>
    </font>
    <font>
      <b/>
      <sz val="8"/>
      <color theme="1"/>
      <name val="Calibri"/>
      <family val="2"/>
      <scheme val="minor"/>
    </font>
    <font>
      <b/>
      <sz val="11"/>
      <color rgb="FF000000"/>
      <name val="Calibri"/>
      <family val="2"/>
      <scheme val="minor"/>
    </font>
    <font>
      <b/>
      <sz val="10"/>
      <color theme="1"/>
      <name val="Calibri"/>
      <family val="2"/>
      <scheme val="minor"/>
    </font>
    <font>
      <sz val="8"/>
      <name val="Calibri"/>
      <family val="2"/>
      <scheme val="minor"/>
    </font>
    <font>
      <sz val="10"/>
      <color rgb="FF111827"/>
      <name val="Arial"/>
      <family val="2"/>
    </font>
    <font>
      <sz val="10"/>
      <color rgb="FF424242"/>
      <name val="Arial"/>
      <family val="2"/>
    </font>
    <font>
      <sz val="10"/>
      <color theme="1"/>
      <name val="Calibri"/>
      <family val="2"/>
      <scheme val="minor"/>
    </font>
    <font>
      <i/>
      <sz val="10"/>
      <color rgb="FF424242"/>
      <name val="Arial"/>
      <family val="2"/>
    </font>
    <font>
      <b/>
      <sz val="9"/>
      <color theme="1"/>
      <name val="Calibri"/>
      <family val="2"/>
      <scheme val="minor"/>
    </font>
    <font>
      <b/>
      <sz val="20"/>
      <color theme="1"/>
      <name val="Aptos Narrow"/>
      <family val="2"/>
    </font>
    <font>
      <sz val="10"/>
      <color rgb="FF424242"/>
      <name val="Calibri"/>
      <family val="2"/>
      <scheme val="minor"/>
    </font>
    <font>
      <sz val="10"/>
      <color rgb="FF111827"/>
      <name val="Calibri"/>
      <family val="2"/>
      <scheme val="minor"/>
    </font>
    <font>
      <b/>
      <sz val="12"/>
      <color rgb="FF000000"/>
      <name val="Calibri"/>
      <family val="2"/>
      <scheme val="minor"/>
    </font>
    <font>
      <i/>
      <sz val="12"/>
      <color rgb="FF000000"/>
      <name val="Calibri"/>
      <family val="2"/>
      <scheme val="minor"/>
    </font>
    <font>
      <sz val="12"/>
      <color rgb="FF000000"/>
      <name val="Calibri"/>
      <family val="2"/>
      <scheme val="minor"/>
    </font>
    <font>
      <sz val="12"/>
      <color theme="1"/>
      <name val="Arial"/>
      <family val="2"/>
    </font>
    <font>
      <b/>
      <sz val="10"/>
      <color rgb="FF000000"/>
      <name val="Calibri"/>
      <family val="2"/>
      <scheme val="minor"/>
    </font>
    <font>
      <sz val="10"/>
      <color rgb="FF000000"/>
      <name val="Calibri"/>
      <family val="2"/>
      <scheme val="minor"/>
    </font>
    <font>
      <sz val="10"/>
      <color theme="1"/>
      <name val="Arial"/>
      <family val="2"/>
    </font>
    <font>
      <i/>
      <sz val="10"/>
      <color rgb="FF000000"/>
      <name val="Calibri"/>
      <family val="2"/>
      <scheme val="minor"/>
    </font>
    <font>
      <i/>
      <sz val="10"/>
      <color rgb="FF424242"/>
      <name val="Calibri"/>
      <family val="2"/>
      <scheme val="minor"/>
    </font>
    <font>
      <sz val="10"/>
      <color rgb="FF4472C4"/>
      <name val="Calibri"/>
      <family val="2"/>
      <scheme val="minor"/>
    </font>
  </fonts>
  <fills count="408">
    <fill>
      <patternFill patternType="none"/>
    </fill>
    <fill>
      <patternFill patternType="gray125"/>
    </fill>
    <fill>
      <patternFill patternType="solid">
        <fgColor rgb="FFD3D3D3"/>
        <bgColor indexed="64"/>
      </patternFill>
    </fill>
    <fill>
      <patternFill patternType="solid">
        <fgColor rgb="FF808080"/>
        <bgColor indexed="64"/>
      </patternFill>
    </fill>
    <fill>
      <patternFill patternType="solid">
        <fgColor rgb="FF1F497D"/>
        <bgColor indexed="64"/>
      </patternFill>
    </fill>
    <fill>
      <patternFill patternType="solid">
        <fgColor rgb="FFFF0000"/>
        <bgColor indexed="64"/>
      </patternFill>
    </fill>
    <fill>
      <patternFill patternType="solid">
        <fgColor rgb="FFFFFF00"/>
        <bgColor indexed="64"/>
      </patternFill>
    </fill>
    <fill>
      <patternFill patternType="solid">
        <fgColor rgb="FF92D050"/>
        <bgColor indexed="64"/>
      </patternFill>
    </fill>
    <fill>
      <patternFill patternType="solid">
        <fgColor rgb="FFFC7575"/>
        <bgColor indexed="64"/>
      </patternFill>
    </fill>
    <fill>
      <patternFill patternType="solid">
        <fgColor rgb="FFF9A1A1"/>
        <bgColor indexed="64"/>
      </patternFill>
    </fill>
    <fill>
      <patternFill patternType="solid">
        <fgColor rgb="FFF7AFAE"/>
        <bgColor indexed="64"/>
      </patternFill>
    </fill>
    <fill>
      <patternFill patternType="solid">
        <fgColor rgb="FFF8A9A8"/>
        <bgColor indexed="64"/>
      </patternFill>
    </fill>
    <fill>
      <patternFill patternType="solid">
        <fgColor rgb="FFFA9696"/>
        <bgColor indexed="64"/>
      </patternFill>
    </fill>
    <fill>
      <patternFill patternType="solid">
        <fgColor rgb="FFF8ABAB"/>
        <bgColor indexed="64"/>
      </patternFill>
    </fill>
    <fill>
      <patternFill patternType="solid">
        <fgColor rgb="FFF4CFCE"/>
        <bgColor indexed="64"/>
      </patternFill>
    </fill>
    <fill>
      <patternFill patternType="solid">
        <fgColor rgb="FFF3D4D3"/>
        <bgColor indexed="64"/>
      </patternFill>
    </fill>
    <fill>
      <patternFill patternType="solid">
        <fgColor rgb="FFF3D3D2"/>
        <bgColor indexed="64"/>
      </patternFill>
    </fill>
    <fill>
      <patternFill patternType="solid">
        <fgColor rgb="FFF5C2C1"/>
        <bgColor indexed="64"/>
      </patternFill>
    </fill>
    <fill>
      <patternFill patternType="solid">
        <fgColor rgb="FFF3D5D4"/>
        <bgColor indexed="64"/>
      </patternFill>
    </fill>
    <fill>
      <patternFill patternType="solid">
        <fgColor rgb="FFF5C4C3"/>
        <bgColor indexed="64"/>
      </patternFill>
    </fill>
    <fill>
      <patternFill patternType="solid">
        <fgColor rgb="FFF6BBBB"/>
        <bgColor indexed="64"/>
      </patternFill>
    </fill>
    <fill>
      <patternFill patternType="solid">
        <fgColor rgb="FFF5C4C4"/>
        <bgColor indexed="64"/>
      </patternFill>
    </fill>
    <fill>
      <patternFill patternType="solid">
        <fgColor rgb="FFF2D9D8"/>
        <bgColor indexed="64"/>
      </patternFill>
    </fill>
    <fill>
      <patternFill patternType="solid">
        <fgColor rgb="FFF4CDCD"/>
        <bgColor indexed="64"/>
      </patternFill>
    </fill>
    <fill>
      <patternFill patternType="solid">
        <fgColor rgb="FFF5C5C4"/>
        <bgColor indexed="64"/>
      </patternFill>
    </fill>
    <fill>
      <patternFill patternType="solid">
        <fgColor rgb="FFF4CCCB"/>
        <bgColor indexed="64"/>
      </patternFill>
    </fill>
    <fill>
      <patternFill patternType="solid">
        <fgColor rgb="FFF4CBCA"/>
        <bgColor indexed="64"/>
      </patternFill>
    </fill>
    <fill>
      <patternFill patternType="solid">
        <fgColor rgb="FFF3D8D7"/>
        <bgColor indexed="64"/>
      </patternFill>
    </fill>
    <fill>
      <patternFill patternType="solid">
        <fgColor rgb="FFF4D0CF"/>
        <bgColor indexed="64"/>
      </patternFill>
    </fill>
    <fill>
      <patternFill patternType="solid">
        <fgColor rgb="FFF7B2B2"/>
        <bgColor indexed="64"/>
      </patternFill>
    </fill>
    <fill>
      <patternFill patternType="solid">
        <fgColor rgb="FFF3D6D5"/>
        <bgColor indexed="64"/>
      </patternFill>
    </fill>
    <fill>
      <patternFill patternType="solid">
        <fgColor rgb="FFF5C7C6"/>
        <bgColor indexed="64"/>
      </patternFill>
    </fill>
    <fill>
      <patternFill patternType="solid">
        <fgColor rgb="FFF4CECE"/>
        <bgColor indexed="64"/>
      </patternFill>
    </fill>
    <fill>
      <patternFill patternType="solid">
        <fgColor rgb="FFF6BABA"/>
        <bgColor indexed="64"/>
      </patternFill>
    </fill>
    <fill>
      <patternFill patternType="solid">
        <fgColor rgb="FFF4CECD"/>
        <bgColor indexed="64"/>
      </patternFill>
    </fill>
    <fill>
      <patternFill patternType="solid">
        <fgColor rgb="FFFA9291"/>
        <bgColor indexed="64"/>
      </patternFill>
    </fill>
    <fill>
      <patternFill patternType="solid">
        <fgColor rgb="FFF5C6C5"/>
        <bgColor indexed="64"/>
      </patternFill>
    </fill>
    <fill>
      <patternFill patternType="solid">
        <fgColor rgb="FFF2DAD9"/>
        <bgColor indexed="64"/>
      </patternFill>
    </fill>
    <fill>
      <patternFill patternType="solid">
        <fgColor rgb="FFF6BBBA"/>
        <bgColor indexed="64"/>
      </patternFill>
    </fill>
    <fill>
      <patternFill patternType="solid">
        <fgColor rgb="FFF6BDBD"/>
        <bgColor indexed="64"/>
      </patternFill>
    </fill>
    <fill>
      <patternFill patternType="solid">
        <fgColor rgb="FFF3D1D0"/>
        <bgColor indexed="64"/>
      </patternFill>
    </fill>
    <fill>
      <patternFill patternType="solid">
        <fgColor rgb="FFF6BDBC"/>
        <bgColor indexed="64"/>
      </patternFill>
    </fill>
    <fill>
      <patternFill patternType="solid">
        <fgColor rgb="FFF6BAB9"/>
        <bgColor indexed="64"/>
      </patternFill>
    </fill>
    <fill>
      <patternFill patternType="solid">
        <fgColor rgb="FFF4CDCC"/>
        <bgColor indexed="64"/>
      </patternFill>
    </fill>
    <fill>
      <patternFill patternType="solid">
        <fgColor rgb="FFF4CAC9"/>
        <bgColor indexed="64"/>
      </patternFill>
    </fill>
    <fill>
      <patternFill patternType="solid">
        <fgColor rgb="FFF6B8B7"/>
        <bgColor indexed="64"/>
      </patternFill>
    </fill>
    <fill>
      <patternFill patternType="solid">
        <fgColor rgb="FFFD6160"/>
        <bgColor indexed="64"/>
      </patternFill>
    </fill>
    <fill>
      <patternFill patternType="solid">
        <fgColor rgb="FFFD6666"/>
        <bgColor indexed="64"/>
      </patternFill>
    </fill>
    <fill>
      <patternFill patternType="solid">
        <fgColor rgb="FFFC6C6B"/>
        <bgColor indexed="64"/>
      </patternFill>
    </fill>
    <fill>
      <patternFill patternType="solid">
        <fgColor rgb="FFFD6565"/>
        <bgColor indexed="64"/>
      </patternFill>
    </fill>
    <fill>
      <patternFill patternType="solid">
        <fgColor rgb="FFFD5A5A"/>
        <bgColor indexed="64"/>
      </patternFill>
    </fill>
    <fill>
      <patternFill patternType="solid">
        <fgColor rgb="FFFB7D7C"/>
        <bgColor indexed="64"/>
      </patternFill>
    </fill>
    <fill>
      <patternFill patternType="solid">
        <fgColor rgb="FFF8A3A2"/>
        <bgColor indexed="64"/>
      </patternFill>
    </fill>
    <fill>
      <patternFill patternType="solid">
        <fgColor rgb="FFFD5D5C"/>
        <bgColor indexed="64"/>
      </patternFill>
    </fill>
    <fill>
      <patternFill patternType="solid">
        <fgColor rgb="FFFB8685"/>
        <bgColor indexed="64"/>
      </patternFill>
    </fill>
    <fill>
      <patternFill patternType="solid">
        <fgColor rgb="FFFA8D8D"/>
        <bgColor indexed="64"/>
      </patternFill>
    </fill>
    <fill>
      <patternFill patternType="solid">
        <fgColor rgb="FFFB8887"/>
        <bgColor indexed="64"/>
      </patternFill>
    </fill>
    <fill>
      <patternFill patternType="solid">
        <fgColor rgb="FFFB8483"/>
        <bgColor indexed="64"/>
      </patternFill>
    </fill>
    <fill>
      <patternFill patternType="solid">
        <fgColor rgb="FFFC7473"/>
        <bgColor indexed="64"/>
      </patternFill>
    </fill>
    <fill>
      <patternFill patternType="solid">
        <fgColor rgb="FFFE5150"/>
        <bgColor indexed="64"/>
      </patternFill>
    </fill>
    <fill>
      <patternFill patternType="solid">
        <fgColor rgb="FFFE3030"/>
        <bgColor indexed="64"/>
      </patternFill>
    </fill>
    <fill>
      <patternFill patternType="solid">
        <fgColor rgb="FFFD5352"/>
        <bgColor indexed="64"/>
      </patternFill>
    </fill>
    <fill>
      <patternFill patternType="solid">
        <fgColor rgb="FFFD6463"/>
        <bgColor indexed="64"/>
      </patternFill>
    </fill>
    <fill>
      <patternFill patternType="solid">
        <fgColor rgb="FFFB8A89"/>
        <bgColor indexed="64"/>
      </patternFill>
    </fill>
    <fill>
      <patternFill patternType="solid">
        <fgColor rgb="FFFC6A69"/>
        <bgColor indexed="64"/>
      </patternFill>
    </fill>
    <fill>
      <patternFill patternType="solid">
        <fgColor rgb="FFFC7170"/>
        <bgColor indexed="64"/>
      </patternFill>
    </fill>
    <fill>
      <patternFill patternType="solid">
        <fgColor rgb="FFFC7978"/>
        <bgColor indexed="64"/>
      </patternFill>
    </fill>
    <fill>
      <patternFill patternType="solid">
        <fgColor rgb="FFFB8888"/>
        <bgColor indexed="64"/>
      </patternFill>
    </fill>
    <fill>
      <patternFill patternType="solid">
        <fgColor rgb="FFFD5858"/>
        <bgColor indexed="64"/>
      </patternFill>
    </fill>
    <fill>
      <patternFill patternType="solid">
        <fgColor rgb="FFFE4C4B"/>
        <bgColor indexed="64"/>
      </patternFill>
    </fill>
    <fill>
      <patternFill patternType="solid">
        <fgColor rgb="FFFC6F6E"/>
        <bgColor indexed="64"/>
      </patternFill>
    </fill>
    <fill>
      <patternFill patternType="solid">
        <fgColor rgb="FFFA9494"/>
        <bgColor indexed="64"/>
      </patternFill>
    </fill>
    <fill>
      <patternFill patternType="solid">
        <fgColor rgb="FFF4C9C8"/>
        <bgColor indexed="64"/>
      </patternFill>
    </fill>
    <fill>
      <patternFill patternType="solid">
        <fgColor rgb="FFF3D2D1"/>
        <bgColor indexed="64"/>
      </patternFill>
    </fill>
    <fill>
      <patternFill patternType="solid">
        <fgColor rgb="FFF7B7B6"/>
        <bgColor indexed="64"/>
      </patternFill>
    </fill>
    <fill>
      <patternFill patternType="solid">
        <fgColor rgb="FFF6BEBD"/>
        <bgColor indexed="64"/>
      </patternFill>
    </fill>
    <fill>
      <patternFill patternType="solid">
        <fgColor rgb="FFF9A09F"/>
        <bgColor indexed="64"/>
      </patternFill>
    </fill>
    <fill>
      <patternFill patternType="solid">
        <fgColor rgb="FFF7B1B0"/>
        <bgColor indexed="64"/>
      </patternFill>
    </fill>
    <fill>
      <patternFill patternType="solid">
        <fgColor rgb="FFF5C9C8"/>
        <bgColor indexed="64"/>
      </patternFill>
    </fill>
    <fill>
      <patternFill patternType="solid">
        <fgColor rgb="FFF5C3C2"/>
        <bgColor indexed="64"/>
      </patternFill>
    </fill>
    <fill>
      <patternFill patternType="solid">
        <fgColor rgb="FFF5C8C7"/>
        <bgColor indexed="64"/>
      </patternFill>
    </fill>
    <fill>
      <patternFill patternType="solid">
        <fgColor rgb="FFF4CACA"/>
        <bgColor indexed="64"/>
      </patternFill>
    </fill>
    <fill>
      <patternFill patternType="solid">
        <fgColor rgb="FFF6BFBE"/>
        <bgColor indexed="64"/>
      </patternFill>
    </fill>
    <fill>
      <patternFill patternType="solid">
        <fgColor rgb="FFFA8C8B"/>
        <bgColor indexed="64"/>
      </patternFill>
    </fill>
    <fill>
      <patternFill patternType="solid">
        <fgColor rgb="FFF3D7D6"/>
        <bgColor indexed="64"/>
      </patternFill>
    </fill>
    <fill>
      <patternFill patternType="solid">
        <fgColor rgb="FFF4D1D0"/>
        <bgColor indexed="64"/>
      </patternFill>
    </fill>
    <fill>
      <patternFill patternType="solid">
        <fgColor rgb="FFF7B0B0"/>
        <bgColor indexed="64"/>
      </patternFill>
    </fill>
    <fill>
      <patternFill patternType="solid">
        <fgColor rgb="FFF5C0BF"/>
        <bgColor indexed="64"/>
      </patternFill>
    </fill>
    <fill>
      <patternFill patternType="solid">
        <fgColor rgb="FFF6B9B8"/>
        <bgColor indexed="64"/>
      </patternFill>
    </fill>
    <fill>
      <patternFill patternType="solid">
        <fgColor rgb="FFFC7372"/>
        <bgColor indexed="64"/>
      </patternFill>
    </fill>
    <fill>
      <patternFill patternType="solid">
        <fgColor rgb="FFFC6E6D"/>
        <bgColor indexed="64"/>
      </patternFill>
    </fill>
    <fill>
      <patternFill patternType="solid">
        <fgColor rgb="FFFB807F"/>
        <bgColor indexed="64"/>
      </patternFill>
    </fill>
    <fill>
      <patternFill patternType="solid">
        <fgColor rgb="FFF99B9A"/>
        <bgColor indexed="64"/>
      </patternFill>
    </fill>
    <fill>
      <patternFill patternType="solid">
        <fgColor rgb="FFFC7271"/>
        <bgColor indexed="64"/>
      </patternFill>
    </fill>
    <fill>
      <patternFill patternType="solid">
        <fgColor rgb="FFFA9392"/>
        <bgColor indexed="64"/>
      </patternFill>
    </fill>
    <fill>
      <patternFill patternType="solid">
        <fgColor rgb="FFFA908F"/>
        <bgColor indexed="64"/>
      </patternFill>
    </fill>
    <fill>
      <patternFill patternType="solid">
        <fgColor rgb="FFFC6B6A"/>
        <bgColor indexed="64"/>
      </patternFill>
    </fill>
    <fill>
      <patternFill patternType="solid">
        <fgColor rgb="FFFB7C7B"/>
        <bgColor indexed="64"/>
      </patternFill>
    </fill>
    <fill>
      <patternFill patternType="solid">
        <fgColor rgb="FFFC7676"/>
        <bgColor indexed="64"/>
      </patternFill>
    </fill>
    <fill>
      <patternFill patternType="solid">
        <fgColor rgb="FFF8A7A6"/>
        <bgColor indexed="64"/>
      </patternFill>
    </fill>
    <fill>
      <patternFill patternType="solid">
        <fgColor rgb="FFF8ADAC"/>
        <bgColor indexed="64"/>
      </patternFill>
    </fill>
    <fill>
      <patternFill patternType="solid">
        <fgColor rgb="FFFA8A89"/>
        <bgColor indexed="64"/>
      </patternFill>
    </fill>
    <fill>
      <patternFill patternType="solid">
        <fgColor rgb="FFFB8383"/>
        <bgColor indexed="64"/>
      </patternFill>
    </fill>
    <fill>
      <patternFill patternType="solid">
        <fgColor rgb="FFFF2121"/>
        <bgColor indexed="64"/>
      </patternFill>
    </fill>
    <fill>
      <patternFill patternType="solid">
        <fgColor rgb="FFFB8180"/>
        <bgColor indexed="64"/>
      </patternFill>
    </fill>
    <fill>
      <patternFill patternType="solid">
        <fgColor rgb="FFFB8281"/>
        <bgColor indexed="64"/>
      </patternFill>
    </fill>
    <fill>
      <patternFill patternType="solid">
        <fgColor rgb="FFFB8080"/>
        <bgColor indexed="64"/>
      </patternFill>
    </fill>
    <fill>
      <patternFill patternType="solid">
        <fgColor rgb="FFF99E9E"/>
        <bgColor indexed="64"/>
      </patternFill>
    </fill>
    <fill>
      <patternFill patternType="solid">
        <fgColor rgb="FFFA8F8E"/>
        <bgColor indexed="64"/>
      </patternFill>
    </fill>
    <fill>
      <patternFill patternType="solid">
        <fgColor rgb="FFFD5656"/>
        <bgColor indexed="64"/>
      </patternFill>
    </fill>
    <fill>
      <patternFill patternType="solid">
        <fgColor rgb="FFFC7979"/>
        <bgColor indexed="64"/>
      </patternFill>
    </fill>
    <fill>
      <patternFill patternType="solid">
        <fgColor rgb="FFFC6A6A"/>
        <bgColor indexed="64"/>
      </patternFill>
    </fill>
    <fill>
      <patternFill patternType="solid">
        <fgColor rgb="FFF99A9A"/>
        <bgColor indexed="64"/>
      </patternFill>
    </fill>
    <fill>
      <patternFill patternType="solid">
        <fgColor rgb="FFF99998"/>
        <bgColor indexed="64"/>
      </patternFill>
    </fill>
    <fill>
      <patternFill patternType="solid">
        <fgColor rgb="FF008000"/>
        <bgColor indexed="64"/>
      </patternFill>
    </fill>
    <fill>
      <patternFill patternType="solid">
        <fgColor rgb="FFFC7A7A"/>
        <bgColor indexed="64"/>
      </patternFill>
    </fill>
    <fill>
      <patternFill patternType="solid">
        <fgColor rgb="FFF8A8A7"/>
        <bgColor indexed="64"/>
      </patternFill>
    </fill>
    <fill>
      <patternFill patternType="solid">
        <fgColor rgb="FFF7B4B3"/>
        <bgColor indexed="64"/>
      </patternFill>
    </fill>
    <fill>
      <patternFill patternType="solid">
        <fgColor rgb="FF00FFFF"/>
        <bgColor indexed="64"/>
      </patternFill>
    </fill>
    <fill>
      <patternFill patternType="solid">
        <fgColor rgb="FFFA8A8A"/>
        <bgColor indexed="64"/>
      </patternFill>
    </fill>
    <fill>
      <patternFill patternType="solid">
        <fgColor rgb="FFF6BCBC"/>
        <bgColor indexed="64"/>
      </patternFill>
    </fill>
    <fill>
      <patternFill patternType="solid">
        <fgColor rgb="FFF6BCBB"/>
        <bgColor indexed="64"/>
      </patternFill>
    </fill>
    <fill>
      <patternFill patternType="solid">
        <fgColor rgb="FFFD5F5E"/>
        <bgColor indexed="64"/>
      </patternFill>
    </fill>
    <fill>
      <patternFill patternType="solid">
        <fgColor rgb="FFF99898"/>
        <bgColor indexed="64"/>
      </patternFill>
    </fill>
    <fill>
      <patternFill patternType="solid">
        <fgColor rgb="FFFB8989"/>
        <bgColor indexed="64"/>
      </patternFill>
    </fill>
    <fill>
      <patternFill patternType="solid">
        <fgColor rgb="FFFB8584"/>
        <bgColor indexed="64"/>
      </patternFill>
    </fill>
    <fill>
      <patternFill patternType="solid">
        <fgColor rgb="FFFC7776"/>
        <bgColor indexed="64"/>
      </patternFill>
    </fill>
    <fill>
      <patternFill patternType="solid">
        <fgColor rgb="FFFE3131"/>
        <bgColor indexed="64"/>
      </patternFill>
    </fill>
    <fill>
      <patternFill patternType="solid">
        <fgColor rgb="FFFB7F7E"/>
        <bgColor indexed="64"/>
      </patternFill>
    </fill>
    <fill>
      <patternFill patternType="solid">
        <fgColor rgb="FFF99C9B"/>
        <bgColor indexed="64"/>
      </patternFill>
    </fill>
    <fill>
      <patternFill patternType="solid">
        <fgColor rgb="FFF4C9C9"/>
        <bgColor indexed="64"/>
      </patternFill>
    </fill>
    <fill>
      <patternFill patternType="solid">
        <fgColor rgb="FFFC6D6D"/>
        <bgColor indexed="64"/>
      </patternFill>
    </fill>
    <fill>
      <patternFill patternType="solid">
        <fgColor rgb="FFFB7E7D"/>
        <bgColor indexed="64"/>
      </patternFill>
    </fill>
    <fill>
      <patternFill patternType="solid">
        <fgColor rgb="FFFC7A79"/>
        <bgColor indexed="64"/>
      </patternFill>
    </fill>
    <fill>
      <patternFill patternType="solid">
        <fgColor rgb="FFF8A8A8"/>
        <bgColor indexed="64"/>
      </patternFill>
    </fill>
    <fill>
      <patternFill patternType="solid">
        <fgColor rgb="FFFA8B8B"/>
        <bgColor indexed="64"/>
      </patternFill>
    </fill>
    <fill>
      <patternFill patternType="solid">
        <fgColor rgb="FFFA8B8A"/>
        <bgColor indexed="64"/>
      </patternFill>
    </fill>
    <fill>
      <patternFill patternType="solid">
        <fgColor rgb="FFFA9594"/>
        <bgColor indexed="64"/>
      </patternFill>
    </fill>
    <fill>
      <patternFill patternType="solid">
        <fgColor rgb="FFF7B2B1"/>
        <bgColor indexed="64"/>
      </patternFill>
    </fill>
    <fill>
      <patternFill patternType="solid">
        <fgColor rgb="FFCCCCFF"/>
        <bgColor indexed="64"/>
      </patternFill>
    </fill>
    <fill>
      <patternFill patternType="solid">
        <fgColor rgb="FFB8CCE4"/>
        <bgColor indexed="64"/>
      </patternFill>
    </fill>
    <fill>
      <patternFill patternType="solid">
        <fgColor rgb="FF95B3D7"/>
        <bgColor indexed="64"/>
      </patternFill>
    </fill>
    <fill>
      <patternFill patternType="solid">
        <fgColor rgb="FF366092"/>
        <bgColor indexed="64"/>
      </patternFill>
    </fill>
    <fill>
      <patternFill patternType="solid">
        <fgColor rgb="FFDBE5F1"/>
        <bgColor indexed="64"/>
      </patternFill>
    </fill>
    <fill>
      <patternFill patternType="solid">
        <fgColor rgb="FFD7E1ED"/>
        <bgColor indexed="64"/>
      </patternFill>
    </fill>
    <fill>
      <patternFill patternType="solid">
        <fgColor rgb="FFDAE4F0"/>
        <bgColor indexed="64"/>
      </patternFill>
    </fill>
    <fill>
      <patternFill patternType="solid">
        <fgColor rgb="FFD9E3F0"/>
        <bgColor indexed="64"/>
      </patternFill>
    </fill>
    <fill>
      <patternFill patternType="solid">
        <fgColor rgb="FFC9D4E2"/>
        <bgColor indexed="64"/>
      </patternFill>
    </fill>
    <fill>
      <patternFill patternType="solid">
        <fgColor rgb="FFD5DFEC"/>
        <bgColor indexed="64"/>
      </patternFill>
    </fill>
    <fill>
      <patternFill patternType="solid">
        <fgColor rgb="FFD8E2EE"/>
        <bgColor indexed="64"/>
      </patternFill>
    </fill>
    <fill>
      <patternFill patternType="solid">
        <fgColor rgb="FFD4DEEB"/>
        <bgColor indexed="64"/>
      </patternFill>
    </fill>
    <fill>
      <patternFill patternType="solid">
        <fgColor rgb="FFD6E0EC"/>
        <bgColor indexed="64"/>
      </patternFill>
    </fill>
    <fill>
      <patternFill patternType="solid">
        <fgColor rgb="FFD8E2EF"/>
        <bgColor indexed="64"/>
      </patternFill>
    </fill>
    <fill>
      <patternFill patternType="solid">
        <fgColor rgb="FFD7E1EE"/>
        <bgColor indexed="64"/>
      </patternFill>
    </fill>
    <fill>
      <patternFill patternType="solid">
        <fgColor rgb="FFCDD7E5"/>
        <bgColor indexed="64"/>
      </patternFill>
    </fill>
    <fill>
      <patternFill patternType="solid">
        <fgColor rgb="FF8493AD"/>
        <bgColor indexed="64"/>
      </patternFill>
    </fill>
    <fill>
      <patternFill patternType="solid">
        <fgColor rgb="FF9CA9BE"/>
        <bgColor indexed="64"/>
      </patternFill>
    </fill>
    <fill>
      <patternFill patternType="solid">
        <fgColor rgb="FF8998B0"/>
        <bgColor indexed="64"/>
      </patternFill>
    </fill>
    <fill>
      <patternFill patternType="solid">
        <fgColor rgb="FF909DB5"/>
        <bgColor indexed="64"/>
      </patternFill>
    </fill>
    <fill>
      <patternFill patternType="solid">
        <fgColor rgb="FF98A5BB"/>
        <bgColor indexed="64"/>
      </patternFill>
    </fill>
    <fill>
      <patternFill patternType="solid">
        <fgColor rgb="FF9AA7BD"/>
        <bgColor indexed="64"/>
      </patternFill>
    </fill>
    <fill>
      <patternFill patternType="solid">
        <fgColor rgb="FF919FB6"/>
        <bgColor indexed="64"/>
      </patternFill>
    </fill>
    <fill>
      <patternFill patternType="solid">
        <fgColor rgb="FF8C9AB2"/>
        <bgColor indexed="64"/>
      </patternFill>
    </fill>
    <fill>
      <patternFill patternType="solid">
        <fgColor rgb="FF94A1B8"/>
        <bgColor indexed="64"/>
      </patternFill>
    </fill>
    <fill>
      <patternFill patternType="solid">
        <fgColor rgb="FF97A4BA"/>
        <bgColor indexed="64"/>
      </patternFill>
    </fill>
    <fill>
      <patternFill patternType="solid">
        <fgColor rgb="FFA3AFC3"/>
        <bgColor indexed="64"/>
      </patternFill>
    </fill>
    <fill>
      <patternFill patternType="solid">
        <fgColor rgb="FFA1AEC2"/>
        <bgColor indexed="64"/>
      </patternFill>
    </fill>
    <fill>
      <patternFill patternType="solid">
        <fgColor rgb="FF9FACC0"/>
        <bgColor indexed="64"/>
      </patternFill>
    </fill>
    <fill>
      <patternFill patternType="solid">
        <fgColor rgb="FFA5B1C5"/>
        <bgColor indexed="64"/>
      </patternFill>
    </fill>
    <fill>
      <patternFill patternType="solid">
        <fgColor rgb="FFA9B5C8"/>
        <bgColor indexed="64"/>
      </patternFill>
    </fill>
    <fill>
      <patternFill patternType="solid">
        <fgColor rgb="FFA6B2C6"/>
        <bgColor indexed="64"/>
      </patternFill>
    </fill>
    <fill>
      <patternFill patternType="solid">
        <fgColor rgb="FFA4B0C4"/>
        <bgColor indexed="64"/>
      </patternFill>
    </fill>
    <fill>
      <patternFill patternType="solid">
        <fgColor rgb="FFA8B4C7"/>
        <bgColor indexed="64"/>
      </patternFill>
    </fill>
    <fill>
      <patternFill patternType="solid">
        <fgColor rgb="FFAFBBCD"/>
        <bgColor indexed="64"/>
      </patternFill>
    </fill>
    <fill>
      <patternFill patternType="solid">
        <fgColor rgb="FFAAB6C9"/>
        <bgColor indexed="64"/>
      </patternFill>
    </fill>
    <fill>
      <patternFill patternType="solid">
        <fgColor rgb="FF99A6BC"/>
        <bgColor indexed="64"/>
      </patternFill>
    </fill>
    <fill>
      <patternFill patternType="solid">
        <fgColor rgb="FFB4BFD1"/>
        <bgColor indexed="64"/>
      </patternFill>
    </fill>
    <fill>
      <patternFill patternType="solid">
        <fgColor rgb="FFB6C1D2"/>
        <bgColor indexed="64"/>
      </patternFill>
    </fill>
    <fill>
      <patternFill patternType="solid">
        <fgColor rgb="FFC1CCDB"/>
        <bgColor indexed="64"/>
      </patternFill>
    </fill>
    <fill>
      <patternFill patternType="solid">
        <fgColor rgb="FFC3CEDD"/>
        <bgColor indexed="64"/>
      </patternFill>
    </fill>
    <fill>
      <patternFill patternType="solid">
        <fgColor rgb="FFCAD5E3"/>
        <bgColor indexed="64"/>
      </patternFill>
    </fill>
    <fill>
      <patternFill patternType="solid">
        <fgColor rgb="FFABB7C9"/>
        <bgColor indexed="64"/>
      </patternFill>
    </fill>
    <fill>
      <patternFill patternType="solid">
        <fgColor rgb="FFBAC5D5"/>
        <bgColor indexed="64"/>
      </patternFill>
    </fill>
    <fill>
      <patternFill patternType="solid">
        <fgColor rgb="FFB6C2D3"/>
        <bgColor indexed="64"/>
      </patternFill>
    </fill>
    <fill>
      <patternFill patternType="solid">
        <fgColor rgb="FFB2BDCF"/>
        <bgColor indexed="64"/>
      </patternFill>
    </fill>
    <fill>
      <patternFill patternType="solid">
        <fgColor rgb="FFB3BED0"/>
        <bgColor indexed="64"/>
      </patternFill>
    </fill>
    <fill>
      <patternFill patternType="solid">
        <fgColor rgb="FFB1BDCE"/>
        <bgColor indexed="64"/>
      </patternFill>
    </fill>
    <fill>
      <patternFill patternType="solid">
        <fgColor rgb="FFB2BECF"/>
        <bgColor indexed="64"/>
      </patternFill>
    </fill>
    <fill>
      <patternFill patternType="solid">
        <fgColor rgb="FFB5C0D1"/>
        <bgColor indexed="64"/>
      </patternFill>
    </fill>
    <fill>
      <patternFill patternType="solid">
        <fgColor rgb="FFAFBACC"/>
        <bgColor indexed="64"/>
      </patternFill>
    </fill>
    <fill>
      <patternFill patternType="solid">
        <fgColor rgb="FFACB8CA"/>
        <bgColor indexed="64"/>
      </patternFill>
    </fill>
    <fill>
      <patternFill patternType="solid">
        <fgColor rgb="FFACB7CA"/>
        <bgColor indexed="64"/>
      </patternFill>
    </fill>
    <fill>
      <patternFill patternType="solid">
        <fgColor rgb="FFADB9CB"/>
        <bgColor indexed="64"/>
      </patternFill>
    </fill>
    <fill>
      <patternFill patternType="solid">
        <fgColor rgb="FFABB7CA"/>
        <bgColor indexed="64"/>
      </patternFill>
    </fill>
    <fill>
      <patternFill patternType="solid">
        <fgColor rgb="FFA6B2C5"/>
        <bgColor indexed="64"/>
      </patternFill>
    </fill>
    <fill>
      <patternFill patternType="solid">
        <fgColor rgb="FFA5B2C5"/>
        <bgColor indexed="64"/>
      </patternFill>
    </fill>
    <fill>
      <patternFill patternType="solid">
        <fgColor rgb="FFA0ACC1"/>
        <bgColor indexed="64"/>
      </patternFill>
    </fill>
    <fill>
      <patternFill patternType="solid">
        <fgColor rgb="FF9DAABF"/>
        <bgColor indexed="64"/>
      </patternFill>
    </fill>
    <fill>
      <patternFill patternType="solid">
        <fgColor rgb="FFA2AEC2"/>
        <bgColor indexed="64"/>
      </patternFill>
    </fill>
    <fill>
      <patternFill patternType="solid">
        <fgColor rgb="FFAAB6C8"/>
        <bgColor indexed="64"/>
      </patternFill>
    </fill>
    <fill>
      <patternFill patternType="solid">
        <fgColor rgb="FFB4C0D1"/>
        <bgColor indexed="64"/>
      </patternFill>
    </fill>
    <fill>
      <patternFill patternType="solid">
        <fgColor rgb="FFADB8CB"/>
        <bgColor indexed="64"/>
      </patternFill>
    </fill>
    <fill>
      <patternFill patternType="solid">
        <fgColor rgb="FF8D9BB3"/>
        <bgColor indexed="64"/>
      </patternFill>
    </fill>
    <fill>
      <patternFill patternType="solid">
        <fgColor rgb="FF909EB5"/>
        <bgColor indexed="64"/>
      </patternFill>
    </fill>
    <fill>
      <patternFill patternType="solid">
        <fgColor rgb="FF7888A4"/>
        <bgColor indexed="64"/>
      </patternFill>
    </fill>
    <fill>
      <patternFill patternType="solid">
        <fgColor rgb="FF657799"/>
        <bgColor indexed="64"/>
      </patternFill>
    </fill>
    <fill>
      <patternFill patternType="solid">
        <fgColor rgb="FF355483"/>
        <bgColor indexed="64"/>
      </patternFill>
    </fill>
    <fill>
      <patternFill patternType="solid">
        <fgColor rgb="FF50678E"/>
        <bgColor indexed="64"/>
      </patternFill>
    </fill>
    <fill>
      <patternFill patternType="solid">
        <fgColor rgb="FF6D7F9E"/>
        <bgColor indexed="64"/>
      </patternFill>
    </fill>
    <fill>
      <patternFill patternType="solid">
        <fgColor rgb="FF7C8BA7"/>
        <bgColor indexed="64"/>
      </patternFill>
    </fill>
    <fill>
      <patternFill patternType="solid">
        <fgColor rgb="FF7D8DA8"/>
        <bgColor indexed="64"/>
      </patternFill>
    </fill>
    <fill>
      <patternFill patternType="solid">
        <fgColor rgb="FFC5D0DE"/>
        <bgColor indexed="64"/>
      </patternFill>
    </fill>
    <fill>
      <patternFill patternType="solid">
        <fgColor rgb="FFCBD6E4"/>
        <bgColor indexed="64"/>
      </patternFill>
    </fill>
    <fill>
      <patternFill patternType="solid">
        <fgColor rgb="FFD1DBE8"/>
        <bgColor indexed="64"/>
      </patternFill>
    </fill>
    <fill>
      <patternFill patternType="solid">
        <fgColor rgb="FFD0DAE7"/>
        <bgColor indexed="64"/>
      </patternFill>
    </fill>
    <fill>
      <patternFill patternType="solid">
        <fgColor rgb="FFCCD6E4"/>
        <bgColor indexed="64"/>
      </patternFill>
    </fill>
    <fill>
      <patternFill patternType="solid">
        <fgColor rgb="FFD0DAE8"/>
        <bgColor indexed="64"/>
      </patternFill>
    </fill>
    <fill>
      <patternFill patternType="solid">
        <fgColor rgb="FFCFD9E7"/>
        <bgColor indexed="64"/>
      </patternFill>
    </fill>
    <fill>
      <patternFill patternType="solid">
        <fgColor rgb="FFD3DDEA"/>
        <bgColor indexed="64"/>
      </patternFill>
    </fill>
    <fill>
      <patternFill patternType="solid">
        <fgColor rgb="FFD6E0ED"/>
        <bgColor indexed="64"/>
      </patternFill>
    </fill>
    <fill>
      <patternFill patternType="solid">
        <fgColor rgb="FFD6E1ED"/>
        <bgColor indexed="64"/>
      </patternFill>
    </fill>
    <fill>
      <patternFill patternType="solid">
        <fgColor rgb="FFC0CBDA"/>
        <bgColor indexed="64"/>
      </patternFill>
    </fill>
    <fill>
      <patternFill patternType="solid">
        <fgColor rgb="FFBDC8D8"/>
        <bgColor indexed="64"/>
      </patternFill>
    </fill>
    <fill>
      <patternFill patternType="solid">
        <fgColor rgb="FFB8C3D4"/>
        <bgColor indexed="64"/>
      </patternFill>
    </fill>
    <fill>
      <patternFill patternType="solid">
        <fgColor rgb="FFB1BCCE"/>
        <bgColor indexed="64"/>
      </patternFill>
    </fill>
    <fill>
      <patternFill patternType="solid">
        <fgColor rgb="FFD2DCE9"/>
        <bgColor indexed="64"/>
      </patternFill>
    </fill>
    <fill>
      <patternFill patternType="solid">
        <fgColor rgb="FFCED8E6"/>
        <bgColor indexed="64"/>
      </patternFill>
    </fill>
    <fill>
      <patternFill patternType="solid">
        <fgColor rgb="FFBFCADA"/>
        <bgColor indexed="64"/>
      </patternFill>
    </fill>
    <fill>
      <patternFill patternType="solid">
        <fgColor rgb="FFBCC7D7"/>
        <bgColor indexed="64"/>
      </patternFill>
    </fill>
    <fill>
      <patternFill patternType="solid">
        <fgColor rgb="FF96A3BA"/>
        <bgColor indexed="64"/>
      </patternFill>
    </fill>
    <fill>
      <patternFill patternType="solid">
        <fgColor rgb="FFCED9E6"/>
        <bgColor indexed="64"/>
      </patternFill>
    </fill>
    <fill>
      <patternFill patternType="solid">
        <fgColor rgb="FFCBD5E3"/>
        <bgColor indexed="64"/>
      </patternFill>
    </fill>
    <fill>
      <patternFill patternType="solid">
        <fgColor rgb="FFC4CEDD"/>
        <bgColor indexed="64"/>
      </patternFill>
    </fill>
    <fill>
      <patternFill patternType="solid">
        <fgColor rgb="FFC2CDDC"/>
        <bgColor indexed="64"/>
      </patternFill>
    </fill>
    <fill>
      <patternFill patternType="solid">
        <fgColor rgb="FF53698F"/>
        <bgColor indexed="64"/>
      </patternFill>
    </fill>
    <fill>
      <patternFill patternType="solid">
        <fgColor rgb="FF627597"/>
        <bgColor indexed="64"/>
      </patternFill>
    </fill>
    <fill>
      <patternFill patternType="solid">
        <fgColor rgb="FF647798"/>
        <bgColor indexed="64"/>
      </patternFill>
    </fill>
    <fill>
      <patternFill patternType="solid">
        <fgColor rgb="FF7384A2"/>
        <bgColor indexed="64"/>
      </patternFill>
    </fill>
    <fill>
      <patternFill patternType="solid">
        <fgColor rgb="FF7585A2"/>
        <bgColor indexed="64"/>
      </patternFill>
    </fill>
    <fill>
      <patternFill patternType="solid">
        <fgColor rgb="FFD9E3EF"/>
        <bgColor indexed="64"/>
      </patternFill>
    </fill>
    <fill>
      <patternFill patternType="solid">
        <fgColor rgb="FFCDD8E5"/>
        <bgColor indexed="64"/>
      </patternFill>
    </fill>
    <fill>
      <patternFill patternType="solid">
        <fgColor rgb="FFD3DEEB"/>
        <bgColor indexed="64"/>
      </patternFill>
    </fill>
    <fill>
      <patternFill patternType="solid">
        <fgColor rgb="FFD8E3EF"/>
        <bgColor indexed="64"/>
      </patternFill>
    </fill>
    <fill>
      <patternFill patternType="solid">
        <fgColor rgb="FFD4DFEB"/>
        <bgColor indexed="64"/>
      </patternFill>
    </fill>
    <fill>
      <patternFill patternType="solid">
        <fgColor rgb="FFCFDAE7"/>
        <bgColor indexed="64"/>
      </patternFill>
    </fill>
    <fill>
      <patternFill patternType="solid">
        <fgColor rgb="FFC9D3E1"/>
        <bgColor indexed="64"/>
      </patternFill>
    </fill>
    <fill>
      <patternFill patternType="solid">
        <fgColor rgb="FFD1DCE9"/>
        <bgColor indexed="64"/>
      </patternFill>
    </fill>
    <fill>
      <patternFill patternType="solid">
        <fgColor rgb="FFC6D1E0"/>
        <bgColor indexed="64"/>
      </patternFill>
    </fill>
    <fill>
      <patternFill patternType="solid">
        <fgColor rgb="FFB8C3D3"/>
        <bgColor indexed="64"/>
      </patternFill>
    </fill>
    <fill>
      <patternFill patternType="solid">
        <fgColor rgb="FFC4CFDE"/>
        <bgColor indexed="64"/>
      </patternFill>
    </fill>
    <fill>
      <patternFill patternType="solid">
        <fgColor rgb="FFC5CFDE"/>
        <bgColor indexed="64"/>
      </patternFill>
    </fill>
    <fill>
      <patternFill patternType="solid">
        <fgColor rgb="FFD2DDEA"/>
        <bgColor indexed="64"/>
      </patternFill>
    </fill>
    <fill>
      <patternFill patternType="solid">
        <fgColor rgb="FFBFCAD9"/>
        <bgColor indexed="64"/>
      </patternFill>
    </fill>
    <fill>
      <patternFill patternType="solid">
        <fgColor rgb="FFBAC5D6"/>
        <bgColor indexed="64"/>
      </patternFill>
    </fill>
    <fill>
      <patternFill patternType="solid">
        <fgColor rgb="FFB4BFD0"/>
        <bgColor indexed="64"/>
      </patternFill>
    </fill>
    <fill>
      <patternFill patternType="solid">
        <fgColor rgb="FFB7C2D3"/>
        <bgColor indexed="64"/>
      </patternFill>
    </fill>
    <fill>
      <patternFill patternType="solid">
        <fgColor rgb="FFB5C1D2"/>
        <bgColor indexed="64"/>
      </patternFill>
    </fill>
    <fill>
      <patternFill patternType="solid">
        <fgColor rgb="FFB0BBCD"/>
        <bgColor indexed="64"/>
      </patternFill>
    </fill>
    <fill>
      <patternFill patternType="solid">
        <fgColor rgb="FFB1BDCF"/>
        <bgColor indexed="64"/>
      </patternFill>
    </fill>
    <fill>
      <patternFill patternType="solid">
        <fgColor rgb="FFB6C2D2"/>
        <bgColor indexed="64"/>
      </patternFill>
    </fill>
    <fill>
      <patternFill patternType="solid">
        <fgColor rgb="FFAEBACC"/>
        <bgColor indexed="64"/>
      </patternFill>
    </fill>
    <fill>
      <patternFill patternType="solid">
        <fgColor rgb="FFB3BFD0"/>
        <bgColor indexed="64"/>
      </patternFill>
    </fill>
    <fill>
      <patternFill patternType="solid">
        <fgColor rgb="FFB7C3D3"/>
        <bgColor indexed="64"/>
      </patternFill>
    </fill>
    <fill>
      <patternFill patternType="solid">
        <fgColor rgb="FFAEB9CC"/>
        <bgColor indexed="64"/>
      </patternFill>
    </fill>
    <fill>
      <patternFill patternType="solid">
        <fgColor rgb="FFBBC6D6"/>
        <bgColor indexed="64"/>
      </patternFill>
    </fill>
    <fill>
      <patternFill patternType="solid">
        <fgColor rgb="FFBCC8D7"/>
        <bgColor indexed="64"/>
      </patternFill>
    </fill>
    <fill>
      <patternFill patternType="solid">
        <fgColor rgb="FFC6D0DF"/>
        <bgColor indexed="64"/>
      </patternFill>
    </fill>
    <fill>
      <patternFill patternType="solid">
        <fgColor rgb="FF294E7F"/>
        <bgColor indexed="64"/>
      </patternFill>
    </fill>
    <fill>
      <patternFill patternType="solid">
        <fgColor rgb="FF294D7F"/>
        <bgColor indexed="64"/>
      </patternFill>
    </fill>
    <fill>
      <patternFill patternType="solid">
        <fgColor rgb="FF375583"/>
        <bgColor indexed="64"/>
      </patternFill>
    </fill>
    <fill>
      <patternFill patternType="solid">
        <fgColor rgb="FF3C5985"/>
        <bgColor indexed="64"/>
      </patternFill>
    </fill>
    <fill>
      <patternFill patternType="solid">
        <fgColor rgb="FF445E88"/>
        <bgColor indexed="64"/>
      </patternFill>
    </fill>
    <fill>
      <patternFill patternType="solid">
        <fgColor rgb="FF3B5885"/>
        <bgColor indexed="64"/>
      </patternFill>
    </fill>
    <fill>
      <patternFill patternType="solid">
        <fgColor rgb="FF405B87"/>
        <bgColor indexed="64"/>
      </patternFill>
    </fill>
    <fill>
      <patternFill patternType="solid">
        <fgColor rgb="FF4B638C"/>
        <bgColor indexed="64"/>
      </patternFill>
    </fill>
    <fill>
      <patternFill patternType="solid">
        <fgColor rgb="FF4B638B"/>
        <bgColor indexed="64"/>
      </patternFill>
    </fill>
    <fill>
      <patternFill patternType="solid">
        <fgColor rgb="FF3A5885"/>
        <bgColor indexed="64"/>
      </patternFill>
    </fill>
    <fill>
      <patternFill patternType="solid">
        <fgColor rgb="FF47608A"/>
        <bgColor indexed="64"/>
      </patternFill>
    </fill>
    <fill>
      <patternFill patternType="solid">
        <fgColor rgb="FF586D92"/>
        <bgColor indexed="64"/>
      </patternFill>
    </fill>
    <fill>
      <patternFill patternType="solid">
        <fgColor rgb="FF5A6E93"/>
        <bgColor indexed="64"/>
      </patternFill>
    </fill>
    <fill>
      <patternFill patternType="solid">
        <fgColor rgb="FF5B6F93"/>
        <bgColor indexed="64"/>
      </patternFill>
    </fill>
    <fill>
      <patternFill patternType="solid">
        <fgColor rgb="FF687A9B"/>
        <bgColor indexed="64"/>
      </patternFill>
    </fill>
    <fill>
      <patternFill patternType="solid">
        <fgColor rgb="FF536A8F"/>
        <bgColor indexed="64"/>
      </patternFill>
    </fill>
    <fill>
      <patternFill patternType="solid">
        <fgColor rgb="FF51688E"/>
        <bgColor indexed="64"/>
      </patternFill>
    </fill>
    <fill>
      <patternFill patternType="solid">
        <fgColor rgb="FF637698"/>
        <bgColor indexed="64"/>
      </patternFill>
    </fill>
    <fill>
      <patternFill patternType="solid">
        <fgColor rgb="FF5E7295"/>
        <bgColor indexed="64"/>
      </patternFill>
    </fill>
    <fill>
      <patternFill patternType="solid">
        <fgColor rgb="FF8190AB"/>
        <bgColor indexed="64"/>
      </patternFill>
    </fill>
    <fill>
      <patternFill patternType="solid">
        <fgColor rgb="FF8392AC"/>
        <bgColor indexed="64"/>
      </patternFill>
    </fill>
    <fill>
      <patternFill patternType="solid">
        <fgColor rgb="FF7787A4"/>
        <bgColor indexed="64"/>
      </patternFill>
    </fill>
    <fill>
      <patternFill patternType="solid">
        <fgColor rgb="FF8291AB"/>
        <bgColor indexed="64"/>
      </patternFill>
    </fill>
    <fill>
      <patternFill patternType="solid">
        <fgColor rgb="FF7E8DA9"/>
        <bgColor indexed="64"/>
      </patternFill>
    </fill>
    <fill>
      <patternFill patternType="solid">
        <fgColor rgb="FF92A0B7"/>
        <bgColor indexed="64"/>
      </patternFill>
    </fill>
    <fill>
      <patternFill patternType="solid">
        <fgColor rgb="FF8F9CB4"/>
        <bgColor indexed="64"/>
      </patternFill>
    </fill>
    <fill>
      <patternFill patternType="solid">
        <fgColor rgb="FF8E9CB4"/>
        <bgColor indexed="64"/>
      </patternFill>
    </fill>
    <fill>
      <patternFill patternType="solid">
        <fgColor rgb="FF96A3B9"/>
        <bgColor indexed="64"/>
      </patternFill>
    </fill>
    <fill>
      <patternFill patternType="solid">
        <fgColor rgb="FF8795AF"/>
        <bgColor indexed="64"/>
      </patternFill>
    </fill>
    <fill>
      <patternFill patternType="solid">
        <fgColor rgb="FF95A3B9"/>
        <bgColor indexed="64"/>
      </patternFill>
    </fill>
    <fill>
      <patternFill patternType="solid">
        <fgColor rgb="FF94A2B8"/>
        <bgColor indexed="64"/>
      </patternFill>
    </fill>
    <fill>
      <patternFill patternType="solid">
        <fgColor rgb="FF97A5BB"/>
        <bgColor indexed="64"/>
      </patternFill>
    </fill>
    <fill>
      <patternFill patternType="solid">
        <fgColor rgb="FF919EB6"/>
        <bgColor indexed="64"/>
      </patternFill>
    </fill>
    <fill>
      <patternFill patternType="solid">
        <fgColor rgb="FF9AA7BC"/>
        <bgColor indexed="64"/>
      </patternFill>
    </fill>
    <fill>
      <patternFill patternType="solid">
        <fgColor rgb="FF9EAABF"/>
        <bgColor indexed="64"/>
      </patternFill>
    </fill>
    <fill>
      <patternFill patternType="solid">
        <fgColor rgb="FF95A2B8"/>
        <bgColor indexed="64"/>
      </patternFill>
    </fill>
    <fill>
      <patternFill patternType="solid">
        <fgColor rgb="FF8694AE"/>
        <bgColor indexed="64"/>
      </patternFill>
    </fill>
    <fill>
      <patternFill patternType="solid">
        <fgColor rgb="FF8A98B0"/>
        <bgColor indexed="64"/>
      </patternFill>
    </fill>
    <fill>
      <patternFill patternType="solid">
        <fgColor rgb="FF9CA8BE"/>
        <bgColor indexed="64"/>
      </patternFill>
    </fill>
    <fill>
      <patternFill patternType="solid">
        <fgColor rgb="FF8F9DB4"/>
        <bgColor indexed="64"/>
      </patternFill>
    </fill>
    <fill>
      <patternFill patternType="solid">
        <fgColor rgb="FF9EABC0"/>
        <bgColor indexed="64"/>
      </patternFill>
    </fill>
    <fill>
      <patternFill patternType="solid">
        <fgColor rgb="FF7182A0"/>
        <bgColor indexed="64"/>
      </patternFill>
    </fill>
    <fill>
      <patternFill patternType="solid">
        <fgColor rgb="FFCFD9E6"/>
        <bgColor indexed="64"/>
      </patternFill>
    </fill>
    <fill>
      <patternFill patternType="solid">
        <fgColor rgb="FFBEC9D8"/>
        <bgColor indexed="64"/>
      </patternFill>
    </fill>
    <fill>
      <patternFill patternType="solid">
        <fgColor rgb="FFB0BCCD"/>
        <bgColor indexed="64"/>
      </patternFill>
    </fill>
    <fill>
      <patternFill patternType="solid">
        <fgColor rgb="FFA7B4C7"/>
        <bgColor indexed="64"/>
      </patternFill>
    </fill>
    <fill>
      <patternFill patternType="solid">
        <fgColor rgb="FFACB8CB"/>
        <bgColor indexed="64"/>
      </patternFill>
    </fill>
    <fill>
      <patternFill patternType="solid">
        <fgColor rgb="FF93A1B8"/>
        <bgColor indexed="64"/>
      </patternFill>
    </fill>
    <fill>
      <patternFill patternType="solid">
        <fgColor rgb="FFA7B3C6"/>
        <bgColor indexed="64"/>
      </patternFill>
    </fill>
    <fill>
      <patternFill patternType="solid">
        <fgColor rgb="FFB9C4D5"/>
        <bgColor indexed="64"/>
      </patternFill>
    </fill>
    <fill>
      <patternFill patternType="solid">
        <fgColor rgb="FFA6B3C6"/>
        <bgColor indexed="64"/>
      </patternFill>
    </fill>
    <fill>
      <patternFill patternType="solid">
        <fgColor rgb="FF254C7E"/>
        <bgColor indexed="64"/>
      </patternFill>
    </fill>
    <fill>
      <patternFill patternType="solid">
        <fgColor rgb="FF274C7F"/>
        <bgColor indexed="64"/>
      </patternFill>
    </fill>
    <fill>
      <patternFill patternType="solid">
        <fgColor rgb="FF274D7F"/>
        <bgColor indexed="64"/>
      </patternFill>
    </fill>
    <fill>
      <patternFill patternType="solid">
        <fgColor rgb="FF254B7E"/>
        <bgColor indexed="64"/>
      </patternFill>
    </fill>
    <fill>
      <patternFill patternType="solid">
        <fgColor rgb="FF284D7F"/>
        <bgColor indexed="64"/>
      </patternFill>
    </fill>
    <fill>
      <patternFill patternType="solid">
        <fgColor rgb="FF2F5181"/>
        <bgColor indexed="64"/>
      </patternFill>
    </fill>
    <fill>
      <patternFill patternType="solid">
        <fgColor rgb="FF335382"/>
        <bgColor indexed="64"/>
      </patternFill>
    </fill>
    <fill>
      <patternFill patternType="solid">
        <fgColor rgb="FF325282"/>
        <bgColor indexed="64"/>
      </patternFill>
    </fill>
    <fill>
      <patternFill patternType="solid">
        <fgColor rgb="FF385684"/>
        <bgColor indexed="64"/>
      </patternFill>
    </fill>
    <fill>
      <patternFill patternType="solid">
        <fgColor rgb="FF3C5885"/>
        <bgColor indexed="64"/>
      </patternFill>
    </fill>
    <fill>
      <patternFill patternType="solid">
        <fgColor rgb="FF455F89"/>
        <bgColor indexed="64"/>
      </patternFill>
    </fill>
    <fill>
      <patternFill patternType="solid">
        <fgColor rgb="FF48618A"/>
        <bgColor indexed="64"/>
      </patternFill>
    </fill>
    <fill>
      <patternFill patternType="solid">
        <fgColor rgb="FF4C648C"/>
        <bgColor indexed="64"/>
      </patternFill>
    </fill>
    <fill>
      <patternFill patternType="solid">
        <fgColor rgb="FF5D7194"/>
        <bgColor indexed="64"/>
      </patternFill>
    </fill>
    <fill>
      <patternFill patternType="solid">
        <fgColor rgb="FF6F809F"/>
        <bgColor indexed="64"/>
      </patternFill>
    </fill>
    <fill>
      <patternFill patternType="solid">
        <fgColor rgb="FF7B8BA7"/>
        <bgColor indexed="64"/>
      </patternFill>
    </fill>
    <fill>
      <patternFill patternType="solid">
        <fgColor rgb="FF264C7F"/>
        <bgColor indexed="64"/>
      </patternFill>
    </fill>
    <fill>
      <patternFill patternType="solid">
        <fgColor rgb="FF2A4E80"/>
        <bgColor indexed="64"/>
      </patternFill>
    </fill>
    <fill>
      <patternFill patternType="solid">
        <fgColor rgb="FF2E5081"/>
        <bgColor indexed="64"/>
      </patternFill>
    </fill>
    <fill>
      <patternFill patternType="solid">
        <fgColor rgb="FF305181"/>
        <bgColor indexed="64"/>
      </patternFill>
    </fill>
    <fill>
      <patternFill patternType="solid">
        <fgColor rgb="FF3E5A86"/>
        <bgColor indexed="64"/>
      </patternFill>
    </fill>
    <fill>
      <patternFill patternType="solid">
        <fgColor rgb="FF617496"/>
        <bgColor indexed="64"/>
      </patternFill>
    </fill>
    <fill>
      <patternFill patternType="solid">
        <fgColor rgb="FF6A7C9C"/>
        <bgColor indexed="64"/>
      </patternFill>
    </fill>
    <fill>
      <patternFill patternType="solid">
        <fgColor rgb="FF8997B0"/>
        <bgColor indexed="64"/>
      </patternFill>
    </fill>
    <fill>
      <patternFill patternType="solid">
        <fgColor rgb="FF8896AF"/>
        <bgColor indexed="64"/>
      </patternFill>
    </fill>
    <fill>
      <patternFill patternType="solid">
        <fgColor rgb="FF93A1B7"/>
        <bgColor indexed="64"/>
      </patternFill>
    </fill>
    <fill>
      <patternFill patternType="solid">
        <fgColor rgb="FFA3B0C3"/>
        <bgColor indexed="64"/>
      </patternFill>
    </fill>
    <fill>
      <patternFill patternType="solid">
        <fgColor rgb="FFC6D1DF"/>
        <bgColor indexed="64"/>
      </patternFill>
    </fill>
    <fill>
      <patternFill patternType="solid">
        <fgColor rgb="FFC7D2E0"/>
        <bgColor indexed="64"/>
      </patternFill>
    </fill>
    <fill>
      <patternFill patternType="solid">
        <fgColor rgb="FFC5D0DF"/>
        <bgColor indexed="64"/>
      </patternFill>
    </fill>
    <fill>
      <patternFill patternType="solid">
        <fgColor rgb="FFC8D3E1"/>
        <bgColor indexed="64"/>
      </patternFill>
    </fill>
    <fill>
      <patternFill patternType="solid">
        <fgColor rgb="FFC3CDDC"/>
        <bgColor indexed="64"/>
      </patternFill>
    </fill>
    <fill>
      <patternFill patternType="solid">
        <fgColor rgb="FFC9D3E2"/>
        <bgColor indexed="64"/>
      </patternFill>
    </fill>
    <fill>
      <patternFill patternType="solid">
        <fgColor rgb="FFC8D2E1"/>
        <bgColor indexed="64"/>
      </patternFill>
    </fill>
    <fill>
      <patternFill patternType="solid">
        <fgColor rgb="FFCAD4E2"/>
        <bgColor indexed="64"/>
      </patternFill>
    </fill>
    <fill>
      <patternFill patternType="solid">
        <fgColor rgb="FFC1CBDB"/>
        <bgColor indexed="64"/>
      </patternFill>
    </fill>
    <fill>
      <patternFill patternType="solid">
        <fgColor rgb="FFD7E2EE"/>
        <bgColor indexed="64"/>
      </patternFill>
    </fill>
    <fill>
      <patternFill patternType="solid">
        <fgColor rgb="FF2B4E80"/>
        <bgColor indexed="64"/>
      </patternFill>
    </fill>
    <fill>
      <patternFill patternType="solid">
        <fgColor rgb="FF325382"/>
        <bgColor indexed="64"/>
      </patternFill>
    </fill>
    <fill>
      <patternFill patternType="solid">
        <fgColor rgb="FF395784"/>
        <bgColor indexed="64"/>
      </patternFill>
    </fill>
    <fill>
      <patternFill patternType="solid">
        <fgColor rgb="FF3D5986"/>
        <bgColor indexed="64"/>
      </patternFill>
    </fill>
    <fill>
      <patternFill patternType="solid">
        <fgColor rgb="FF3D5985"/>
        <bgColor indexed="64"/>
      </patternFill>
    </fill>
    <fill>
      <patternFill patternType="solid">
        <fgColor rgb="FF3F5B86"/>
        <bgColor indexed="64"/>
      </patternFill>
    </fill>
    <fill>
      <patternFill patternType="solid">
        <fgColor rgb="FF596E92"/>
        <bgColor indexed="64"/>
      </patternFill>
    </fill>
    <fill>
      <patternFill patternType="solid">
        <fgColor rgb="FF808FAA"/>
        <bgColor indexed="64"/>
      </patternFill>
    </fill>
    <fill>
      <patternFill patternType="solid">
        <fgColor rgb="FFC6D9F0"/>
        <bgColor indexed="64"/>
      </patternFill>
    </fill>
    <fill>
      <patternFill patternType="solid">
        <fgColor rgb="FFBCCFE7"/>
        <bgColor indexed="64"/>
      </patternFill>
    </fill>
    <fill>
      <patternFill patternType="solid">
        <fgColor rgb="FF8DA1BD"/>
        <bgColor indexed="64"/>
      </patternFill>
    </fill>
    <fill>
      <patternFill patternType="solid">
        <fgColor rgb="FF889CB9"/>
        <bgColor indexed="64"/>
      </patternFill>
    </fill>
    <fill>
      <patternFill patternType="solid">
        <fgColor rgb="FF8498B6"/>
        <bgColor indexed="64"/>
      </patternFill>
    </fill>
    <fill>
      <patternFill patternType="solid">
        <fgColor rgb="FF879AB8"/>
        <bgColor indexed="64"/>
      </patternFill>
    </fill>
    <fill>
      <patternFill patternType="solid">
        <fgColor rgb="FF92A6C2"/>
        <bgColor indexed="64"/>
      </patternFill>
    </fill>
    <fill>
      <patternFill patternType="solid">
        <fgColor rgb="FF98ABC7"/>
        <bgColor indexed="64"/>
      </patternFill>
    </fill>
    <fill>
      <patternFill patternType="solid">
        <fgColor rgb="FF8599B7"/>
        <bgColor indexed="64"/>
      </patternFill>
    </fill>
    <fill>
      <patternFill patternType="solid">
        <fgColor rgb="FF899DBA"/>
        <bgColor indexed="64"/>
      </patternFill>
    </fill>
    <fill>
      <patternFill patternType="solid">
        <fgColor rgb="FF869AB8"/>
        <bgColor indexed="64"/>
      </patternFill>
    </fill>
    <fill>
      <patternFill patternType="solid">
        <fgColor rgb="FF6B81A3"/>
        <bgColor indexed="64"/>
      </patternFill>
    </fill>
    <fill>
      <patternFill patternType="solid">
        <fgColor rgb="FF8DA1BE"/>
        <bgColor indexed="64"/>
      </patternFill>
    </fill>
    <fill>
      <patternFill patternType="solid">
        <fgColor rgb="FF9BAEC9"/>
        <bgColor indexed="64"/>
      </patternFill>
    </fill>
    <fill>
      <patternFill patternType="solid">
        <fgColor rgb="FFB4C7DF"/>
        <bgColor indexed="64"/>
      </patternFill>
    </fill>
    <fill>
      <patternFill patternType="solid">
        <fgColor rgb="FF99ACC8"/>
        <bgColor indexed="64"/>
      </patternFill>
    </fill>
    <fill>
      <patternFill patternType="solid">
        <fgColor rgb="FFAFC2DB"/>
        <bgColor indexed="64"/>
      </patternFill>
    </fill>
    <fill>
      <patternFill patternType="solid">
        <fgColor rgb="FF758AAB"/>
        <bgColor indexed="64"/>
      </patternFill>
    </fill>
    <fill>
      <patternFill patternType="solid">
        <fgColor rgb="FF9CAFCA"/>
        <bgColor indexed="64"/>
      </patternFill>
    </fill>
    <fill>
      <patternFill patternType="solid">
        <fgColor rgb="FFA4B7D1"/>
        <bgColor indexed="64"/>
      </patternFill>
    </fill>
    <fill>
      <patternFill patternType="solid">
        <fgColor rgb="FF8FA2BF"/>
        <bgColor indexed="64"/>
      </patternFill>
    </fill>
    <fill>
      <patternFill patternType="solid">
        <fgColor rgb="FFA6B9D3"/>
        <bgColor indexed="64"/>
      </patternFill>
    </fill>
    <fill>
      <patternFill patternType="solid">
        <fgColor rgb="FF8A9DBA"/>
        <bgColor indexed="64"/>
      </patternFill>
    </fill>
    <fill>
      <patternFill patternType="solid">
        <fgColor rgb="FF95A9C4"/>
        <bgColor indexed="64"/>
      </patternFill>
    </fill>
    <fill>
      <patternFill patternType="solid">
        <fgColor rgb="FF8094B2"/>
        <bgColor indexed="64"/>
      </patternFill>
    </fill>
    <fill>
      <patternFill patternType="solid">
        <fgColor rgb="FFABBED7"/>
        <bgColor indexed="64"/>
      </patternFill>
    </fill>
    <fill>
      <patternFill patternType="solid">
        <fgColor rgb="FFAABCD6"/>
        <bgColor indexed="64"/>
      </patternFill>
    </fill>
    <fill>
      <patternFill patternType="solid">
        <fgColor rgb="FFB7CAE2"/>
        <bgColor indexed="64"/>
      </patternFill>
    </fill>
    <fill>
      <patternFill patternType="solid">
        <fgColor rgb="FFC2D5ED"/>
        <bgColor indexed="64"/>
      </patternFill>
    </fill>
    <fill>
      <patternFill patternType="solid">
        <fgColor rgb="FFB8CBE3"/>
        <bgColor indexed="64"/>
      </patternFill>
    </fill>
    <fill>
      <patternFill patternType="solid">
        <fgColor rgb="FFAEC1DA"/>
        <bgColor indexed="64"/>
      </patternFill>
    </fill>
    <fill>
      <patternFill patternType="solid">
        <fgColor rgb="FFC1D4EB"/>
        <bgColor indexed="64"/>
      </patternFill>
    </fill>
    <fill>
      <patternFill patternType="solid">
        <fgColor rgb="FFC3D6ED"/>
        <bgColor indexed="64"/>
      </patternFill>
    </fill>
    <fill>
      <patternFill patternType="solid">
        <fgColor rgb="FFBED0E8"/>
        <bgColor indexed="64"/>
      </patternFill>
    </fill>
    <fill>
      <patternFill patternType="solid">
        <fgColor rgb="FFBED1E8"/>
        <bgColor indexed="64"/>
      </patternFill>
    </fill>
    <fill>
      <patternFill patternType="solid">
        <fgColor rgb="FFBBCEE6"/>
        <bgColor indexed="64"/>
      </patternFill>
    </fill>
    <fill>
      <patternFill patternType="solid">
        <fgColor rgb="FFB9CCE4"/>
        <bgColor indexed="64"/>
      </patternFill>
    </fill>
    <fill>
      <patternFill patternType="solid">
        <fgColor rgb="FF9FB2CC"/>
        <bgColor indexed="64"/>
      </patternFill>
    </fill>
    <fill>
      <patternFill patternType="solid">
        <fgColor rgb="FFDDEBF7"/>
        <bgColor indexed="64"/>
      </patternFill>
    </fill>
    <fill>
      <patternFill patternType="solid">
        <fgColor rgb="FF5B7398"/>
        <bgColor indexed="64"/>
      </patternFill>
    </fill>
    <fill>
      <patternFill patternType="solid">
        <fgColor rgb="FF647A9E"/>
        <bgColor indexed="64"/>
      </patternFill>
    </fill>
    <fill>
      <patternFill patternType="solid">
        <fgColor rgb="FF667C9F"/>
        <bgColor indexed="64"/>
      </patternFill>
    </fill>
    <fill>
      <patternFill patternType="solid">
        <fgColor rgb="FF687EA1"/>
        <bgColor indexed="64"/>
      </patternFill>
    </fill>
    <fill>
      <patternFill patternType="solid">
        <fgColor rgb="FF7C8CA8"/>
        <bgColor indexed="64"/>
      </patternFill>
    </fill>
    <fill>
      <patternFill patternType="solid">
        <fgColor rgb="FFCC99FF"/>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right style="thin">
        <color indexed="64"/>
      </right>
      <top style="thin">
        <color indexed="64"/>
      </top>
      <bottom style="medium">
        <color indexed="64"/>
      </bottom>
      <diagonal/>
    </border>
  </borders>
  <cellStyleXfs count="1">
    <xf numFmtId="0" fontId="0" fillId="0" borderId="0"/>
  </cellStyleXfs>
  <cellXfs count="579">
    <xf numFmtId="0" fontId="0" fillId="0" borderId="0" xfId="0"/>
    <xf numFmtId="0" fontId="1" fillId="2" borderId="1" xfId="0" applyFont="1" applyFill="1" applyBorder="1" applyAlignment="1">
      <alignment horizontal="center"/>
    </xf>
    <xf numFmtId="17" fontId="2" fillId="0" borderId="2" xfId="0" applyNumberFormat="1" applyFont="1" applyBorder="1" applyAlignment="1">
      <alignment horizontal="center"/>
    </xf>
    <xf numFmtId="0" fontId="4" fillId="3" borderId="1" xfId="0" applyFont="1" applyFill="1" applyBorder="1" applyAlignment="1">
      <alignment horizontal="center"/>
    </xf>
    <xf numFmtId="0" fontId="4" fillId="4" borderId="1" xfId="0" applyFont="1" applyFill="1" applyBorder="1" applyAlignment="1">
      <alignment horizontal="center"/>
    </xf>
    <xf numFmtId="0" fontId="1" fillId="2" borderId="5" xfId="0" applyFont="1" applyFill="1" applyBorder="1" applyAlignment="1">
      <alignment horizontal="center"/>
    </xf>
    <xf numFmtId="0" fontId="4" fillId="5" borderId="1" xfId="0" applyFont="1" applyFill="1" applyBorder="1" applyAlignment="1">
      <alignment horizontal="center"/>
    </xf>
    <xf numFmtId="0" fontId="0" fillId="0" borderId="7" xfId="0" applyBorder="1"/>
    <xf numFmtId="0" fontId="1" fillId="2" borderId="9" xfId="0" applyFont="1" applyFill="1" applyBorder="1" applyAlignment="1">
      <alignment horizontal="center"/>
    </xf>
    <xf numFmtId="0" fontId="5" fillId="0" borderId="11" xfId="0" applyFont="1" applyBorder="1"/>
    <xf numFmtId="0" fontId="6" fillId="0" borderId="0" xfId="0" applyFont="1"/>
    <xf numFmtId="0" fontId="5" fillId="0" borderId="12" xfId="0" applyFont="1" applyBorder="1"/>
    <xf numFmtId="0" fontId="4" fillId="3" borderId="9" xfId="0" applyFont="1" applyFill="1" applyBorder="1" applyAlignment="1">
      <alignment horizontal="center"/>
    </xf>
    <xf numFmtId="0" fontId="1" fillId="2" borderId="13" xfId="0" applyFont="1" applyFill="1" applyBorder="1" applyAlignment="1">
      <alignment horizontal="center"/>
    </xf>
    <xf numFmtId="17" fontId="5" fillId="6" borderId="7" xfId="0" applyNumberFormat="1" applyFont="1" applyFill="1" applyBorder="1"/>
    <xf numFmtId="2" fontId="0" fillId="0" borderId="0" xfId="0" applyNumberFormat="1"/>
    <xf numFmtId="0" fontId="7" fillId="0" borderId="0" xfId="0" applyFont="1" applyAlignment="1">
      <alignment horizontal="center"/>
    </xf>
    <xf numFmtId="0" fontId="5" fillId="0" borderId="0" xfId="0" applyFont="1"/>
    <xf numFmtId="0" fontId="5" fillId="0" borderId="1" xfId="0" applyFont="1" applyBorder="1"/>
    <xf numFmtId="0" fontId="7" fillId="0" borderId="15" xfId="0" applyFont="1" applyBorder="1" applyAlignment="1">
      <alignment horizontal="center"/>
    </xf>
    <xf numFmtId="0" fontId="7" fillId="0" borderId="16" xfId="0" applyFont="1" applyBorder="1" applyAlignment="1">
      <alignment horizontal="center"/>
    </xf>
    <xf numFmtId="0" fontId="7" fillId="0" borderId="18" xfId="0" applyFont="1" applyBorder="1" applyAlignment="1">
      <alignment horizontal="center"/>
    </xf>
    <xf numFmtId="0" fontId="5" fillId="0" borderId="8" xfId="0" applyFont="1" applyBorder="1"/>
    <xf numFmtId="0" fontId="5" fillId="0" borderId="21" xfId="0" applyFont="1" applyBorder="1"/>
    <xf numFmtId="0" fontId="7" fillId="0" borderId="14" xfId="0" applyFont="1" applyBorder="1"/>
    <xf numFmtId="0" fontId="7" fillId="0" borderId="15" xfId="0" applyFont="1" applyBorder="1"/>
    <xf numFmtId="0" fontId="7" fillId="0" borderId="17" xfId="0" applyFont="1" applyBorder="1"/>
    <xf numFmtId="0" fontId="7" fillId="0" borderId="0" xfId="0" applyFont="1"/>
    <xf numFmtId="0" fontId="7" fillId="0" borderId="19" xfId="0" applyFont="1" applyBorder="1"/>
    <xf numFmtId="0" fontId="7" fillId="0" borderId="20" xfId="0" applyFont="1" applyBorder="1"/>
    <xf numFmtId="17" fontId="0" fillId="0" borderId="0" xfId="0" applyNumberFormat="1"/>
    <xf numFmtId="17" fontId="2" fillId="0" borderId="23" xfId="0" applyNumberFormat="1" applyFont="1" applyBorder="1" applyAlignment="1">
      <alignment horizontal="center"/>
    </xf>
    <xf numFmtId="17" fontId="2" fillId="7" borderId="2" xfId="0" applyNumberFormat="1" applyFont="1" applyFill="1" applyBorder="1" applyAlignment="1">
      <alignment horizontal="center"/>
    </xf>
    <xf numFmtId="0" fontId="8" fillId="0" borderId="0" xfId="0" applyFont="1" applyAlignment="1">
      <alignment horizontal="center"/>
    </xf>
    <xf numFmtId="0" fontId="0" fillId="0" borderId="25" xfId="0" applyBorder="1"/>
    <xf numFmtId="0" fontId="7" fillId="0" borderId="3" xfId="0" applyFont="1" applyBorder="1"/>
    <xf numFmtId="0" fontId="7" fillId="0" borderId="26" xfId="0" applyFont="1" applyBorder="1"/>
    <xf numFmtId="14" fontId="7" fillId="0" borderId="26" xfId="0" applyNumberFormat="1" applyFont="1" applyBorder="1"/>
    <xf numFmtId="0" fontId="7" fillId="6" borderId="26" xfId="0" applyFont="1" applyFill="1" applyBorder="1"/>
    <xf numFmtId="0" fontId="5" fillId="0" borderId="0" xfId="0" applyFont="1" applyAlignment="1">
      <alignment vertical="center" textRotation="90"/>
    </xf>
    <xf numFmtId="0" fontId="7" fillId="7" borderId="26" xfId="0" applyFont="1" applyFill="1" applyBorder="1"/>
    <xf numFmtId="17" fontId="0" fillId="0" borderId="7" xfId="0" applyNumberFormat="1" applyBorder="1"/>
    <xf numFmtId="0" fontId="1" fillId="0" borderId="5" xfId="0" applyFont="1" applyBorder="1" applyAlignment="1">
      <alignment horizontal="center"/>
    </xf>
    <xf numFmtId="0" fontId="1" fillId="0" borderId="13" xfId="0" applyFont="1" applyBorder="1" applyAlignment="1">
      <alignment horizontal="center"/>
    </xf>
    <xf numFmtId="0" fontId="4" fillId="0" borderId="1" xfId="0" applyFont="1" applyBorder="1" applyAlignment="1">
      <alignment horizontal="center"/>
    </xf>
    <xf numFmtId="0" fontId="4" fillId="0" borderId="9" xfId="0" applyFont="1" applyBorder="1" applyAlignment="1">
      <alignment horizontal="center"/>
    </xf>
    <xf numFmtId="0" fontId="1" fillId="0" borderId="1" xfId="0" applyFont="1" applyBorder="1" applyAlignment="1">
      <alignment horizontal="center"/>
    </xf>
    <xf numFmtId="0" fontId="1" fillId="0" borderId="9" xfId="0" applyFont="1" applyBorder="1" applyAlignment="1">
      <alignment horizontal="center"/>
    </xf>
    <xf numFmtId="0" fontId="1" fillId="0" borderId="6" xfId="0" applyFont="1" applyBorder="1" applyAlignment="1">
      <alignment horizontal="center"/>
    </xf>
    <xf numFmtId="0" fontId="1" fillId="0" borderId="24" xfId="0" applyFont="1" applyBorder="1" applyAlignment="1">
      <alignment horizontal="center"/>
    </xf>
    <xf numFmtId="17" fontId="2" fillId="0" borderId="29" xfId="0" applyNumberFormat="1" applyFont="1" applyBorder="1" applyAlignment="1">
      <alignment horizontal="center"/>
    </xf>
    <xf numFmtId="0" fontId="4" fillId="4" borderId="9" xfId="0" applyFont="1" applyFill="1" applyBorder="1" applyAlignment="1">
      <alignment horizontal="center"/>
    </xf>
    <xf numFmtId="0" fontId="1" fillId="8" borderId="1" xfId="0" applyFont="1" applyFill="1" applyBorder="1" applyAlignment="1">
      <alignment horizontal="center"/>
    </xf>
    <xf numFmtId="0" fontId="1" fillId="9" borderId="1" xfId="0" applyFont="1" applyFill="1" applyBorder="1" applyAlignment="1">
      <alignment horizontal="center"/>
    </xf>
    <xf numFmtId="0" fontId="1" fillId="10" borderId="1" xfId="0" applyFont="1" applyFill="1" applyBorder="1" applyAlignment="1">
      <alignment horizontal="center"/>
    </xf>
    <xf numFmtId="0" fontId="1" fillId="11" borderId="1" xfId="0" applyFont="1" applyFill="1" applyBorder="1" applyAlignment="1">
      <alignment horizontal="center"/>
    </xf>
    <xf numFmtId="0" fontId="1" fillId="12" borderId="1" xfId="0" applyFont="1" applyFill="1" applyBorder="1" applyAlignment="1">
      <alignment horizontal="center"/>
    </xf>
    <xf numFmtId="0" fontId="1" fillId="13" borderId="1" xfId="0" applyFont="1" applyFill="1" applyBorder="1" applyAlignment="1">
      <alignment horizontal="center"/>
    </xf>
    <xf numFmtId="0" fontId="1" fillId="14" borderId="1" xfId="0" applyFont="1" applyFill="1" applyBorder="1" applyAlignment="1">
      <alignment horizontal="center"/>
    </xf>
    <xf numFmtId="0" fontId="1" fillId="15" borderId="1" xfId="0" applyFont="1" applyFill="1" applyBorder="1" applyAlignment="1">
      <alignment horizontal="center"/>
    </xf>
    <xf numFmtId="0" fontId="1" fillId="16" borderId="1" xfId="0" applyFont="1" applyFill="1" applyBorder="1" applyAlignment="1">
      <alignment horizontal="center"/>
    </xf>
    <xf numFmtId="0" fontId="1" fillId="17" borderId="1" xfId="0" applyFont="1" applyFill="1" applyBorder="1" applyAlignment="1">
      <alignment horizontal="center"/>
    </xf>
    <xf numFmtId="0" fontId="1" fillId="18" borderId="1" xfId="0" applyFont="1" applyFill="1" applyBorder="1" applyAlignment="1">
      <alignment horizontal="center"/>
    </xf>
    <xf numFmtId="0" fontId="1" fillId="19" borderId="1" xfId="0" applyFont="1" applyFill="1" applyBorder="1" applyAlignment="1">
      <alignment horizontal="center"/>
    </xf>
    <xf numFmtId="0" fontId="1" fillId="20" borderId="1" xfId="0" applyFont="1" applyFill="1" applyBorder="1" applyAlignment="1">
      <alignment horizontal="center"/>
    </xf>
    <xf numFmtId="0" fontId="1" fillId="21" borderId="1" xfId="0" applyFont="1" applyFill="1" applyBorder="1" applyAlignment="1">
      <alignment horizontal="center"/>
    </xf>
    <xf numFmtId="0" fontId="1" fillId="22" borderId="1" xfId="0" applyFont="1" applyFill="1" applyBorder="1" applyAlignment="1">
      <alignment horizontal="center"/>
    </xf>
    <xf numFmtId="0" fontId="1" fillId="23" borderId="1" xfId="0" applyFont="1" applyFill="1" applyBorder="1" applyAlignment="1">
      <alignment horizontal="center"/>
    </xf>
    <xf numFmtId="0" fontId="1" fillId="24" borderId="1" xfId="0" applyFont="1" applyFill="1" applyBorder="1" applyAlignment="1">
      <alignment horizontal="center"/>
    </xf>
    <xf numFmtId="0" fontId="1" fillId="25" borderId="1" xfId="0" applyFont="1" applyFill="1" applyBorder="1" applyAlignment="1">
      <alignment horizontal="center"/>
    </xf>
    <xf numFmtId="0" fontId="1" fillId="26" borderId="1" xfId="0" applyFont="1" applyFill="1" applyBorder="1" applyAlignment="1">
      <alignment horizontal="center"/>
    </xf>
    <xf numFmtId="0" fontId="1" fillId="27" borderId="1" xfId="0" applyFont="1" applyFill="1" applyBorder="1" applyAlignment="1">
      <alignment horizontal="center"/>
    </xf>
    <xf numFmtId="0" fontId="1" fillId="28" borderId="1" xfId="0" applyFont="1" applyFill="1" applyBorder="1" applyAlignment="1">
      <alignment horizontal="center"/>
    </xf>
    <xf numFmtId="0" fontId="1" fillId="29" borderId="1" xfId="0" applyFont="1" applyFill="1" applyBorder="1" applyAlignment="1">
      <alignment horizontal="center"/>
    </xf>
    <xf numFmtId="0" fontId="1" fillId="30" borderId="1" xfId="0" applyFont="1" applyFill="1" applyBorder="1" applyAlignment="1">
      <alignment horizontal="center"/>
    </xf>
    <xf numFmtId="0" fontId="1" fillId="31" borderId="1" xfId="0" applyFont="1" applyFill="1" applyBorder="1" applyAlignment="1">
      <alignment horizontal="center"/>
    </xf>
    <xf numFmtId="0" fontId="1" fillId="32" borderId="1" xfId="0" applyFont="1" applyFill="1" applyBorder="1" applyAlignment="1">
      <alignment horizontal="center"/>
    </xf>
    <xf numFmtId="0" fontId="1" fillId="33" borderId="1" xfId="0" applyFont="1" applyFill="1" applyBorder="1" applyAlignment="1">
      <alignment horizontal="center"/>
    </xf>
    <xf numFmtId="0" fontId="1" fillId="34" borderId="1" xfId="0" applyFont="1" applyFill="1" applyBorder="1" applyAlignment="1">
      <alignment horizontal="center"/>
    </xf>
    <xf numFmtId="0" fontId="1" fillId="35" borderId="1" xfId="0" applyFont="1" applyFill="1" applyBorder="1" applyAlignment="1">
      <alignment horizontal="center"/>
    </xf>
    <xf numFmtId="0" fontId="1" fillId="36" borderId="1" xfId="0" applyFont="1" applyFill="1" applyBorder="1" applyAlignment="1">
      <alignment horizontal="center"/>
    </xf>
    <xf numFmtId="0" fontId="1" fillId="37" borderId="1" xfId="0" applyFont="1" applyFill="1" applyBorder="1" applyAlignment="1">
      <alignment horizontal="center"/>
    </xf>
    <xf numFmtId="0" fontId="1" fillId="38" borderId="1" xfId="0" applyFont="1" applyFill="1" applyBorder="1" applyAlignment="1">
      <alignment horizontal="center"/>
    </xf>
    <xf numFmtId="0" fontId="1" fillId="39" borderId="1" xfId="0" applyFont="1" applyFill="1" applyBorder="1" applyAlignment="1">
      <alignment horizontal="center"/>
    </xf>
    <xf numFmtId="0" fontId="1" fillId="40" borderId="1" xfId="0" applyFont="1" applyFill="1" applyBorder="1" applyAlignment="1">
      <alignment horizontal="center"/>
    </xf>
    <xf numFmtId="0" fontId="1" fillId="41" borderId="1" xfId="0" applyFont="1" applyFill="1" applyBorder="1" applyAlignment="1">
      <alignment horizontal="center"/>
    </xf>
    <xf numFmtId="0" fontId="1" fillId="42" borderId="1" xfId="0" applyFont="1" applyFill="1" applyBorder="1" applyAlignment="1">
      <alignment horizontal="center"/>
    </xf>
    <xf numFmtId="0" fontId="1" fillId="43" borderId="1" xfId="0" applyFont="1" applyFill="1" applyBorder="1" applyAlignment="1">
      <alignment horizontal="center"/>
    </xf>
    <xf numFmtId="0" fontId="1" fillId="44" borderId="1" xfId="0" applyFont="1" applyFill="1" applyBorder="1" applyAlignment="1">
      <alignment horizontal="center"/>
    </xf>
    <xf numFmtId="0" fontId="1" fillId="45" borderId="1" xfId="0" applyFont="1" applyFill="1" applyBorder="1" applyAlignment="1">
      <alignment horizontal="center"/>
    </xf>
    <xf numFmtId="0" fontId="1" fillId="46" borderId="1" xfId="0" applyFont="1" applyFill="1" applyBorder="1" applyAlignment="1">
      <alignment horizontal="center"/>
    </xf>
    <xf numFmtId="0" fontId="1" fillId="47" borderId="1" xfId="0" applyFont="1" applyFill="1" applyBorder="1" applyAlignment="1">
      <alignment horizontal="center"/>
    </xf>
    <xf numFmtId="0" fontId="1" fillId="48" borderId="1" xfId="0" applyFont="1" applyFill="1" applyBorder="1" applyAlignment="1">
      <alignment horizontal="center"/>
    </xf>
    <xf numFmtId="0" fontId="1" fillId="49" borderId="1" xfId="0" applyFont="1" applyFill="1" applyBorder="1" applyAlignment="1">
      <alignment horizontal="center"/>
    </xf>
    <xf numFmtId="0" fontId="1" fillId="50" borderId="1" xfId="0" applyFont="1" applyFill="1" applyBorder="1" applyAlignment="1">
      <alignment horizontal="center"/>
    </xf>
    <xf numFmtId="0" fontId="1" fillId="51" borderId="1" xfId="0" applyFont="1" applyFill="1" applyBorder="1" applyAlignment="1">
      <alignment horizontal="center"/>
    </xf>
    <xf numFmtId="0" fontId="1" fillId="52" borderId="1" xfId="0" applyFont="1" applyFill="1" applyBorder="1" applyAlignment="1">
      <alignment horizontal="center"/>
    </xf>
    <xf numFmtId="0" fontId="1" fillId="53" borderId="1" xfId="0" applyFont="1" applyFill="1" applyBorder="1" applyAlignment="1">
      <alignment horizontal="center"/>
    </xf>
    <xf numFmtId="0" fontId="1" fillId="54" borderId="1" xfId="0" applyFont="1" applyFill="1" applyBorder="1" applyAlignment="1">
      <alignment horizontal="center"/>
    </xf>
    <xf numFmtId="0" fontId="1" fillId="55" borderId="1" xfId="0" applyFont="1" applyFill="1" applyBorder="1" applyAlignment="1">
      <alignment horizontal="center"/>
    </xf>
    <xf numFmtId="0" fontId="1" fillId="56" borderId="1" xfId="0" applyFont="1" applyFill="1" applyBorder="1" applyAlignment="1">
      <alignment horizontal="center"/>
    </xf>
    <xf numFmtId="0" fontId="1" fillId="57" borderId="1" xfId="0" applyFont="1" applyFill="1" applyBorder="1" applyAlignment="1">
      <alignment horizontal="center"/>
    </xf>
    <xf numFmtId="0" fontId="1" fillId="58" borderId="1" xfId="0" applyFont="1" applyFill="1" applyBorder="1" applyAlignment="1">
      <alignment horizontal="center"/>
    </xf>
    <xf numFmtId="0" fontId="1" fillId="59" borderId="1" xfId="0" applyFont="1" applyFill="1" applyBorder="1" applyAlignment="1">
      <alignment horizontal="center"/>
    </xf>
    <xf numFmtId="0" fontId="1" fillId="60" borderId="1" xfId="0" applyFont="1" applyFill="1" applyBorder="1" applyAlignment="1">
      <alignment horizontal="center"/>
    </xf>
    <xf numFmtId="0" fontId="1" fillId="61" borderId="1" xfId="0" applyFont="1" applyFill="1" applyBorder="1" applyAlignment="1">
      <alignment horizontal="center"/>
    </xf>
    <xf numFmtId="0" fontId="1" fillId="62" borderId="1" xfId="0" applyFont="1" applyFill="1" applyBorder="1" applyAlignment="1">
      <alignment horizontal="center"/>
    </xf>
    <xf numFmtId="0" fontId="1" fillId="63" borderId="1" xfId="0" applyFont="1" applyFill="1" applyBorder="1" applyAlignment="1">
      <alignment horizontal="center"/>
    </xf>
    <xf numFmtId="0" fontId="1" fillId="64" borderId="1" xfId="0" applyFont="1" applyFill="1" applyBorder="1" applyAlignment="1">
      <alignment horizontal="center"/>
    </xf>
    <xf numFmtId="0" fontId="1" fillId="65" borderId="1" xfId="0" applyFont="1" applyFill="1" applyBorder="1" applyAlignment="1">
      <alignment horizontal="center"/>
    </xf>
    <xf numFmtId="0" fontId="1" fillId="66" borderId="1" xfId="0" applyFont="1" applyFill="1" applyBorder="1" applyAlignment="1">
      <alignment horizontal="center"/>
    </xf>
    <xf numFmtId="0" fontId="1" fillId="67" borderId="1" xfId="0" applyFont="1" applyFill="1" applyBorder="1" applyAlignment="1">
      <alignment horizontal="center"/>
    </xf>
    <xf numFmtId="0" fontId="1" fillId="68" borderId="1" xfId="0" applyFont="1" applyFill="1" applyBorder="1" applyAlignment="1">
      <alignment horizontal="center"/>
    </xf>
    <xf numFmtId="0" fontId="1" fillId="69" borderId="1" xfId="0" applyFont="1" applyFill="1" applyBorder="1" applyAlignment="1">
      <alignment horizontal="center"/>
    </xf>
    <xf numFmtId="0" fontId="1" fillId="70" borderId="1" xfId="0" applyFont="1" applyFill="1" applyBorder="1" applyAlignment="1">
      <alignment horizontal="center"/>
    </xf>
    <xf numFmtId="0" fontId="1" fillId="71" borderId="1" xfId="0" applyFont="1" applyFill="1" applyBorder="1" applyAlignment="1">
      <alignment horizontal="center"/>
    </xf>
    <xf numFmtId="0" fontId="1" fillId="72" borderId="1" xfId="0" applyFont="1" applyFill="1" applyBorder="1" applyAlignment="1">
      <alignment horizontal="center"/>
    </xf>
    <xf numFmtId="0" fontId="1" fillId="73" borderId="1" xfId="0" applyFont="1" applyFill="1" applyBorder="1" applyAlignment="1">
      <alignment horizontal="center"/>
    </xf>
    <xf numFmtId="0" fontId="1" fillId="74" borderId="1" xfId="0" applyFont="1" applyFill="1" applyBorder="1" applyAlignment="1">
      <alignment horizontal="center"/>
    </xf>
    <xf numFmtId="0" fontId="1" fillId="75" borderId="1" xfId="0" applyFont="1" applyFill="1" applyBorder="1" applyAlignment="1">
      <alignment horizontal="center"/>
    </xf>
    <xf numFmtId="0" fontId="1" fillId="76" borderId="1" xfId="0" applyFont="1" applyFill="1" applyBorder="1" applyAlignment="1">
      <alignment horizontal="center"/>
    </xf>
    <xf numFmtId="0" fontId="1" fillId="77" borderId="1" xfId="0" applyFont="1" applyFill="1" applyBorder="1" applyAlignment="1">
      <alignment horizontal="center"/>
    </xf>
    <xf numFmtId="0" fontId="1" fillId="78" borderId="1" xfId="0" applyFont="1" applyFill="1" applyBorder="1" applyAlignment="1">
      <alignment horizontal="center"/>
    </xf>
    <xf numFmtId="0" fontId="1" fillId="79" borderId="1" xfId="0" applyFont="1" applyFill="1" applyBorder="1" applyAlignment="1">
      <alignment horizontal="center"/>
    </xf>
    <xf numFmtId="0" fontId="1" fillId="80" borderId="1" xfId="0" applyFont="1" applyFill="1" applyBorder="1" applyAlignment="1">
      <alignment horizontal="center"/>
    </xf>
    <xf numFmtId="0" fontId="1" fillId="81" borderId="1" xfId="0" applyFont="1" applyFill="1" applyBorder="1" applyAlignment="1">
      <alignment horizontal="center"/>
    </xf>
    <xf numFmtId="0" fontId="1" fillId="82" borderId="1" xfId="0" applyFont="1" applyFill="1" applyBorder="1" applyAlignment="1">
      <alignment horizontal="center"/>
    </xf>
    <xf numFmtId="0" fontId="1" fillId="83" borderId="1" xfId="0" applyFont="1" applyFill="1" applyBorder="1" applyAlignment="1">
      <alignment horizontal="center"/>
    </xf>
    <xf numFmtId="0" fontId="1" fillId="84" borderId="1" xfId="0" applyFont="1" applyFill="1" applyBorder="1" applyAlignment="1">
      <alignment horizontal="center"/>
    </xf>
    <xf numFmtId="0" fontId="1" fillId="85" borderId="1" xfId="0" applyFont="1" applyFill="1" applyBorder="1" applyAlignment="1">
      <alignment horizontal="center"/>
    </xf>
    <xf numFmtId="0" fontId="1" fillId="86" borderId="1" xfId="0" applyFont="1" applyFill="1" applyBorder="1" applyAlignment="1">
      <alignment horizontal="center"/>
    </xf>
    <xf numFmtId="0" fontId="1" fillId="87" borderId="1" xfId="0" applyFont="1" applyFill="1" applyBorder="1" applyAlignment="1">
      <alignment horizontal="center"/>
    </xf>
    <xf numFmtId="0" fontId="1" fillId="88" borderId="1" xfId="0" applyFont="1" applyFill="1" applyBorder="1" applyAlignment="1">
      <alignment horizontal="center"/>
    </xf>
    <xf numFmtId="0" fontId="1" fillId="89" borderId="1" xfId="0" applyFont="1" applyFill="1" applyBorder="1" applyAlignment="1">
      <alignment horizontal="center"/>
    </xf>
    <xf numFmtId="0" fontId="1" fillId="90" borderId="1" xfId="0" applyFont="1" applyFill="1" applyBorder="1" applyAlignment="1">
      <alignment horizontal="center"/>
    </xf>
    <xf numFmtId="0" fontId="1" fillId="91" borderId="1" xfId="0" applyFont="1" applyFill="1" applyBorder="1" applyAlignment="1">
      <alignment horizontal="center"/>
    </xf>
    <xf numFmtId="0" fontId="1" fillId="92" borderId="1" xfId="0" applyFont="1" applyFill="1" applyBorder="1" applyAlignment="1">
      <alignment horizontal="center"/>
    </xf>
    <xf numFmtId="0" fontId="1" fillId="93" borderId="1" xfId="0" applyFont="1" applyFill="1" applyBorder="1" applyAlignment="1">
      <alignment horizontal="center"/>
    </xf>
    <xf numFmtId="0" fontId="1" fillId="94" borderId="1" xfId="0" applyFont="1" applyFill="1" applyBorder="1" applyAlignment="1">
      <alignment horizontal="center"/>
    </xf>
    <xf numFmtId="0" fontId="1" fillId="95" borderId="1" xfId="0" applyFont="1" applyFill="1" applyBorder="1" applyAlignment="1">
      <alignment horizontal="center"/>
    </xf>
    <xf numFmtId="0" fontId="1" fillId="96" borderId="1" xfId="0" applyFont="1" applyFill="1" applyBorder="1" applyAlignment="1">
      <alignment horizontal="center"/>
    </xf>
    <xf numFmtId="0" fontId="1" fillId="97" borderId="1" xfId="0" applyFont="1" applyFill="1" applyBorder="1" applyAlignment="1">
      <alignment horizontal="center"/>
    </xf>
    <xf numFmtId="0" fontId="1" fillId="98" borderId="1" xfId="0" applyFont="1" applyFill="1" applyBorder="1" applyAlignment="1">
      <alignment horizontal="center"/>
    </xf>
    <xf numFmtId="0" fontId="1" fillId="99" borderId="1" xfId="0" applyFont="1" applyFill="1" applyBorder="1" applyAlignment="1">
      <alignment horizontal="center"/>
    </xf>
    <xf numFmtId="0" fontId="1" fillId="100" borderId="1" xfId="0" applyFont="1" applyFill="1" applyBorder="1" applyAlignment="1">
      <alignment horizontal="center"/>
    </xf>
    <xf numFmtId="0" fontId="1" fillId="101" borderId="1" xfId="0" applyFont="1" applyFill="1" applyBorder="1" applyAlignment="1">
      <alignment horizontal="center"/>
    </xf>
    <xf numFmtId="0" fontId="1" fillId="102" borderId="1" xfId="0" applyFont="1" applyFill="1" applyBorder="1" applyAlignment="1">
      <alignment horizontal="center"/>
    </xf>
    <xf numFmtId="0" fontId="4" fillId="103" borderId="1" xfId="0" applyFont="1" applyFill="1" applyBorder="1" applyAlignment="1">
      <alignment horizontal="center"/>
    </xf>
    <xf numFmtId="0" fontId="1" fillId="104" borderId="1" xfId="0" applyFont="1" applyFill="1" applyBorder="1" applyAlignment="1">
      <alignment horizontal="center"/>
    </xf>
    <xf numFmtId="0" fontId="1" fillId="105" borderId="1" xfId="0" applyFont="1" applyFill="1" applyBorder="1" applyAlignment="1">
      <alignment horizontal="center"/>
    </xf>
    <xf numFmtId="0" fontId="1" fillId="106" borderId="1" xfId="0" applyFont="1" applyFill="1" applyBorder="1" applyAlignment="1">
      <alignment horizontal="center"/>
    </xf>
    <xf numFmtId="0" fontId="1" fillId="107" borderId="1" xfId="0" applyFont="1" applyFill="1" applyBorder="1" applyAlignment="1">
      <alignment horizontal="center"/>
    </xf>
    <xf numFmtId="0" fontId="1" fillId="108" borderId="1" xfId="0" applyFont="1" applyFill="1" applyBorder="1" applyAlignment="1">
      <alignment horizontal="center"/>
    </xf>
    <xf numFmtId="0" fontId="1" fillId="109" borderId="1" xfId="0" applyFont="1" applyFill="1" applyBorder="1" applyAlignment="1">
      <alignment horizontal="center"/>
    </xf>
    <xf numFmtId="0" fontId="1" fillId="110" borderId="1" xfId="0" applyFont="1" applyFill="1" applyBorder="1" applyAlignment="1">
      <alignment horizontal="center"/>
    </xf>
    <xf numFmtId="0" fontId="1" fillId="111" borderId="1" xfId="0" applyFont="1" applyFill="1" applyBorder="1" applyAlignment="1">
      <alignment horizontal="center"/>
    </xf>
    <xf numFmtId="0" fontId="1" fillId="112" borderId="1" xfId="0" applyFont="1" applyFill="1" applyBorder="1" applyAlignment="1">
      <alignment horizontal="center"/>
    </xf>
    <xf numFmtId="0" fontId="1" fillId="113" borderId="1" xfId="0" applyFont="1" applyFill="1" applyBorder="1" applyAlignment="1">
      <alignment horizontal="center"/>
    </xf>
    <xf numFmtId="0" fontId="4" fillId="114" borderId="1" xfId="0" applyFont="1" applyFill="1" applyBorder="1" applyAlignment="1">
      <alignment horizontal="center"/>
    </xf>
    <xf numFmtId="0" fontId="1" fillId="6" borderId="1" xfId="0" applyFont="1" applyFill="1" applyBorder="1" applyAlignment="1">
      <alignment horizontal="center"/>
    </xf>
    <xf numFmtId="0" fontId="1" fillId="115" borderId="1" xfId="0" applyFont="1" applyFill="1" applyBorder="1" applyAlignment="1">
      <alignment horizontal="center"/>
    </xf>
    <xf numFmtId="0" fontId="1" fillId="116" borderId="1" xfId="0" applyFont="1" applyFill="1" applyBorder="1" applyAlignment="1">
      <alignment horizontal="center"/>
    </xf>
    <xf numFmtId="0" fontId="1" fillId="117" borderId="1" xfId="0" applyFont="1" applyFill="1" applyBorder="1" applyAlignment="1">
      <alignment horizontal="center"/>
    </xf>
    <xf numFmtId="0" fontId="7" fillId="118" borderId="26" xfId="0" applyFont="1" applyFill="1" applyBorder="1"/>
    <xf numFmtId="0" fontId="5" fillId="7" borderId="0" xfId="0" applyFont="1" applyFill="1"/>
    <xf numFmtId="0" fontId="5" fillId="5" borderId="0" xfId="0" applyFont="1" applyFill="1"/>
    <xf numFmtId="9" fontId="0" fillId="0" borderId="0" xfId="0" applyNumberFormat="1"/>
    <xf numFmtId="165" fontId="0" fillId="0" borderId="0" xfId="0" applyNumberFormat="1"/>
    <xf numFmtId="166" fontId="0" fillId="0" borderId="0" xfId="0" applyNumberFormat="1"/>
    <xf numFmtId="164" fontId="0" fillId="0" borderId="0" xfId="0" applyNumberFormat="1"/>
    <xf numFmtId="0" fontId="0" fillId="0" borderId="0" xfId="0" quotePrefix="1"/>
    <xf numFmtId="1" fontId="0" fillId="0" borderId="0" xfId="0" applyNumberFormat="1"/>
    <xf numFmtId="3" fontId="0" fillId="0" borderId="0" xfId="0" applyNumberFormat="1"/>
    <xf numFmtId="2" fontId="10" fillId="0" borderId="0" xfId="0" applyNumberFormat="1" applyFont="1"/>
    <xf numFmtId="1" fontId="10" fillId="0" borderId="0" xfId="0" applyNumberFormat="1" applyFont="1"/>
    <xf numFmtId="0" fontId="1" fillId="119" borderId="1" xfId="0" applyFont="1" applyFill="1" applyBorder="1" applyAlignment="1">
      <alignment horizontal="center"/>
    </xf>
    <xf numFmtId="0" fontId="1" fillId="120" borderId="1" xfId="0" applyFont="1" applyFill="1" applyBorder="1" applyAlignment="1">
      <alignment horizontal="center"/>
    </xf>
    <xf numFmtId="0" fontId="1" fillId="121" borderId="1" xfId="0" applyFont="1" applyFill="1" applyBorder="1" applyAlignment="1">
      <alignment horizontal="center"/>
    </xf>
    <xf numFmtId="0" fontId="1" fillId="122" borderId="1" xfId="0" applyFont="1" applyFill="1" applyBorder="1" applyAlignment="1">
      <alignment horizontal="center"/>
    </xf>
    <xf numFmtId="0" fontId="1" fillId="123" borderId="1" xfId="0" applyFont="1" applyFill="1" applyBorder="1" applyAlignment="1">
      <alignment horizontal="center"/>
    </xf>
    <xf numFmtId="0" fontId="1" fillId="124" borderId="1" xfId="0" applyFont="1" applyFill="1" applyBorder="1" applyAlignment="1">
      <alignment horizontal="center"/>
    </xf>
    <xf numFmtId="0" fontId="1" fillId="125" borderId="1" xfId="0" applyFont="1" applyFill="1" applyBorder="1" applyAlignment="1">
      <alignment horizontal="center"/>
    </xf>
    <xf numFmtId="0" fontId="1" fillId="126" borderId="1" xfId="0" applyFont="1" applyFill="1" applyBorder="1" applyAlignment="1">
      <alignment horizontal="center"/>
    </xf>
    <xf numFmtId="0" fontId="1" fillId="127" borderId="1" xfId="0" applyFont="1" applyFill="1" applyBorder="1" applyAlignment="1">
      <alignment horizontal="center"/>
    </xf>
    <xf numFmtId="0" fontId="1" fillId="128" borderId="1" xfId="0" applyFont="1" applyFill="1" applyBorder="1" applyAlignment="1">
      <alignment horizontal="center"/>
    </xf>
    <xf numFmtId="0" fontId="1" fillId="129" borderId="1" xfId="0" applyFont="1" applyFill="1" applyBorder="1" applyAlignment="1">
      <alignment horizontal="center"/>
    </xf>
    <xf numFmtId="0" fontId="1" fillId="130" borderId="1" xfId="0" applyFont="1" applyFill="1" applyBorder="1" applyAlignment="1">
      <alignment horizontal="center"/>
    </xf>
    <xf numFmtId="0" fontId="1" fillId="131" borderId="1" xfId="0" applyFont="1" applyFill="1" applyBorder="1" applyAlignment="1">
      <alignment horizontal="center"/>
    </xf>
    <xf numFmtId="0" fontId="1" fillId="132" borderId="1" xfId="0" applyFont="1" applyFill="1" applyBorder="1" applyAlignment="1">
      <alignment horizontal="center"/>
    </xf>
    <xf numFmtId="0" fontId="1" fillId="133" borderId="1" xfId="0" applyFont="1" applyFill="1" applyBorder="1" applyAlignment="1">
      <alignment horizontal="center"/>
    </xf>
    <xf numFmtId="0" fontId="1" fillId="134" borderId="1" xfId="0" applyFont="1" applyFill="1" applyBorder="1" applyAlignment="1">
      <alignment horizontal="center"/>
    </xf>
    <xf numFmtId="0" fontId="1" fillId="135" borderId="1" xfId="0" applyFont="1" applyFill="1" applyBorder="1" applyAlignment="1">
      <alignment horizontal="center"/>
    </xf>
    <xf numFmtId="0" fontId="1" fillId="136" borderId="1" xfId="0" applyFont="1" applyFill="1" applyBorder="1" applyAlignment="1">
      <alignment horizontal="center"/>
    </xf>
    <xf numFmtId="0" fontId="1" fillId="137" borderId="1" xfId="0" applyFont="1" applyFill="1" applyBorder="1" applyAlignment="1">
      <alignment horizontal="center"/>
    </xf>
    <xf numFmtId="0" fontId="1" fillId="138" borderId="1" xfId="0" applyFont="1" applyFill="1" applyBorder="1" applyAlignment="1">
      <alignment horizontal="center"/>
    </xf>
    <xf numFmtId="0" fontId="2" fillId="0" borderId="0" xfId="0" applyFont="1" applyAlignment="1">
      <alignment horizontal="center" vertical="center" textRotation="90"/>
    </xf>
    <xf numFmtId="2" fontId="7" fillId="0" borderId="0" xfId="0" applyNumberFormat="1" applyFont="1"/>
    <xf numFmtId="1" fontId="7" fillId="0" borderId="0" xfId="0" applyNumberFormat="1" applyFont="1"/>
    <xf numFmtId="0" fontId="7" fillId="0" borderId="0" xfId="0" applyFont="1" applyAlignment="1">
      <alignment horizontal="right"/>
    </xf>
    <xf numFmtId="0" fontId="5" fillId="0" borderId="30" xfId="0" applyFont="1" applyBorder="1"/>
    <xf numFmtId="0" fontId="5" fillId="7" borderId="0" xfId="0" applyFont="1" applyFill="1" applyAlignment="1">
      <alignment horizontal="center" vertical="center"/>
    </xf>
    <xf numFmtId="0" fontId="5" fillId="7" borderId="0" xfId="0" applyFont="1" applyFill="1" applyAlignment="1">
      <alignment horizontal="center" vertical="center" wrapText="1"/>
    </xf>
    <xf numFmtId="0" fontId="5" fillId="139" borderId="0" xfId="0" applyFont="1" applyFill="1" applyAlignment="1">
      <alignment horizontal="center" vertical="center" wrapText="1"/>
    </xf>
    <xf numFmtId="0" fontId="5" fillId="0" borderId="0" xfId="0" applyFont="1" applyAlignment="1">
      <alignment horizontal="left" vertical="top"/>
    </xf>
    <xf numFmtId="2" fontId="5" fillId="0" borderId="0" xfId="0" applyNumberFormat="1" applyFont="1" applyAlignment="1">
      <alignment horizontal="right"/>
    </xf>
    <xf numFmtId="0" fontId="5" fillId="0" borderId="0" xfId="0" applyFont="1" applyAlignment="1">
      <alignment horizontal="right"/>
    </xf>
    <xf numFmtId="0" fontId="4" fillId="114" borderId="9" xfId="0" applyFont="1" applyFill="1" applyBorder="1" applyAlignment="1">
      <alignment horizontal="center"/>
    </xf>
    <xf numFmtId="0" fontId="1" fillId="6" borderId="9" xfId="0" applyFont="1" applyFill="1" applyBorder="1" applyAlignment="1">
      <alignment horizontal="center"/>
    </xf>
    <xf numFmtId="0" fontId="5" fillId="0" borderId="34" xfId="0" applyFont="1" applyBorder="1"/>
    <xf numFmtId="0" fontId="1" fillId="140" borderId="24" xfId="0" applyFont="1" applyFill="1" applyBorder="1" applyAlignment="1">
      <alignment horizontal="center"/>
    </xf>
    <xf numFmtId="0" fontId="1" fillId="140" borderId="6" xfId="0" applyFont="1" applyFill="1" applyBorder="1" applyAlignment="1">
      <alignment horizontal="center"/>
    </xf>
    <xf numFmtId="0" fontId="1" fillId="141" borderId="6" xfId="0" applyFont="1" applyFill="1" applyBorder="1" applyAlignment="1">
      <alignment horizontal="center"/>
    </xf>
    <xf numFmtId="0" fontId="4" fillId="142" borderId="6" xfId="0" applyFont="1" applyFill="1" applyBorder="1" applyAlignment="1">
      <alignment horizontal="center"/>
    </xf>
    <xf numFmtId="0" fontId="1" fillId="140" borderId="9" xfId="0" applyFont="1" applyFill="1" applyBorder="1" applyAlignment="1">
      <alignment horizontal="center"/>
    </xf>
    <xf numFmtId="0" fontId="1" fillId="140" borderId="1" xfId="0" applyFont="1" applyFill="1" applyBorder="1" applyAlignment="1">
      <alignment horizontal="center"/>
    </xf>
    <xf numFmtId="0" fontId="1" fillId="141" borderId="1" xfId="0" applyFont="1" applyFill="1" applyBorder="1" applyAlignment="1">
      <alignment horizontal="center"/>
    </xf>
    <xf numFmtId="0" fontId="4" fillId="142" borderId="1" xfId="0" applyFont="1" applyFill="1" applyBorder="1" applyAlignment="1">
      <alignment horizontal="center"/>
    </xf>
    <xf numFmtId="0" fontId="7" fillId="118" borderId="27" xfId="0" applyFont="1" applyFill="1" applyBorder="1"/>
    <xf numFmtId="0" fontId="5" fillId="0" borderId="28" xfId="0" applyFont="1" applyBorder="1" applyAlignment="1">
      <alignment vertical="center" textRotation="90"/>
    </xf>
    <xf numFmtId="0" fontId="5" fillId="0" borderId="17" xfId="0" applyFont="1" applyBorder="1" applyAlignment="1">
      <alignment vertical="center" textRotation="90"/>
    </xf>
    <xf numFmtId="0" fontId="0" fillId="0" borderId="0" xfId="0" applyAlignment="1">
      <alignment vertical="center" wrapText="1"/>
    </xf>
    <xf numFmtId="164" fontId="5" fillId="7" borderId="0" xfId="0" applyNumberFormat="1" applyFont="1" applyFill="1"/>
    <xf numFmtId="164" fontId="5" fillId="5" borderId="0" xfId="0" applyNumberFormat="1" applyFont="1" applyFill="1"/>
    <xf numFmtId="0" fontId="0" fillId="0" borderId="26" xfId="0" applyBorder="1"/>
    <xf numFmtId="0" fontId="4" fillId="114" borderId="6" xfId="0" applyFont="1" applyFill="1" applyBorder="1" applyAlignment="1">
      <alignment horizontal="center"/>
    </xf>
    <xf numFmtId="0" fontId="1" fillId="2" borderId="6" xfId="0" applyFont="1" applyFill="1" applyBorder="1" applyAlignment="1">
      <alignment horizontal="center"/>
    </xf>
    <xf numFmtId="0" fontId="11" fillId="0" borderId="29" xfId="0" applyFont="1" applyBorder="1" applyAlignment="1">
      <alignment horizontal="center" textRotation="90"/>
    </xf>
    <xf numFmtId="0" fontId="11" fillId="0" borderId="2" xfId="0" applyFont="1" applyBorder="1" applyAlignment="1">
      <alignment horizontal="center" textRotation="90"/>
    </xf>
    <xf numFmtId="0" fontId="11" fillId="0" borderId="23" xfId="0" applyFont="1" applyBorder="1" applyAlignment="1">
      <alignment horizontal="center" textRotation="90"/>
    </xf>
    <xf numFmtId="2" fontId="5" fillId="7" borderId="0" xfId="0" applyNumberFormat="1" applyFont="1" applyFill="1" applyAlignment="1">
      <alignment horizontal="center" vertical="center"/>
    </xf>
    <xf numFmtId="2" fontId="0" fillId="7" borderId="0" xfId="0" applyNumberFormat="1" applyFill="1"/>
    <xf numFmtId="0" fontId="9" fillId="0" borderId="0" xfId="0" applyFont="1"/>
    <xf numFmtId="0" fontId="1" fillId="144" borderId="1" xfId="0" applyFont="1" applyFill="1" applyBorder="1" applyAlignment="1">
      <alignment horizontal="center"/>
    </xf>
    <xf numFmtId="0" fontId="1" fillId="143" borderId="1" xfId="0" applyFont="1" applyFill="1" applyBorder="1" applyAlignment="1">
      <alignment horizontal="center"/>
    </xf>
    <xf numFmtId="0" fontId="1" fillId="145" borderId="1" xfId="0" applyFont="1" applyFill="1" applyBorder="1" applyAlignment="1">
      <alignment horizontal="center"/>
    </xf>
    <xf numFmtId="0" fontId="1" fillId="146" borderId="1" xfId="0" applyFont="1" applyFill="1" applyBorder="1" applyAlignment="1">
      <alignment horizontal="center"/>
    </xf>
    <xf numFmtId="0" fontId="1" fillId="147" borderId="1" xfId="0" applyFont="1" applyFill="1" applyBorder="1" applyAlignment="1">
      <alignment horizontal="center"/>
    </xf>
    <xf numFmtId="0" fontId="1" fillId="148" borderId="1" xfId="0" applyFont="1" applyFill="1" applyBorder="1" applyAlignment="1">
      <alignment horizontal="center"/>
    </xf>
    <xf numFmtId="0" fontId="1" fillId="149" borderId="1" xfId="0" applyFont="1" applyFill="1" applyBorder="1" applyAlignment="1">
      <alignment horizontal="center"/>
    </xf>
    <xf numFmtId="0" fontId="1" fillId="150" borderId="1" xfId="0" applyFont="1" applyFill="1" applyBorder="1" applyAlignment="1">
      <alignment horizontal="center"/>
    </xf>
    <xf numFmtId="0" fontId="1" fillId="151" borderId="1" xfId="0" applyFont="1" applyFill="1" applyBorder="1" applyAlignment="1">
      <alignment horizontal="center"/>
    </xf>
    <xf numFmtId="0" fontId="1" fillId="152" borderId="1" xfId="0" applyFont="1" applyFill="1" applyBorder="1" applyAlignment="1">
      <alignment horizontal="center"/>
    </xf>
    <xf numFmtId="0" fontId="1" fillId="153" borderId="1" xfId="0" applyFont="1" applyFill="1" applyBorder="1" applyAlignment="1">
      <alignment horizontal="center"/>
    </xf>
    <xf numFmtId="0" fontId="1" fillId="154" borderId="1" xfId="0" applyFont="1" applyFill="1" applyBorder="1" applyAlignment="1">
      <alignment horizontal="center"/>
    </xf>
    <xf numFmtId="0" fontId="1" fillId="155" borderId="1" xfId="0" applyFont="1" applyFill="1" applyBorder="1" applyAlignment="1">
      <alignment horizontal="center"/>
    </xf>
    <xf numFmtId="0" fontId="1" fillId="156" borderId="1" xfId="0" applyFont="1" applyFill="1" applyBorder="1" applyAlignment="1">
      <alignment horizontal="center"/>
    </xf>
    <xf numFmtId="0" fontId="1" fillId="157" borderId="1" xfId="0" applyFont="1" applyFill="1" applyBorder="1" applyAlignment="1">
      <alignment horizontal="center"/>
    </xf>
    <xf numFmtId="0" fontId="1" fillId="158" borderId="1" xfId="0" applyFont="1" applyFill="1" applyBorder="1" applyAlignment="1">
      <alignment horizontal="center"/>
    </xf>
    <xf numFmtId="0" fontId="1" fillId="159" borderId="1" xfId="0" applyFont="1" applyFill="1" applyBorder="1" applyAlignment="1">
      <alignment horizontal="center"/>
    </xf>
    <xf numFmtId="0" fontId="1" fillId="160" borderId="1" xfId="0" applyFont="1" applyFill="1" applyBorder="1" applyAlignment="1">
      <alignment horizontal="center"/>
    </xf>
    <xf numFmtId="0" fontId="1" fillId="161" borderId="1" xfId="0" applyFont="1" applyFill="1" applyBorder="1" applyAlignment="1">
      <alignment horizontal="center"/>
    </xf>
    <xf numFmtId="0" fontId="1" fillId="162" borderId="1" xfId="0" applyFont="1" applyFill="1" applyBorder="1" applyAlignment="1">
      <alignment horizontal="center"/>
    </xf>
    <xf numFmtId="0" fontId="1" fillId="163" borderId="1" xfId="0" applyFont="1" applyFill="1" applyBorder="1" applyAlignment="1">
      <alignment horizontal="center"/>
    </xf>
    <xf numFmtId="0" fontId="1" fillId="164" borderId="1" xfId="0" applyFont="1" applyFill="1" applyBorder="1" applyAlignment="1">
      <alignment horizontal="center"/>
    </xf>
    <xf numFmtId="0" fontId="1" fillId="165" borderId="1" xfId="0" applyFont="1" applyFill="1" applyBorder="1" applyAlignment="1">
      <alignment horizontal="center"/>
    </xf>
    <xf numFmtId="0" fontId="1" fillId="166" borderId="1" xfId="0" applyFont="1" applyFill="1" applyBorder="1" applyAlignment="1">
      <alignment horizontal="center"/>
    </xf>
    <xf numFmtId="0" fontId="1" fillId="167" borderId="1" xfId="0" applyFont="1" applyFill="1" applyBorder="1" applyAlignment="1">
      <alignment horizontal="center"/>
    </xf>
    <xf numFmtId="0" fontId="1" fillId="168" borderId="1" xfId="0" applyFont="1" applyFill="1" applyBorder="1" applyAlignment="1">
      <alignment horizontal="center"/>
    </xf>
    <xf numFmtId="0" fontId="1" fillId="169" borderId="1" xfId="0" applyFont="1" applyFill="1" applyBorder="1" applyAlignment="1">
      <alignment horizontal="center"/>
    </xf>
    <xf numFmtId="0" fontId="1" fillId="170" borderId="1" xfId="0" applyFont="1" applyFill="1" applyBorder="1" applyAlignment="1">
      <alignment horizontal="center"/>
    </xf>
    <xf numFmtId="0" fontId="1" fillId="171" borderId="1" xfId="0" applyFont="1" applyFill="1" applyBorder="1" applyAlignment="1">
      <alignment horizontal="center"/>
    </xf>
    <xf numFmtId="0" fontId="1" fillId="172" borderId="1" xfId="0" applyFont="1" applyFill="1" applyBorder="1" applyAlignment="1">
      <alignment horizontal="center"/>
    </xf>
    <xf numFmtId="0" fontId="1" fillId="173" borderId="1" xfId="0" applyFont="1" applyFill="1" applyBorder="1" applyAlignment="1">
      <alignment horizontal="center"/>
    </xf>
    <xf numFmtId="0" fontId="1" fillId="174" borderId="1" xfId="0" applyFont="1" applyFill="1" applyBorder="1" applyAlignment="1">
      <alignment horizontal="center"/>
    </xf>
    <xf numFmtId="0" fontId="1" fillId="175" borderId="1" xfId="0" applyFont="1" applyFill="1" applyBorder="1" applyAlignment="1">
      <alignment horizontal="center"/>
    </xf>
    <xf numFmtId="0" fontId="1" fillId="176" borderId="1" xfId="0" applyFont="1" applyFill="1" applyBorder="1" applyAlignment="1">
      <alignment horizontal="center"/>
    </xf>
    <xf numFmtId="0" fontId="1" fillId="177" borderId="1" xfId="0" applyFont="1" applyFill="1" applyBorder="1" applyAlignment="1">
      <alignment horizontal="center"/>
    </xf>
    <xf numFmtId="0" fontId="1" fillId="178" borderId="1" xfId="0" applyFont="1" applyFill="1" applyBorder="1" applyAlignment="1">
      <alignment horizontal="center"/>
    </xf>
    <xf numFmtId="0" fontId="1" fillId="179" borderId="1" xfId="0" applyFont="1" applyFill="1" applyBorder="1" applyAlignment="1">
      <alignment horizontal="center"/>
    </xf>
    <xf numFmtId="0" fontId="1" fillId="180" borderId="1" xfId="0" applyFont="1" applyFill="1" applyBorder="1" applyAlignment="1">
      <alignment horizontal="center"/>
    </xf>
    <xf numFmtId="0" fontId="1" fillId="181" borderId="1" xfId="0" applyFont="1" applyFill="1" applyBorder="1" applyAlignment="1">
      <alignment horizontal="center"/>
    </xf>
    <xf numFmtId="0" fontId="1" fillId="182" borderId="1" xfId="0" applyFont="1" applyFill="1" applyBorder="1" applyAlignment="1">
      <alignment horizontal="center"/>
    </xf>
    <xf numFmtId="0" fontId="1" fillId="183" borderId="1" xfId="0" applyFont="1" applyFill="1" applyBorder="1" applyAlignment="1">
      <alignment horizontal="center"/>
    </xf>
    <xf numFmtId="0" fontId="1" fillId="184" borderId="1" xfId="0" applyFont="1" applyFill="1" applyBorder="1" applyAlignment="1">
      <alignment horizontal="center"/>
    </xf>
    <xf numFmtId="0" fontId="1" fillId="185" borderId="1" xfId="0" applyFont="1" applyFill="1" applyBorder="1" applyAlignment="1">
      <alignment horizontal="center"/>
    </xf>
    <xf numFmtId="0" fontId="1" fillId="186" borderId="1" xfId="0" applyFont="1" applyFill="1" applyBorder="1" applyAlignment="1">
      <alignment horizontal="center"/>
    </xf>
    <xf numFmtId="0" fontId="1" fillId="187" borderId="1" xfId="0" applyFont="1" applyFill="1" applyBorder="1" applyAlignment="1">
      <alignment horizontal="center"/>
    </xf>
    <xf numFmtId="0" fontId="1" fillId="188" borderId="1" xfId="0" applyFont="1" applyFill="1" applyBorder="1" applyAlignment="1">
      <alignment horizontal="center"/>
    </xf>
    <xf numFmtId="0" fontId="1" fillId="189" borderId="1" xfId="0" applyFont="1" applyFill="1" applyBorder="1" applyAlignment="1">
      <alignment horizontal="center"/>
    </xf>
    <xf numFmtId="0" fontId="1" fillId="190" borderId="1" xfId="0" applyFont="1" applyFill="1" applyBorder="1" applyAlignment="1">
      <alignment horizontal="center"/>
    </xf>
    <xf numFmtId="0" fontId="1" fillId="191" borderId="1" xfId="0" applyFont="1" applyFill="1" applyBorder="1" applyAlignment="1">
      <alignment horizontal="center"/>
    </xf>
    <xf numFmtId="0" fontId="1" fillId="192" borderId="1" xfId="0" applyFont="1" applyFill="1" applyBorder="1" applyAlignment="1">
      <alignment horizontal="center"/>
    </xf>
    <xf numFmtId="0" fontId="1" fillId="193" borderId="1" xfId="0" applyFont="1" applyFill="1" applyBorder="1" applyAlignment="1">
      <alignment horizontal="center"/>
    </xf>
    <xf numFmtId="0" fontId="1" fillId="194" borderId="1" xfId="0" applyFont="1" applyFill="1" applyBorder="1" applyAlignment="1">
      <alignment horizontal="center"/>
    </xf>
    <xf numFmtId="0" fontId="1" fillId="195" borderId="1" xfId="0" applyFont="1" applyFill="1" applyBorder="1" applyAlignment="1">
      <alignment horizontal="center"/>
    </xf>
    <xf numFmtId="0" fontId="1" fillId="196" borderId="1" xfId="0" applyFont="1" applyFill="1" applyBorder="1" applyAlignment="1">
      <alignment horizontal="center"/>
    </xf>
    <xf numFmtId="0" fontId="1" fillId="197" borderId="1" xfId="0" applyFont="1" applyFill="1" applyBorder="1" applyAlignment="1">
      <alignment horizontal="center"/>
    </xf>
    <xf numFmtId="0" fontId="1" fillId="198" borderId="1" xfId="0" applyFont="1" applyFill="1" applyBorder="1" applyAlignment="1">
      <alignment horizontal="center"/>
    </xf>
    <xf numFmtId="0" fontId="1" fillId="199" borderId="1" xfId="0" applyFont="1" applyFill="1" applyBorder="1" applyAlignment="1">
      <alignment horizontal="center"/>
    </xf>
    <xf numFmtId="0" fontId="1" fillId="200" borderId="1" xfId="0" applyFont="1" applyFill="1" applyBorder="1" applyAlignment="1">
      <alignment horizontal="center"/>
    </xf>
    <xf numFmtId="0" fontId="1" fillId="201" borderId="1" xfId="0" applyFont="1" applyFill="1" applyBorder="1" applyAlignment="1">
      <alignment horizontal="center"/>
    </xf>
    <xf numFmtId="0" fontId="1" fillId="202" borderId="1" xfId="0" applyFont="1" applyFill="1" applyBorder="1" applyAlignment="1">
      <alignment horizontal="center"/>
    </xf>
    <xf numFmtId="0" fontId="1" fillId="203" borderId="1" xfId="0" applyFont="1" applyFill="1" applyBorder="1" applyAlignment="1">
      <alignment horizontal="center"/>
    </xf>
    <xf numFmtId="0" fontId="1" fillId="204" borderId="1" xfId="0" applyFont="1" applyFill="1" applyBorder="1" applyAlignment="1">
      <alignment horizontal="center"/>
    </xf>
    <xf numFmtId="0" fontId="4" fillId="205" borderId="1" xfId="0" applyFont="1" applyFill="1" applyBorder="1" applyAlignment="1">
      <alignment horizontal="center"/>
    </xf>
    <xf numFmtId="0" fontId="1" fillId="143" borderId="9" xfId="0" applyFont="1" applyFill="1" applyBorder="1" applyAlignment="1">
      <alignment horizontal="center"/>
    </xf>
    <xf numFmtId="0" fontId="4" fillId="206" borderId="1" xfId="0" applyFont="1" applyFill="1" applyBorder="1" applyAlignment="1">
      <alignment horizontal="center"/>
    </xf>
    <xf numFmtId="0" fontId="4" fillId="207" borderId="1" xfId="0" applyFont="1" applyFill="1" applyBorder="1" applyAlignment="1">
      <alignment horizontal="center"/>
    </xf>
    <xf numFmtId="0" fontId="4" fillId="208" borderId="1" xfId="0" applyFont="1" applyFill="1" applyBorder="1" applyAlignment="1">
      <alignment horizontal="center"/>
    </xf>
    <xf numFmtId="0" fontId="1" fillId="209" borderId="1" xfId="0" applyFont="1" applyFill="1" applyBorder="1" applyAlignment="1">
      <alignment horizontal="center"/>
    </xf>
    <xf numFmtId="0" fontId="1" fillId="210" borderId="1" xfId="0" applyFont="1" applyFill="1" applyBorder="1" applyAlignment="1">
      <alignment horizontal="center"/>
    </xf>
    <xf numFmtId="0" fontId="1" fillId="211" borderId="1" xfId="0" applyFont="1" applyFill="1" applyBorder="1" applyAlignment="1">
      <alignment horizontal="center"/>
    </xf>
    <xf numFmtId="0" fontId="1" fillId="212" borderId="1" xfId="0" applyFont="1" applyFill="1" applyBorder="1" applyAlignment="1">
      <alignment horizontal="center"/>
    </xf>
    <xf numFmtId="0" fontId="1" fillId="213" borderId="1" xfId="0" applyFont="1" applyFill="1" applyBorder="1" applyAlignment="1">
      <alignment horizontal="center"/>
    </xf>
    <xf numFmtId="0" fontId="1" fillId="214" borderId="1" xfId="0" applyFont="1" applyFill="1" applyBorder="1" applyAlignment="1">
      <alignment horizontal="center"/>
    </xf>
    <xf numFmtId="0" fontId="1" fillId="215" borderId="1" xfId="0" applyFont="1" applyFill="1" applyBorder="1" applyAlignment="1">
      <alignment horizontal="center"/>
    </xf>
    <xf numFmtId="0" fontId="1" fillId="216" borderId="1" xfId="0" applyFont="1" applyFill="1" applyBorder="1" applyAlignment="1">
      <alignment horizontal="center"/>
    </xf>
    <xf numFmtId="0" fontId="1" fillId="217" borderId="1" xfId="0" applyFont="1" applyFill="1" applyBorder="1" applyAlignment="1">
      <alignment horizontal="center"/>
    </xf>
    <xf numFmtId="0" fontId="1" fillId="218" borderId="1" xfId="0" applyFont="1" applyFill="1" applyBorder="1" applyAlignment="1">
      <alignment horizontal="center"/>
    </xf>
    <xf numFmtId="0" fontId="1" fillId="219" borderId="1" xfId="0" applyFont="1" applyFill="1" applyBorder="1" applyAlignment="1">
      <alignment horizontal="center"/>
    </xf>
    <xf numFmtId="0" fontId="1" fillId="220" borderId="1" xfId="0" applyFont="1" applyFill="1" applyBorder="1" applyAlignment="1">
      <alignment horizontal="center"/>
    </xf>
    <xf numFmtId="0" fontId="1" fillId="221" borderId="1" xfId="0" applyFont="1" applyFill="1" applyBorder="1" applyAlignment="1">
      <alignment horizontal="center"/>
    </xf>
    <xf numFmtId="0" fontId="1" fillId="222" borderId="1" xfId="0" applyFont="1" applyFill="1" applyBorder="1" applyAlignment="1">
      <alignment horizontal="center"/>
    </xf>
    <xf numFmtId="0" fontId="1" fillId="223" borderId="1" xfId="0" applyFont="1" applyFill="1" applyBorder="1" applyAlignment="1">
      <alignment horizontal="center"/>
    </xf>
    <xf numFmtId="0" fontId="1" fillId="224" borderId="1" xfId="0" applyFont="1" applyFill="1" applyBorder="1" applyAlignment="1">
      <alignment horizontal="center"/>
    </xf>
    <xf numFmtId="0" fontId="1" fillId="225" borderId="1" xfId="0" applyFont="1" applyFill="1" applyBorder="1" applyAlignment="1">
      <alignment horizontal="center"/>
    </xf>
    <xf numFmtId="0" fontId="1" fillId="226" borderId="1" xfId="0" applyFont="1" applyFill="1" applyBorder="1" applyAlignment="1">
      <alignment horizontal="center"/>
    </xf>
    <xf numFmtId="0" fontId="1" fillId="227" borderId="1" xfId="0" applyFont="1" applyFill="1" applyBorder="1" applyAlignment="1">
      <alignment horizontal="center"/>
    </xf>
    <xf numFmtId="0" fontId="1" fillId="228" borderId="1" xfId="0" applyFont="1" applyFill="1" applyBorder="1" applyAlignment="1">
      <alignment horizontal="center"/>
    </xf>
    <xf numFmtId="0" fontId="1" fillId="229" borderId="1" xfId="0" applyFont="1" applyFill="1" applyBorder="1" applyAlignment="1">
      <alignment horizontal="center"/>
    </xf>
    <xf numFmtId="0" fontId="1" fillId="230" borderId="1" xfId="0" applyFont="1" applyFill="1" applyBorder="1" applyAlignment="1">
      <alignment horizontal="center"/>
    </xf>
    <xf numFmtId="0" fontId="1" fillId="231" borderId="1" xfId="0" applyFont="1" applyFill="1" applyBorder="1" applyAlignment="1">
      <alignment horizontal="center"/>
    </xf>
    <xf numFmtId="0" fontId="1" fillId="232" borderId="1" xfId="0" applyFont="1" applyFill="1" applyBorder="1" applyAlignment="1">
      <alignment horizontal="center"/>
    </xf>
    <xf numFmtId="0" fontId="1" fillId="233" borderId="1" xfId="0" applyFont="1" applyFill="1" applyBorder="1" applyAlignment="1">
      <alignment horizontal="center"/>
    </xf>
    <xf numFmtId="0" fontId="4" fillId="234" borderId="1" xfId="0" applyFont="1" applyFill="1" applyBorder="1" applyAlignment="1">
      <alignment horizontal="center"/>
    </xf>
    <xf numFmtId="0" fontId="4" fillId="235" borderId="1" xfId="0" applyFont="1" applyFill="1" applyBorder="1" applyAlignment="1">
      <alignment horizontal="center"/>
    </xf>
    <xf numFmtId="0" fontId="4" fillId="236" borderId="1" xfId="0" applyFont="1" applyFill="1" applyBorder="1" applyAlignment="1">
      <alignment horizontal="center"/>
    </xf>
    <xf numFmtId="0" fontId="4" fillId="237" borderId="1" xfId="0" applyFont="1" applyFill="1" applyBorder="1" applyAlignment="1">
      <alignment horizontal="center"/>
    </xf>
    <xf numFmtId="0" fontId="4" fillId="3" borderId="6" xfId="0" applyFont="1" applyFill="1" applyBorder="1" applyAlignment="1">
      <alignment horizontal="center"/>
    </xf>
    <xf numFmtId="0" fontId="4" fillId="3" borderId="24" xfId="0" applyFont="1" applyFill="1" applyBorder="1" applyAlignment="1">
      <alignment horizontal="center"/>
    </xf>
    <xf numFmtId="0" fontId="5" fillId="6" borderId="0" xfId="0" applyFont="1" applyFill="1"/>
    <xf numFmtId="167" fontId="0" fillId="0" borderId="0" xfId="0" applyNumberFormat="1"/>
    <xf numFmtId="14" fontId="1" fillId="2" borderId="5" xfId="0" applyNumberFormat="1" applyFont="1" applyFill="1" applyBorder="1" applyAlignment="1">
      <alignment horizontal="center"/>
    </xf>
    <xf numFmtId="0" fontId="1" fillId="238" borderId="1" xfId="0" applyFont="1" applyFill="1" applyBorder="1" applyAlignment="1">
      <alignment horizontal="center"/>
    </xf>
    <xf numFmtId="0" fontId="1" fillId="239" borderId="1" xfId="0" applyFont="1" applyFill="1" applyBorder="1" applyAlignment="1">
      <alignment horizontal="center"/>
    </xf>
    <xf numFmtId="0" fontId="1" fillId="240" borderId="1" xfId="0" applyFont="1" applyFill="1" applyBorder="1" applyAlignment="1">
      <alignment horizontal="center"/>
    </xf>
    <xf numFmtId="0" fontId="1" fillId="241" borderId="1" xfId="0" applyFont="1" applyFill="1" applyBorder="1" applyAlignment="1">
      <alignment horizontal="center"/>
    </xf>
    <xf numFmtId="0" fontId="1" fillId="242" borderId="1" xfId="0" applyFont="1" applyFill="1" applyBorder="1" applyAlignment="1">
      <alignment horizontal="center"/>
    </xf>
    <xf numFmtId="0" fontId="1" fillId="243" borderId="1" xfId="0" applyFont="1" applyFill="1" applyBorder="1" applyAlignment="1">
      <alignment horizontal="center"/>
    </xf>
    <xf numFmtId="0" fontId="1" fillId="244" borderId="1" xfId="0" applyFont="1" applyFill="1" applyBorder="1" applyAlignment="1">
      <alignment horizontal="center"/>
    </xf>
    <xf numFmtId="0" fontId="1" fillId="245" borderId="1" xfId="0" applyFont="1" applyFill="1" applyBorder="1" applyAlignment="1">
      <alignment horizontal="center"/>
    </xf>
    <xf numFmtId="0" fontId="1" fillId="246" borderId="1" xfId="0" applyFont="1" applyFill="1" applyBorder="1" applyAlignment="1">
      <alignment horizontal="center"/>
    </xf>
    <xf numFmtId="0" fontId="1" fillId="247" borderId="1" xfId="0" applyFont="1" applyFill="1" applyBorder="1" applyAlignment="1">
      <alignment horizontal="center"/>
    </xf>
    <xf numFmtId="0" fontId="1" fillId="248" borderId="1" xfId="0" applyFont="1" applyFill="1" applyBorder="1" applyAlignment="1">
      <alignment horizontal="center"/>
    </xf>
    <xf numFmtId="0" fontId="1" fillId="249" borderId="1" xfId="0" applyFont="1" applyFill="1" applyBorder="1" applyAlignment="1">
      <alignment horizontal="center"/>
    </xf>
    <xf numFmtId="0" fontId="1" fillId="250" borderId="1" xfId="0" applyFont="1" applyFill="1" applyBorder="1" applyAlignment="1">
      <alignment horizontal="center"/>
    </xf>
    <xf numFmtId="0" fontId="1" fillId="251" borderId="1" xfId="0" applyFont="1" applyFill="1" applyBorder="1" applyAlignment="1">
      <alignment horizontal="center"/>
    </xf>
    <xf numFmtId="0" fontId="1" fillId="252" borderId="1" xfId="0" applyFont="1" applyFill="1" applyBorder="1" applyAlignment="1">
      <alignment horizontal="center"/>
    </xf>
    <xf numFmtId="0" fontId="1" fillId="253" borderId="1" xfId="0" applyFont="1" applyFill="1" applyBorder="1" applyAlignment="1">
      <alignment horizontal="center"/>
    </xf>
    <xf numFmtId="0" fontId="1" fillId="254" borderId="1" xfId="0" applyFont="1" applyFill="1" applyBorder="1" applyAlignment="1">
      <alignment horizontal="center"/>
    </xf>
    <xf numFmtId="0" fontId="1" fillId="255" borderId="1" xfId="0" applyFont="1" applyFill="1" applyBorder="1" applyAlignment="1">
      <alignment horizontal="center"/>
    </xf>
    <xf numFmtId="0" fontId="1" fillId="256" borderId="1" xfId="0" applyFont="1" applyFill="1" applyBorder="1" applyAlignment="1">
      <alignment horizontal="center"/>
    </xf>
    <xf numFmtId="0" fontId="1" fillId="257" borderId="1" xfId="0" applyFont="1" applyFill="1" applyBorder="1" applyAlignment="1">
      <alignment horizontal="center"/>
    </xf>
    <xf numFmtId="0" fontId="1" fillId="258" borderId="1" xfId="0" applyFont="1" applyFill="1" applyBorder="1" applyAlignment="1">
      <alignment horizontal="center"/>
    </xf>
    <xf numFmtId="0" fontId="1" fillId="259" borderId="1" xfId="0" applyFont="1" applyFill="1" applyBorder="1" applyAlignment="1">
      <alignment horizontal="center"/>
    </xf>
    <xf numFmtId="0" fontId="1" fillId="260" borderId="1" xfId="0" applyFont="1" applyFill="1" applyBorder="1" applyAlignment="1">
      <alignment horizontal="center"/>
    </xf>
    <xf numFmtId="0" fontId="1" fillId="261" borderId="1" xfId="0" applyFont="1" applyFill="1" applyBorder="1" applyAlignment="1">
      <alignment horizontal="center"/>
    </xf>
    <xf numFmtId="0" fontId="1" fillId="262" borderId="1" xfId="0" applyFont="1" applyFill="1" applyBorder="1" applyAlignment="1">
      <alignment horizontal="center"/>
    </xf>
    <xf numFmtId="0" fontId="1" fillId="263" borderId="1" xfId="0" applyFont="1" applyFill="1" applyBorder="1" applyAlignment="1">
      <alignment horizontal="center"/>
    </xf>
    <xf numFmtId="0" fontId="1" fillId="264" borderId="1" xfId="0" applyFont="1" applyFill="1" applyBorder="1" applyAlignment="1">
      <alignment horizontal="center"/>
    </xf>
    <xf numFmtId="0" fontId="1" fillId="265" borderId="1" xfId="0" applyFont="1" applyFill="1" applyBorder="1" applyAlignment="1">
      <alignment horizontal="center"/>
    </xf>
    <xf numFmtId="0" fontId="1" fillId="266" borderId="1" xfId="0" applyFont="1" applyFill="1" applyBorder="1" applyAlignment="1">
      <alignment horizontal="center"/>
    </xf>
    <xf numFmtId="0" fontId="4" fillId="267" borderId="1" xfId="0" applyFont="1" applyFill="1" applyBorder="1" applyAlignment="1">
      <alignment horizontal="center"/>
    </xf>
    <xf numFmtId="0" fontId="4" fillId="268" borderId="1" xfId="0" applyFont="1" applyFill="1" applyBorder="1" applyAlignment="1">
      <alignment horizontal="center"/>
    </xf>
    <xf numFmtId="0" fontId="4" fillId="269" borderId="1" xfId="0" applyFont="1" applyFill="1" applyBorder="1" applyAlignment="1">
      <alignment horizontal="center"/>
    </xf>
    <xf numFmtId="0" fontId="4" fillId="270" borderId="1" xfId="0" applyFont="1" applyFill="1" applyBorder="1" applyAlignment="1">
      <alignment horizontal="center"/>
    </xf>
    <xf numFmtId="0" fontId="4" fillId="271" borderId="1" xfId="0" applyFont="1" applyFill="1" applyBorder="1" applyAlignment="1">
      <alignment horizontal="center"/>
    </xf>
    <xf numFmtId="0" fontId="4" fillId="272" borderId="1" xfId="0" applyFont="1" applyFill="1" applyBorder="1" applyAlignment="1">
      <alignment horizontal="center"/>
    </xf>
    <xf numFmtId="0" fontId="4" fillId="273" borderId="1" xfId="0" applyFont="1" applyFill="1" applyBorder="1" applyAlignment="1">
      <alignment horizontal="center"/>
    </xf>
    <xf numFmtId="0" fontId="4" fillId="274" borderId="1" xfId="0" applyFont="1" applyFill="1" applyBorder="1" applyAlignment="1">
      <alignment horizontal="center"/>
    </xf>
    <xf numFmtId="0" fontId="4" fillId="275" borderId="1" xfId="0" applyFont="1" applyFill="1" applyBorder="1" applyAlignment="1">
      <alignment horizontal="center"/>
    </xf>
    <xf numFmtId="0" fontId="4" fillId="276" borderId="1" xfId="0" applyFont="1" applyFill="1" applyBorder="1" applyAlignment="1">
      <alignment horizontal="center"/>
    </xf>
    <xf numFmtId="0" fontId="4" fillId="277" borderId="1" xfId="0" applyFont="1" applyFill="1" applyBorder="1" applyAlignment="1">
      <alignment horizontal="center"/>
    </xf>
    <xf numFmtId="0" fontId="4" fillId="278" borderId="1" xfId="0" applyFont="1" applyFill="1" applyBorder="1" applyAlignment="1">
      <alignment horizontal="center"/>
    </xf>
    <xf numFmtId="0" fontId="4" fillId="279" borderId="1" xfId="0" applyFont="1" applyFill="1" applyBorder="1" applyAlignment="1">
      <alignment horizontal="center"/>
    </xf>
    <xf numFmtId="0" fontId="4" fillId="280" borderId="1" xfId="0" applyFont="1" applyFill="1" applyBorder="1" applyAlignment="1">
      <alignment horizontal="center"/>
    </xf>
    <xf numFmtId="0" fontId="4" fillId="281" borderId="1" xfId="0" applyFont="1" applyFill="1" applyBorder="1" applyAlignment="1">
      <alignment horizontal="center"/>
    </xf>
    <xf numFmtId="0" fontId="4" fillId="282" borderId="1" xfId="0" applyFont="1" applyFill="1" applyBorder="1" applyAlignment="1">
      <alignment horizontal="center"/>
    </xf>
    <xf numFmtId="0" fontId="4" fillId="283" borderId="1" xfId="0" applyFont="1" applyFill="1" applyBorder="1" applyAlignment="1">
      <alignment horizontal="center"/>
    </xf>
    <xf numFmtId="0" fontId="4" fillId="284" borderId="1" xfId="0" applyFont="1" applyFill="1" applyBorder="1" applyAlignment="1">
      <alignment horizontal="center"/>
    </xf>
    <xf numFmtId="0" fontId="4" fillId="285" borderId="1" xfId="0" applyFont="1" applyFill="1" applyBorder="1" applyAlignment="1">
      <alignment horizontal="center"/>
    </xf>
    <xf numFmtId="0" fontId="1" fillId="286" borderId="1" xfId="0" applyFont="1" applyFill="1" applyBorder="1" applyAlignment="1">
      <alignment horizontal="center"/>
    </xf>
    <xf numFmtId="0" fontId="1" fillId="287" borderId="1" xfId="0" applyFont="1" applyFill="1" applyBorder="1" applyAlignment="1">
      <alignment horizontal="center"/>
    </xf>
    <xf numFmtId="0" fontId="1" fillId="288" borderId="1" xfId="0" applyFont="1" applyFill="1" applyBorder="1" applyAlignment="1">
      <alignment horizontal="center"/>
    </xf>
    <xf numFmtId="0" fontId="1" fillId="289" borderId="1" xfId="0" applyFont="1" applyFill="1" applyBorder="1" applyAlignment="1">
      <alignment horizontal="center"/>
    </xf>
    <xf numFmtId="0" fontId="1" fillId="290" borderId="1" xfId="0" applyFont="1" applyFill="1" applyBorder="1" applyAlignment="1">
      <alignment horizontal="center"/>
    </xf>
    <xf numFmtId="0" fontId="1" fillId="291" borderId="1" xfId="0" applyFont="1" applyFill="1" applyBorder="1" applyAlignment="1">
      <alignment horizontal="center"/>
    </xf>
    <xf numFmtId="0" fontId="1" fillId="292" borderId="1" xfId="0" applyFont="1" applyFill="1" applyBorder="1" applyAlignment="1">
      <alignment horizontal="center"/>
    </xf>
    <xf numFmtId="0" fontId="1" fillId="293" borderId="1" xfId="0" applyFont="1" applyFill="1" applyBorder="1" applyAlignment="1">
      <alignment horizontal="center"/>
    </xf>
    <xf numFmtId="0" fontId="1" fillId="294" borderId="1" xfId="0" applyFont="1" applyFill="1" applyBorder="1" applyAlignment="1">
      <alignment horizontal="center"/>
    </xf>
    <xf numFmtId="0" fontId="1" fillId="295" borderId="1" xfId="0" applyFont="1" applyFill="1" applyBorder="1" applyAlignment="1">
      <alignment horizontal="center"/>
    </xf>
    <xf numFmtId="0" fontId="1" fillId="296" borderId="1" xfId="0" applyFont="1" applyFill="1" applyBorder="1" applyAlignment="1">
      <alignment horizontal="center"/>
    </xf>
    <xf numFmtId="0" fontId="1" fillId="297" borderId="1" xfId="0" applyFont="1" applyFill="1" applyBorder="1" applyAlignment="1">
      <alignment horizontal="center"/>
    </xf>
    <xf numFmtId="0" fontId="1" fillId="298" borderId="1" xfId="0" applyFont="1" applyFill="1" applyBorder="1" applyAlignment="1">
      <alignment horizontal="center"/>
    </xf>
    <xf numFmtId="0" fontId="1" fillId="299" borderId="1" xfId="0" applyFont="1" applyFill="1" applyBorder="1" applyAlignment="1">
      <alignment horizontal="center"/>
    </xf>
    <xf numFmtId="0" fontId="1" fillId="300" borderId="1" xfId="0" applyFont="1" applyFill="1" applyBorder="1" applyAlignment="1">
      <alignment horizontal="center"/>
    </xf>
    <xf numFmtId="0" fontId="1" fillId="301" borderId="1" xfId="0" applyFont="1" applyFill="1" applyBorder="1" applyAlignment="1">
      <alignment horizontal="center"/>
    </xf>
    <xf numFmtId="0" fontId="1" fillId="302" borderId="1" xfId="0" applyFont="1" applyFill="1" applyBorder="1" applyAlignment="1">
      <alignment horizontal="center"/>
    </xf>
    <xf numFmtId="0" fontId="1" fillId="303" borderId="1" xfId="0" applyFont="1" applyFill="1" applyBorder="1" applyAlignment="1">
      <alignment horizontal="center"/>
    </xf>
    <xf numFmtId="0" fontId="1" fillId="304" borderId="1" xfId="0" applyFont="1" applyFill="1" applyBorder="1" applyAlignment="1">
      <alignment horizontal="center"/>
    </xf>
    <xf numFmtId="0" fontId="1" fillId="305" borderId="1" xfId="0" applyFont="1" applyFill="1" applyBorder="1" applyAlignment="1">
      <alignment horizontal="center"/>
    </xf>
    <xf numFmtId="0" fontId="1" fillId="306" borderId="1" xfId="0" applyFont="1" applyFill="1" applyBorder="1" applyAlignment="1">
      <alignment horizontal="center"/>
    </xf>
    <xf numFmtId="0" fontId="1" fillId="307" borderId="1" xfId="0" applyFont="1" applyFill="1" applyBorder="1" applyAlignment="1">
      <alignment horizontal="center"/>
    </xf>
    <xf numFmtId="0" fontId="4" fillId="308" borderId="1" xfId="0" applyFont="1" applyFill="1" applyBorder="1" applyAlignment="1">
      <alignment horizontal="center"/>
    </xf>
    <xf numFmtId="0" fontId="1" fillId="309" borderId="1" xfId="0" applyFont="1" applyFill="1" applyBorder="1" applyAlignment="1">
      <alignment horizontal="center"/>
    </xf>
    <xf numFmtId="0" fontId="1" fillId="310" borderId="1" xfId="0" applyFont="1" applyFill="1" applyBorder="1" applyAlignment="1">
      <alignment horizontal="center"/>
    </xf>
    <xf numFmtId="0" fontId="1" fillId="311" borderId="1" xfId="0" applyFont="1" applyFill="1" applyBorder="1" applyAlignment="1">
      <alignment horizontal="center"/>
    </xf>
    <xf numFmtId="0" fontId="1" fillId="312" borderId="1" xfId="0" applyFont="1" applyFill="1" applyBorder="1" applyAlignment="1">
      <alignment horizontal="center"/>
    </xf>
    <xf numFmtId="0" fontId="1" fillId="313" borderId="1" xfId="0" applyFont="1" applyFill="1" applyBorder="1" applyAlignment="1">
      <alignment horizontal="center"/>
    </xf>
    <xf numFmtId="0" fontId="1" fillId="314" borderId="1" xfId="0" applyFont="1" applyFill="1" applyBorder="1" applyAlignment="1">
      <alignment horizontal="center"/>
    </xf>
    <xf numFmtId="0" fontId="1" fillId="315" borderId="1" xfId="0" applyFont="1" applyFill="1" applyBorder="1" applyAlignment="1">
      <alignment horizontal="center"/>
    </xf>
    <xf numFmtId="0" fontId="1" fillId="316" borderId="1" xfId="0" applyFont="1" applyFill="1" applyBorder="1" applyAlignment="1">
      <alignment horizontal="center"/>
    </xf>
    <xf numFmtId="0" fontId="1" fillId="317" borderId="1" xfId="0" applyFont="1" applyFill="1" applyBorder="1" applyAlignment="1">
      <alignment horizontal="center"/>
    </xf>
    <xf numFmtId="0" fontId="4" fillId="318" borderId="1" xfId="0" applyFont="1" applyFill="1" applyBorder="1" applyAlignment="1">
      <alignment horizontal="center"/>
    </xf>
    <xf numFmtId="0" fontId="4" fillId="319" borderId="1" xfId="0" applyFont="1" applyFill="1" applyBorder="1" applyAlignment="1">
      <alignment horizontal="center"/>
    </xf>
    <xf numFmtId="0" fontId="4" fillId="320" borderId="1" xfId="0" applyFont="1" applyFill="1" applyBorder="1" applyAlignment="1">
      <alignment horizontal="center"/>
    </xf>
    <xf numFmtId="0" fontId="4" fillId="321" borderId="1" xfId="0" applyFont="1" applyFill="1" applyBorder="1" applyAlignment="1">
      <alignment horizontal="center"/>
    </xf>
    <xf numFmtId="0" fontId="4" fillId="322" borderId="1" xfId="0" applyFont="1" applyFill="1" applyBorder="1" applyAlignment="1">
      <alignment horizontal="center"/>
    </xf>
    <xf numFmtId="0" fontId="4" fillId="323" borderId="1" xfId="0" applyFont="1" applyFill="1" applyBorder="1" applyAlignment="1">
      <alignment horizontal="center"/>
    </xf>
    <xf numFmtId="0" fontId="4" fillId="324" borderId="1" xfId="0" applyFont="1" applyFill="1" applyBorder="1" applyAlignment="1">
      <alignment horizontal="center"/>
    </xf>
    <xf numFmtId="0" fontId="4" fillId="325" borderId="1" xfId="0" applyFont="1" applyFill="1" applyBorder="1" applyAlignment="1">
      <alignment horizontal="center"/>
    </xf>
    <xf numFmtId="0" fontId="4" fillId="326" borderId="1" xfId="0" applyFont="1" applyFill="1" applyBorder="1" applyAlignment="1">
      <alignment horizontal="center"/>
    </xf>
    <xf numFmtId="0" fontId="4" fillId="327" borderId="1" xfId="0" applyFont="1" applyFill="1" applyBorder="1" applyAlignment="1">
      <alignment horizontal="center"/>
    </xf>
    <xf numFmtId="0" fontId="4" fillId="328" borderId="1" xfId="0" applyFont="1" applyFill="1" applyBorder="1" applyAlignment="1">
      <alignment horizontal="center"/>
    </xf>
    <xf numFmtId="0" fontId="4" fillId="329" borderId="1" xfId="0" applyFont="1" applyFill="1" applyBorder="1" applyAlignment="1">
      <alignment horizontal="center"/>
    </xf>
    <xf numFmtId="0" fontId="4" fillId="330" borderId="1" xfId="0" applyFont="1" applyFill="1" applyBorder="1" applyAlignment="1">
      <alignment horizontal="center"/>
    </xf>
    <xf numFmtId="0" fontId="4" fillId="331" borderId="1" xfId="0" applyFont="1" applyFill="1" applyBorder="1" applyAlignment="1">
      <alignment horizontal="center"/>
    </xf>
    <xf numFmtId="0" fontId="4" fillId="332" borderId="1" xfId="0" applyFont="1" applyFill="1" applyBorder="1" applyAlignment="1">
      <alignment horizontal="center"/>
    </xf>
    <xf numFmtId="0" fontId="1" fillId="333" borderId="1" xfId="0" applyFont="1" applyFill="1" applyBorder="1" applyAlignment="1">
      <alignment horizontal="center"/>
    </xf>
    <xf numFmtId="0" fontId="4" fillId="334" borderId="1" xfId="0" applyFont="1" applyFill="1" applyBorder="1" applyAlignment="1">
      <alignment horizontal="center"/>
    </xf>
    <xf numFmtId="0" fontId="4" fillId="335" borderId="1" xfId="0" applyFont="1" applyFill="1" applyBorder="1" applyAlignment="1">
      <alignment horizontal="center"/>
    </xf>
    <xf numFmtId="0" fontId="4" fillId="336" borderId="1" xfId="0" applyFont="1" applyFill="1" applyBorder="1" applyAlignment="1">
      <alignment horizontal="center"/>
    </xf>
    <xf numFmtId="0" fontId="4" fillId="337" borderId="1" xfId="0" applyFont="1" applyFill="1" applyBorder="1" applyAlignment="1">
      <alignment horizontal="center"/>
    </xf>
    <xf numFmtId="0" fontId="4" fillId="338" borderId="1" xfId="0" applyFont="1" applyFill="1" applyBorder="1" applyAlignment="1">
      <alignment horizontal="center"/>
    </xf>
    <xf numFmtId="0" fontId="4" fillId="339" borderId="1" xfId="0" applyFont="1" applyFill="1" applyBorder="1" applyAlignment="1">
      <alignment horizontal="center"/>
    </xf>
    <xf numFmtId="0" fontId="4" fillId="340" borderId="1" xfId="0" applyFont="1" applyFill="1" applyBorder="1" applyAlignment="1">
      <alignment horizontal="center"/>
    </xf>
    <xf numFmtId="0" fontId="1" fillId="341" borderId="1" xfId="0" applyFont="1" applyFill="1" applyBorder="1" applyAlignment="1">
      <alignment horizontal="center"/>
    </xf>
    <xf numFmtId="0" fontId="1" fillId="342" borderId="1" xfId="0" applyFont="1" applyFill="1" applyBorder="1" applyAlignment="1">
      <alignment horizontal="center"/>
    </xf>
    <xf numFmtId="0" fontId="1" fillId="343" borderId="1" xfId="0" applyFont="1" applyFill="1" applyBorder="1" applyAlignment="1">
      <alignment horizontal="center"/>
    </xf>
    <xf numFmtId="0" fontId="1" fillId="344" borderId="1" xfId="0" applyFont="1" applyFill="1" applyBorder="1" applyAlignment="1">
      <alignment horizontal="center"/>
    </xf>
    <xf numFmtId="0" fontId="1" fillId="345" borderId="1" xfId="0" applyFont="1" applyFill="1" applyBorder="1" applyAlignment="1">
      <alignment horizontal="center"/>
    </xf>
    <xf numFmtId="0" fontId="1" fillId="346" borderId="1" xfId="0" applyFont="1" applyFill="1" applyBorder="1" applyAlignment="1">
      <alignment horizontal="center"/>
    </xf>
    <xf numFmtId="0" fontId="1" fillId="347" borderId="1" xfId="0" applyFont="1" applyFill="1" applyBorder="1" applyAlignment="1">
      <alignment horizontal="center"/>
    </xf>
    <xf numFmtId="0" fontId="1" fillId="348" borderId="1" xfId="0" applyFont="1" applyFill="1" applyBorder="1" applyAlignment="1">
      <alignment horizontal="center"/>
    </xf>
    <xf numFmtId="0" fontId="1" fillId="349" borderId="1" xfId="0" applyFont="1" applyFill="1" applyBorder="1" applyAlignment="1">
      <alignment horizontal="center"/>
    </xf>
    <xf numFmtId="0" fontId="1" fillId="350" borderId="1" xfId="0" applyFont="1" applyFill="1" applyBorder="1" applyAlignment="1">
      <alignment horizontal="center"/>
    </xf>
    <xf numFmtId="0" fontId="1" fillId="351" borderId="1" xfId="0" applyFont="1" applyFill="1" applyBorder="1" applyAlignment="1">
      <alignment horizontal="center"/>
    </xf>
    <xf numFmtId="0" fontId="1" fillId="352" borderId="1" xfId="0" applyFont="1" applyFill="1" applyBorder="1" applyAlignment="1">
      <alignment horizontal="center"/>
    </xf>
    <xf numFmtId="0" fontId="1" fillId="353" borderId="1" xfId="0" applyFont="1" applyFill="1" applyBorder="1" applyAlignment="1">
      <alignment horizontal="center"/>
    </xf>
    <xf numFmtId="0" fontId="1" fillId="354" borderId="1" xfId="0" applyFont="1" applyFill="1" applyBorder="1" applyAlignment="1">
      <alignment horizontal="center"/>
    </xf>
    <xf numFmtId="0" fontId="4" fillId="355" borderId="1" xfId="0" applyFont="1" applyFill="1" applyBorder="1" applyAlignment="1">
      <alignment horizontal="center"/>
    </xf>
    <xf numFmtId="0" fontId="4" fillId="356" borderId="1" xfId="0" applyFont="1" applyFill="1" applyBorder="1" applyAlignment="1">
      <alignment horizontal="center"/>
    </xf>
    <xf numFmtId="0" fontId="4" fillId="357" borderId="1" xfId="0" applyFont="1" applyFill="1" applyBorder="1" applyAlignment="1">
      <alignment horizontal="center"/>
    </xf>
    <xf numFmtId="0" fontId="4" fillId="358" borderId="1" xfId="0" applyFont="1" applyFill="1" applyBorder="1" applyAlignment="1">
      <alignment horizontal="center"/>
    </xf>
    <xf numFmtId="0" fontId="4" fillId="359" borderId="1" xfId="0" applyFont="1" applyFill="1" applyBorder="1" applyAlignment="1">
      <alignment horizontal="center"/>
    </xf>
    <xf numFmtId="0" fontId="4" fillId="360" borderId="1" xfId="0" applyFont="1" applyFill="1" applyBorder="1" applyAlignment="1">
      <alignment horizontal="center"/>
    </xf>
    <xf numFmtId="0" fontId="4" fillId="361" borderId="1" xfId="0" applyFont="1" applyFill="1" applyBorder="1" applyAlignment="1">
      <alignment horizontal="center"/>
    </xf>
    <xf numFmtId="0" fontId="1" fillId="362" borderId="1" xfId="0" applyFont="1" applyFill="1" applyBorder="1" applyAlignment="1">
      <alignment horizontal="center"/>
    </xf>
    <xf numFmtId="0" fontId="1" fillId="363" borderId="1" xfId="0" applyFont="1" applyFill="1" applyBorder="1" applyAlignment="1">
      <alignment horizontal="center"/>
    </xf>
    <xf numFmtId="0" fontId="1" fillId="364" borderId="1" xfId="0" applyFont="1" applyFill="1" applyBorder="1" applyAlignment="1">
      <alignment horizontal="center"/>
    </xf>
    <xf numFmtId="0" fontId="1" fillId="365" borderId="1" xfId="0" applyFont="1" applyFill="1" applyBorder="1" applyAlignment="1">
      <alignment horizontal="center"/>
    </xf>
    <xf numFmtId="0" fontId="1" fillId="366" borderId="1" xfId="0" applyFont="1" applyFill="1" applyBorder="1" applyAlignment="1">
      <alignment horizontal="center"/>
    </xf>
    <xf numFmtId="0" fontId="1" fillId="367" borderId="1" xfId="0" applyFont="1" applyFill="1" applyBorder="1" applyAlignment="1">
      <alignment horizontal="center"/>
    </xf>
    <xf numFmtId="0" fontId="1" fillId="368" borderId="1" xfId="0" applyFont="1" applyFill="1" applyBorder="1" applyAlignment="1">
      <alignment horizontal="center"/>
    </xf>
    <xf numFmtId="0" fontId="1" fillId="369" borderId="1" xfId="0" applyFont="1" applyFill="1" applyBorder="1" applyAlignment="1">
      <alignment horizontal="center"/>
    </xf>
    <xf numFmtId="0" fontId="1" fillId="370" borderId="1" xfId="0" applyFont="1" applyFill="1" applyBorder="1" applyAlignment="1">
      <alignment horizontal="center"/>
    </xf>
    <xf numFmtId="0" fontId="1" fillId="371" borderId="1" xfId="0" applyFont="1" applyFill="1" applyBorder="1" applyAlignment="1">
      <alignment horizontal="center"/>
    </xf>
    <xf numFmtId="0" fontId="1" fillId="372" borderId="1" xfId="0" applyFont="1" applyFill="1" applyBorder="1" applyAlignment="1">
      <alignment horizontal="center"/>
    </xf>
    <xf numFmtId="0" fontId="1" fillId="373" borderId="1" xfId="0" applyFont="1" applyFill="1" applyBorder="1" applyAlignment="1">
      <alignment horizontal="center"/>
    </xf>
    <xf numFmtId="0" fontId="4" fillId="374" borderId="1" xfId="0" applyFont="1" applyFill="1" applyBorder="1" applyAlignment="1">
      <alignment horizontal="center"/>
    </xf>
    <xf numFmtId="0" fontId="1" fillId="375" borderId="1" xfId="0" applyFont="1" applyFill="1" applyBorder="1" applyAlignment="1">
      <alignment horizontal="center"/>
    </xf>
    <xf numFmtId="0" fontId="1" fillId="376" borderId="1" xfId="0" applyFont="1" applyFill="1" applyBorder="1" applyAlignment="1">
      <alignment horizontal="center"/>
    </xf>
    <xf numFmtId="0" fontId="1" fillId="377" borderId="1" xfId="0" applyFont="1" applyFill="1" applyBorder="1" applyAlignment="1">
      <alignment horizontal="center"/>
    </xf>
    <xf numFmtId="0" fontId="1" fillId="378" borderId="1" xfId="0" applyFont="1" applyFill="1" applyBorder="1" applyAlignment="1">
      <alignment horizontal="center"/>
    </xf>
    <xf numFmtId="0" fontId="1" fillId="379" borderId="1" xfId="0" applyFont="1" applyFill="1" applyBorder="1" applyAlignment="1">
      <alignment horizontal="center"/>
    </xf>
    <xf numFmtId="0" fontId="1" fillId="380" borderId="1" xfId="0" applyFont="1" applyFill="1" applyBorder="1" applyAlignment="1">
      <alignment horizontal="center"/>
    </xf>
    <xf numFmtId="0" fontId="1" fillId="381" borderId="1" xfId="0" applyFont="1" applyFill="1" applyBorder="1" applyAlignment="1">
      <alignment horizontal="center"/>
    </xf>
    <xf numFmtId="0" fontId="1" fillId="382" borderId="1" xfId="0" applyFont="1" applyFill="1" applyBorder="1" applyAlignment="1">
      <alignment horizontal="center"/>
    </xf>
    <xf numFmtId="0" fontId="1" fillId="383" borderId="1" xfId="0" applyFont="1" applyFill="1" applyBorder="1" applyAlignment="1">
      <alignment horizontal="center"/>
    </xf>
    <xf numFmtId="0" fontId="1" fillId="384" borderId="1" xfId="0" applyFont="1" applyFill="1" applyBorder="1" applyAlignment="1">
      <alignment horizontal="center"/>
    </xf>
    <xf numFmtId="0" fontId="1" fillId="385" borderId="1" xfId="0" applyFont="1" applyFill="1" applyBorder="1" applyAlignment="1">
      <alignment horizontal="center"/>
    </xf>
    <xf numFmtId="0" fontId="1" fillId="386" borderId="1" xfId="0" applyFont="1" applyFill="1" applyBorder="1" applyAlignment="1">
      <alignment horizontal="center"/>
    </xf>
    <xf numFmtId="0" fontId="1" fillId="387" borderId="1" xfId="0" applyFont="1" applyFill="1" applyBorder="1" applyAlignment="1">
      <alignment horizontal="center"/>
    </xf>
    <xf numFmtId="0" fontId="1" fillId="388" borderId="1" xfId="0" applyFont="1" applyFill="1" applyBorder="1" applyAlignment="1">
      <alignment horizontal="center"/>
    </xf>
    <xf numFmtId="0" fontId="1" fillId="389" borderId="1" xfId="0" applyFont="1" applyFill="1" applyBorder="1" applyAlignment="1">
      <alignment horizontal="center"/>
    </xf>
    <xf numFmtId="0" fontId="1" fillId="390" borderId="1" xfId="0" applyFont="1" applyFill="1" applyBorder="1" applyAlignment="1">
      <alignment horizontal="center"/>
    </xf>
    <xf numFmtId="0" fontId="1" fillId="391" borderId="1" xfId="0" applyFont="1" applyFill="1" applyBorder="1" applyAlignment="1">
      <alignment horizontal="center"/>
    </xf>
    <xf numFmtId="0" fontId="1" fillId="392" borderId="1" xfId="0" applyFont="1" applyFill="1" applyBorder="1" applyAlignment="1">
      <alignment horizontal="center"/>
    </xf>
    <xf numFmtId="0" fontId="1" fillId="393" borderId="1" xfId="0" applyFont="1" applyFill="1" applyBorder="1" applyAlignment="1">
      <alignment horizontal="center"/>
    </xf>
    <xf numFmtId="0" fontId="1" fillId="394" borderId="1" xfId="0" applyFont="1" applyFill="1" applyBorder="1" applyAlignment="1">
      <alignment horizontal="center"/>
    </xf>
    <xf numFmtId="0" fontId="1" fillId="395" borderId="1" xfId="0" applyFont="1" applyFill="1" applyBorder="1" applyAlignment="1">
      <alignment horizontal="center"/>
    </xf>
    <xf numFmtId="0" fontId="1" fillId="396" borderId="1" xfId="0" applyFont="1" applyFill="1" applyBorder="1" applyAlignment="1">
      <alignment horizontal="center"/>
    </xf>
    <xf numFmtId="0" fontId="1" fillId="397" borderId="1" xfId="0" applyFont="1" applyFill="1" applyBorder="1" applyAlignment="1">
      <alignment horizontal="center"/>
    </xf>
    <xf numFmtId="0" fontId="1" fillId="398" borderId="1" xfId="0" applyFont="1" applyFill="1" applyBorder="1" applyAlignment="1">
      <alignment horizontal="center"/>
    </xf>
    <xf numFmtId="0" fontId="1" fillId="399" borderId="1" xfId="0" applyFont="1" applyFill="1" applyBorder="1" applyAlignment="1">
      <alignment horizontal="center"/>
    </xf>
    <xf numFmtId="0" fontId="1" fillId="400" borderId="1" xfId="0" applyFont="1" applyFill="1" applyBorder="1" applyAlignment="1">
      <alignment horizontal="center"/>
    </xf>
    <xf numFmtId="0" fontId="2" fillId="0" borderId="0" xfId="0" applyFont="1" applyAlignment="1">
      <alignment horizontal="center" vertical="center"/>
    </xf>
    <xf numFmtId="17" fontId="2" fillId="0" borderId="0" xfId="0" applyNumberFormat="1" applyFont="1" applyAlignment="1">
      <alignment horizontal="center"/>
    </xf>
    <xf numFmtId="0" fontId="1" fillId="0" borderId="0" xfId="0" applyFont="1" applyAlignment="1">
      <alignment horizontal="center"/>
    </xf>
    <xf numFmtId="0" fontId="4" fillId="0" borderId="0" xfId="0" applyFont="1" applyAlignment="1">
      <alignment horizontal="center"/>
    </xf>
    <xf numFmtId="14" fontId="1" fillId="0" borderId="0" xfId="0" applyNumberFormat="1" applyFont="1" applyAlignment="1">
      <alignment horizontal="center"/>
    </xf>
    <xf numFmtId="0" fontId="4" fillId="402" borderId="1" xfId="0" applyFont="1" applyFill="1" applyBorder="1" applyAlignment="1">
      <alignment horizontal="center"/>
    </xf>
    <xf numFmtId="0" fontId="4" fillId="403" borderId="1" xfId="0" applyFont="1" applyFill="1" applyBorder="1" applyAlignment="1">
      <alignment horizontal="center"/>
    </xf>
    <xf numFmtId="0" fontId="4" fillId="404" borderId="1" xfId="0" applyFont="1" applyFill="1" applyBorder="1" applyAlignment="1">
      <alignment horizontal="center"/>
    </xf>
    <xf numFmtId="0" fontId="4" fillId="405" borderId="1" xfId="0" applyFont="1" applyFill="1" applyBorder="1" applyAlignment="1">
      <alignment horizontal="center"/>
    </xf>
    <xf numFmtId="0" fontId="1" fillId="406" borderId="1" xfId="0" applyFont="1" applyFill="1" applyBorder="1" applyAlignment="1">
      <alignment horizontal="center"/>
    </xf>
    <xf numFmtId="0" fontId="4" fillId="4" borderId="6" xfId="0" applyFont="1" applyFill="1" applyBorder="1" applyAlignment="1">
      <alignment horizontal="center"/>
    </xf>
    <xf numFmtId="0" fontId="4" fillId="4" borderId="24" xfId="0" applyFont="1" applyFill="1" applyBorder="1" applyAlignment="1">
      <alignment horizontal="center"/>
    </xf>
    <xf numFmtId="0" fontId="13" fillId="0" borderId="0" xfId="0" applyFont="1" applyAlignment="1">
      <alignment horizontal="center" wrapText="1"/>
    </xf>
    <xf numFmtId="0" fontId="7" fillId="6" borderId="0" xfId="0" applyFont="1" applyFill="1"/>
    <xf numFmtId="0" fontId="7" fillId="7" borderId="0" xfId="0" applyFont="1" applyFill="1"/>
    <xf numFmtId="0" fontId="0" fillId="6" borderId="0" xfId="0" applyFill="1"/>
    <xf numFmtId="0" fontId="0" fillId="0" borderId="1" xfId="0" applyBorder="1"/>
    <xf numFmtId="0" fontId="0" fillId="0" borderId="40" xfId="0" applyBorder="1"/>
    <xf numFmtId="0" fontId="5" fillId="0" borderId="1" xfId="0" quotePrefix="1" applyFont="1" applyBorder="1"/>
    <xf numFmtId="0" fontId="13" fillId="0" borderId="0" xfId="0" applyFont="1" applyAlignment="1">
      <alignment horizontal="center"/>
    </xf>
    <xf numFmtId="2" fontId="4" fillId="402" borderId="1" xfId="0" applyNumberFormat="1" applyFont="1" applyFill="1" applyBorder="1" applyAlignment="1">
      <alignment horizontal="center"/>
    </xf>
    <xf numFmtId="0" fontId="0" fillId="0" borderId="0" xfId="0" applyAlignment="1">
      <alignment horizontal="left" vertical="center" indent="1"/>
    </xf>
    <xf numFmtId="0" fontId="0" fillId="407" borderId="0" xfId="0" applyFill="1"/>
    <xf numFmtId="0" fontId="5" fillId="407" borderId="1" xfId="0" applyFont="1" applyFill="1" applyBorder="1"/>
    <xf numFmtId="0" fontId="5" fillId="6" borderId="11" xfId="0" applyFont="1" applyFill="1" applyBorder="1"/>
    <xf numFmtId="0" fontId="5" fillId="6" borderId="12" xfId="0" applyFont="1" applyFill="1" applyBorder="1"/>
    <xf numFmtId="0" fontId="0" fillId="0" borderId="0" xfId="0" applyAlignment="1">
      <alignment wrapText="1"/>
    </xf>
    <xf numFmtId="0" fontId="15" fillId="0" borderId="0" xfId="0" applyFont="1" applyAlignment="1">
      <alignment vertical="center"/>
    </xf>
    <xf numFmtId="0" fontId="17" fillId="0" borderId="0" xfId="0" applyFont="1"/>
    <xf numFmtId="0" fontId="17" fillId="0" borderId="0" xfId="0" applyFont="1" applyAlignment="1">
      <alignment horizontal="left" vertical="center" wrapText="1" indent="1"/>
    </xf>
    <xf numFmtId="0" fontId="16" fillId="0" borderId="0" xfId="0" applyFont="1" applyAlignment="1">
      <alignment horizontal="left" vertical="center"/>
    </xf>
    <xf numFmtId="0" fontId="17" fillId="0" borderId="0" xfId="0" applyFont="1" applyAlignment="1">
      <alignment horizontal="left" vertical="center"/>
    </xf>
    <xf numFmtId="0" fontId="15" fillId="0" borderId="0" xfId="0" applyFont="1" applyAlignment="1">
      <alignment horizontal="left" vertical="center" indent="1"/>
    </xf>
    <xf numFmtId="0" fontId="17" fillId="0" borderId="0" xfId="0" applyFont="1" applyAlignment="1">
      <alignment horizontal="left" vertical="center" indent="1"/>
    </xf>
    <xf numFmtId="0" fontId="15" fillId="0" borderId="0" xfId="0" applyFont="1" applyAlignment="1">
      <alignment horizontal="left" vertical="center"/>
    </xf>
    <xf numFmtId="0" fontId="20" fillId="0" borderId="0" xfId="0" applyFont="1" applyAlignment="1">
      <alignment horizontal="center" wrapText="1"/>
    </xf>
    <xf numFmtId="0" fontId="20" fillId="0" borderId="0" xfId="0" applyFont="1" applyAlignment="1">
      <alignment horizontal="center" vertical="center"/>
    </xf>
    <xf numFmtId="0" fontId="19" fillId="6" borderId="0" xfId="0" applyFont="1" applyFill="1" applyAlignment="1">
      <alignment horizontal="center" vertical="center" wrapText="1"/>
    </xf>
    <xf numFmtId="0" fontId="1" fillId="2" borderId="27" xfId="0" applyFont="1" applyFill="1" applyBorder="1" applyAlignment="1">
      <alignment horizontal="center"/>
    </xf>
    <xf numFmtId="0" fontId="1" fillId="2" borderId="41" xfId="0" applyFont="1" applyFill="1" applyBorder="1" applyAlignment="1">
      <alignment horizontal="center"/>
    </xf>
    <xf numFmtId="0" fontId="16" fillId="0" borderId="0" xfId="0" applyFont="1"/>
    <xf numFmtId="0" fontId="23" fillId="0" borderId="0" xfId="0" applyFont="1" applyAlignment="1">
      <alignment horizontal="left" vertical="center" readingOrder="1"/>
    </xf>
    <xf numFmtId="0" fontId="24" fillId="0" borderId="0" xfId="0" applyFont="1" applyAlignment="1">
      <alignment horizontal="left" vertical="center" readingOrder="1"/>
    </xf>
    <xf numFmtId="0" fontId="25" fillId="0" borderId="0" xfId="0" applyFont="1" applyAlignment="1">
      <alignment horizontal="left" vertical="center" readingOrder="1"/>
    </xf>
    <xf numFmtId="0" fontId="26" fillId="0" borderId="0" xfId="0" applyFont="1" applyAlignment="1">
      <alignment horizontal="left" vertical="center" indent="2" readingOrder="1"/>
    </xf>
    <xf numFmtId="0" fontId="15" fillId="6" borderId="0" xfId="0" applyFont="1" applyFill="1" applyAlignment="1">
      <alignment horizontal="left" vertical="center"/>
    </xf>
    <xf numFmtId="0" fontId="27" fillId="0" borderId="0" xfId="0" applyFont="1" applyAlignment="1">
      <alignment horizontal="left" vertical="center" readingOrder="1"/>
    </xf>
    <xf numFmtId="0" fontId="28" fillId="0" borderId="0" xfId="0" applyFont="1" applyAlignment="1">
      <alignment horizontal="left" vertical="center" readingOrder="1"/>
    </xf>
    <xf numFmtId="0" fontId="22" fillId="0" borderId="0" xfId="0" applyFont="1" applyAlignment="1">
      <alignment vertical="center"/>
    </xf>
    <xf numFmtId="0" fontId="22" fillId="0" borderId="0" xfId="0" applyFont="1" applyAlignment="1">
      <alignment horizontal="left" vertical="center"/>
    </xf>
    <xf numFmtId="0" fontId="22" fillId="6" borderId="0" xfId="0" applyFont="1" applyFill="1" applyAlignment="1">
      <alignment horizontal="left" vertical="center"/>
    </xf>
    <xf numFmtId="0" fontId="17" fillId="0" borderId="0" xfId="0" applyFont="1" applyAlignment="1">
      <alignment horizontal="left" vertical="center" indent="2" readingOrder="1"/>
    </xf>
    <xf numFmtId="0" fontId="29" fillId="0" borderId="0" xfId="0" applyFont="1" applyAlignment="1">
      <alignment horizontal="left" vertical="center" indent="3" readingOrder="1"/>
    </xf>
    <xf numFmtId="0" fontId="11" fillId="0" borderId="1" xfId="0" applyFont="1" applyBorder="1" applyAlignment="1">
      <alignment horizontal="center" wrapText="1"/>
    </xf>
    <xf numFmtId="0" fontId="11" fillId="6" borderId="1" xfId="0" applyFont="1" applyFill="1" applyBorder="1" applyAlignment="1">
      <alignment horizontal="center" wrapText="1"/>
    </xf>
    <xf numFmtId="0" fontId="32" fillId="0" borderId="0" xfId="0" applyFont="1"/>
    <xf numFmtId="0" fontId="3" fillId="0" borderId="0" xfId="0" applyFont="1" applyAlignment="1">
      <alignment horizontal="center" vertical="center"/>
    </xf>
    <xf numFmtId="0" fontId="2" fillId="0" borderId="10" xfId="0" applyFont="1" applyBorder="1" applyAlignment="1">
      <alignment horizontal="center" vertical="center"/>
    </xf>
    <xf numFmtId="0" fontId="2" fillId="0" borderId="4" xfId="0" applyFont="1" applyBorder="1" applyAlignment="1">
      <alignment horizontal="center" vertical="center"/>
    </xf>
    <xf numFmtId="0" fontId="12" fillId="401" borderId="35" xfId="0" applyFont="1" applyFill="1" applyBorder="1" applyAlignment="1">
      <alignment horizontal="center"/>
    </xf>
    <xf numFmtId="0" fontId="12" fillId="401" borderId="36" xfId="0" applyFont="1" applyFill="1" applyBorder="1" applyAlignment="1">
      <alignment horizontal="center"/>
    </xf>
    <xf numFmtId="0" fontId="5" fillId="0" borderId="1" xfId="0" applyFont="1" applyBorder="1" applyAlignment="1">
      <alignment vertical="center" textRotation="90"/>
    </xf>
    <xf numFmtId="0" fontId="9" fillId="6" borderId="0" xfId="0" applyFont="1" applyFill="1" applyAlignment="1">
      <alignment horizontal="center" vertical="center" textRotation="90" wrapText="1"/>
    </xf>
    <xf numFmtId="0" fontId="9" fillId="6" borderId="0" xfId="0" applyFont="1" applyFill="1" applyAlignment="1">
      <alignment horizontal="center" vertical="center" textRotation="90"/>
    </xf>
    <xf numFmtId="0" fontId="9" fillId="0" borderId="8" xfId="0" applyFont="1" applyBorder="1" applyAlignment="1">
      <alignment horizontal="center" vertical="center" textRotation="90"/>
    </xf>
    <xf numFmtId="0" fontId="9" fillId="0" borderId="21" xfId="0" applyFont="1" applyBorder="1" applyAlignment="1">
      <alignment horizontal="center" vertical="center" textRotation="90"/>
    </xf>
    <xf numFmtId="0" fontId="9" fillId="0" borderId="22" xfId="0" applyFont="1" applyBorder="1" applyAlignment="1">
      <alignment horizontal="center" vertical="center" textRotation="90"/>
    </xf>
    <xf numFmtId="0" fontId="2" fillId="0" borderId="2" xfId="0" applyFont="1" applyBorder="1" applyAlignment="1">
      <alignment horizontal="center" vertical="center"/>
    </xf>
    <xf numFmtId="0" fontId="5" fillId="0" borderId="28" xfId="0" applyFont="1" applyBorder="1" applyAlignment="1">
      <alignment horizontal="center" vertical="center" textRotation="90"/>
    </xf>
    <xf numFmtId="0" fontId="5" fillId="0" borderId="17" xfId="0" applyFont="1" applyBorder="1" applyAlignment="1">
      <alignment horizontal="center" vertical="center" textRotation="90"/>
    </xf>
    <xf numFmtId="0" fontId="2" fillId="0" borderId="0" xfId="0" applyFont="1" applyAlignment="1">
      <alignment horizontal="center" vertical="center" textRotation="90" wrapText="1"/>
    </xf>
    <xf numFmtId="0" fontId="2" fillId="0" borderId="0" xfId="0" applyFont="1" applyAlignment="1">
      <alignment horizontal="center" vertical="center" textRotation="90"/>
    </xf>
    <xf numFmtId="0" fontId="2" fillId="0" borderId="25" xfId="0" applyFont="1" applyBorder="1" applyAlignment="1">
      <alignment horizontal="center" vertical="center"/>
    </xf>
    <xf numFmtId="0" fontId="2" fillId="0" borderId="29" xfId="0" applyFont="1" applyBorder="1" applyAlignment="1">
      <alignment horizontal="center" vertical="center"/>
    </xf>
    <xf numFmtId="0" fontId="2" fillId="0" borderId="23" xfId="0" applyFont="1" applyBorder="1" applyAlignment="1">
      <alignment horizontal="center" vertical="center"/>
    </xf>
    <xf numFmtId="0" fontId="5" fillId="0" borderId="32" xfId="0" applyFont="1" applyBorder="1" applyAlignment="1">
      <alignment vertical="center" textRotation="90"/>
    </xf>
    <xf numFmtId="0" fontId="5" fillId="0" borderId="31" xfId="0" applyFont="1" applyBorder="1" applyAlignment="1">
      <alignment vertical="center" textRotation="90"/>
    </xf>
    <xf numFmtId="0" fontId="5" fillId="0" borderId="33" xfId="0" applyFont="1" applyBorder="1" applyAlignment="1">
      <alignment vertical="center" textRotation="90"/>
    </xf>
    <xf numFmtId="0" fontId="5" fillId="0" borderId="0" xfId="0" applyFont="1" applyAlignment="1">
      <alignment horizontal="left" vertical="top" wrapText="1"/>
    </xf>
    <xf numFmtId="0" fontId="12" fillId="401" borderId="37" xfId="0" applyFont="1" applyFill="1" applyBorder="1" applyAlignment="1">
      <alignment horizontal="center"/>
    </xf>
    <xf numFmtId="0" fontId="5" fillId="0" borderId="35" xfId="0" applyFont="1" applyBorder="1" applyAlignment="1">
      <alignment vertical="center" textRotation="90"/>
    </xf>
    <xf numFmtId="0" fontId="5" fillId="0" borderId="38" xfId="0" applyFont="1" applyBorder="1" applyAlignment="1">
      <alignment vertical="center" textRotation="90"/>
    </xf>
    <xf numFmtId="0" fontId="5" fillId="0" borderId="39" xfId="0" applyFont="1" applyBorder="1" applyAlignment="1">
      <alignment vertical="center" textRotation="90"/>
    </xf>
  </cellXfs>
  <cellStyles count="1">
    <cellStyle name="Normal" xfId="0" builtinId="0"/>
  </cellStyles>
  <dxfs count="0"/>
  <tableStyles count="0" defaultTableStyle="TableStyleMedium2" defaultPivotStyle="PivotStyleLight16"/>
  <colors>
    <mruColors>
      <color rgb="FF00FFFF"/>
      <color rgb="FFCC99FF"/>
      <color rgb="FF737373"/>
      <color rgb="FFC15811"/>
      <color rgb="FFB88C00"/>
      <color rgb="FF2A6BA6"/>
      <color rgb="FFCCCCFF"/>
      <color rgb="FFFFFFCC"/>
      <color rgb="FFFFFF89"/>
      <color rgb="FFFEF6C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Work-to-Go</a:t>
            </a:r>
            <a:r>
              <a:rPr lang="en-US" baseline="0"/>
              <a:t> (Normal Tasks)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ndard"/>
        <c:varyColors val="0"/>
        <c:ser>
          <c:idx val="3"/>
          <c:order val="3"/>
          <c:tx>
            <c:strRef>
              <c:f>G1_Characteristics_WorkToGo!$G$12</c:f>
              <c:strCache>
                <c:ptCount val="1"/>
                <c:pt idx="0">
                  <c:v>Normal Tasks</c:v>
                </c:pt>
              </c:strCache>
            </c:strRef>
          </c:tx>
          <c:spPr>
            <a:solidFill>
              <a:schemeClr val="bg2">
                <a:lumMod val="75000"/>
              </a:schemeClr>
            </a:solidFill>
            <a:ln>
              <a:noFill/>
            </a:ln>
            <a:effectLst/>
          </c:spPr>
          <c:cat>
            <c:numRef>
              <c:f>G1_Characteristics_WorkToGo!$H$8:$FT$8</c:f>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f>G1_Characteristics_WorkToGo!$H$12:$FT$12</c:f>
              <c:numCache>
                <c:formatCode>General</c:formatCode>
                <c:ptCount val="169"/>
                <c:pt idx="0">
                  <c:v>8</c:v>
                </c:pt>
                <c:pt idx="1">
                  <c:v>1</c:v>
                </c:pt>
                <c:pt idx="2">
                  <c:v>0</c:v>
                </c:pt>
                <c:pt idx="3">
                  <c:v>1</c:v>
                </c:pt>
                <c:pt idx="4">
                  <c:v>1</c:v>
                </c:pt>
                <c:pt idx="5">
                  <c:v>1</c:v>
                </c:pt>
                <c:pt idx="6">
                  <c:v>3</c:v>
                </c:pt>
                <c:pt idx="7">
                  <c:v>4</c:v>
                </c:pt>
                <c:pt idx="8">
                  <c:v>3</c:v>
                </c:pt>
                <c:pt idx="9">
                  <c:v>1</c:v>
                </c:pt>
                <c:pt idx="10">
                  <c:v>3</c:v>
                </c:pt>
                <c:pt idx="11">
                  <c:v>3</c:v>
                </c:pt>
                <c:pt idx="12">
                  <c:v>4</c:v>
                </c:pt>
                <c:pt idx="13">
                  <c:v>4</c:v>
                </c:pt>
                <c:pt idx="14">
                  <c:v>5</c:v>
                </c:pt>
                <c:pt idx="15">
                  <c:v>8</c:v>
                </c:pt>
                <c:pt idx="16">
                  <c:v>6</c:v>
                </c:pt>
                <c:pt idx="17">
                  <c:v>8</c:v>
                </c:pt>
                <c:pt idx="18">
                  <c:v>5</c:v>
                </c:pt>
                <c:pt idx="19">
                  <c:v>4</c:v>
                </c:pt>
                <c:pt idx="20">
                  <c:v>6</c:v>
                </c:pt>
                <c:pt idx="21">
                  <c:v>10</c:v>
                </c:pt>
                <c:pt idx="22">
                  <c:v>12</c:v>
                </c:pt>
                <c:pt idx="23">
                  <c:v>13</c:v>
                </c:pt>
                <c:pt idx="24">
                  <c:v>15</c:v>
                </c:pt>
                <c:pt idx="25">
                  <c:v>29</c:v>
                </c:pt>
                <c:pt idx="26">
                  <c:v>29</c:v>
                </c:pt>
                <c:pt idx="27">
                  <c:v>20</c:v>
                </c:pt>
                <c:pt idx="28">
                  <c:v>22</c:v>
                </c:pt>
                <c:pt idx="29">
                  <c:v>14</c:v>
                </c:pt>
                <c:pt idx="30">
                  <c:v>10</c:v>
                </c:pt>
                <c:pt idx="31">
                  <c:v>9</c:v>
                </c:pt>
                <c:pt idx="32">
                  <c:v>11</c:v>
                </c:pt>
                <c:pt idx="33">
                  <c:v>19</c:v>
                </c:pt>
                <c:pt idx="34">
                  <c:v>17</c:v>
                </c:pt>
                <c:pt idx="35">
                  <c:v>35</c:v>
                </c:pt>
                <c:pt idx="36">
                  <c:v>43</c:v>
                </c:pt>
                <c:pt idx="37">
                  <c:v>43</c:v>
                </c:pt>
                <c:pt idx="38">
                  <c:v>39</c:v>
                </c:pt>
                <c:pt idx="39">
                  <c:v>47</c:v>
                </c:pt>
                <c:pt idx="40">
                  <c:v>43</c:v>
                </c:pt>
                <c:pt idx="41">
                  <c:v>82</c:v>
                </c:pt>
                <c:pt idx="42">
                  <c:v>94</c:v>
                </c:pt>
                <c:pt idx="43">
                  <c:v>95</c:v>
                </c:pt>
                <c:pt idx="44">
                  <c:v>90</c:v>
                </c:pt>
                <c:pt idx="45">
                  <c:v>83</c:v>
                </c:pt>
                <c:pt idx="46">
                  <c:v>96</c:v>
                </c:pt>
                <c:pt idx="47">
                  <c:v>109</c:v>
                </c:pt>
                <c:pt idx="48">
                  <c:v>100</c:v>
                </c:pt>
                <c:pt idx="49">
                  <c:v>94</c:v>
                </c:pt>
                <c:pt idx="50">
                  <c:v>125</c:v>
                </c:pt>
                <c:pt idx="51">
                  <c:v>120</c:v>
                </c:pt>
                <c:pt idx="52">
                  <c:v>86</c:v>
                </c:pt>
                <c:pt idx="53">
                  <c:v>76</c:v>
                </c:pt>
                <c:pt idx="54">
                  <c:v>100</c:v>
                </c:pt>
                <c:pt idx="55">
                  <c:v>101</c:v>
                </c:pt>
                <c:pt idx="56">
                  <c:v>102</c:v>
                </c:pt>
                <c:pt idx="57">
                  <c:v>148</c:v>
                </c:pt>
                <c:pt idx="58">
                  <c:v>126</c:v>
                </c:pt>
                <c:pt idx="59">
                  <c:v>122</c:v>
                </c:pt>
                <c:pt idx="60">
                  <c:v>123</c:v>
                </c:pt>
                <c:pt idx="61">
                  <c:v>117</c:v>
                </c:pt>
                <c:pt idx="62">
                  <c:v>115</c:v>
                </c:pt>
                <c:pt idx="63">
                  <c:v>111</c:v>
                </c:pt>
                <c:pt idx="64">
                  <c:v>103</c:v>
                </c:pt>
                <c:pt idx="65">
                  <c:v>94</c:v>
                </c:pt>
                <c:pt idx="66">
                  <c:v>113</c:v>
                </c:pt>
                <c:pt idx="67">
                  <c:v>118</c:v>
                </c:pt>
                <c:pt idx="68">
                  <c:v>125</c:v>
                </c:pt>
                <c:pt idx="69">
                  <c:v>146</c:v>
                </c:pt>
                <c:pt idx="70">
                  <c:v>157</c:v>
                </c:pt>
                <c:pt idx="71">
                  <c:v>132</c:v>
                </c:pt>
                <c:pt idx="72">
                  <c:v>130</c:v>
                </c:pt>
                <c:pt idx="73">
                  <c:v>144</c:v>
                </c:pt>
                <c:pt idx="74">
                  <c:v>128</c:v>
                </c:pt>
                <c:pt idx="75">
                  <c:v>117</c:v>
                </c:pt>
                <c:pt idx="76">
                  <c:v>101</c:v>
                </c:pt>
                <c:pt idx="77">
                  <c:v>107</c:v>
                </c:pt>
                <c:pt idx="78">
                  <c:v>112</c:v>
                </c:pt>
                <c:pt idx="79">
                  <c:v>106</c:v>
                </c:pt>
                <c:pt idx="80">
                  <c:v>73</c:v>
                </c:pt>
                <c:pt idx="81">
                  <c:v>84</c:v>
                </c:pt>
                <c:pt idx="82">
                  <c:v>86</c:v>
                </c:pt>
                <c:pt idx="83">
                  <c:v>112</c:v>
                </c:pt>
                <c:pt idx="84">
                  <c:v>94</c:v>
                </c:pt>
                <c:pt idx="85">
                  <c:v>83</c:v>
                </c:pt>
                <c:pt idx="86">
                  <c:v>101</c:v>
                </c:pt>
                <c:pt idx="87">
                  <c:v>122</c:v>
                </c:pt>
                <c:pt idx="88">
                  <c:v>97</c:v>
                </c:pt>
                <c:pt idx="89">
                  <c:v>89</c:v>
                </c:pt>
                <c:pt idx="90">
                  <c:v>69</c:v>
                </c:pt>
                <c:pt idx="91">
                  <c:v>45</c:v>
                </c:pt>
                <c:pt idx="92">
                  <c:v>24</c:v>
                </c:pt>
                <c:pt idx="93">
                  <c:v>33</c:v>
                </c:pt>
                <c:pt idx="94">
                  <c:v>21</c:v>
                </c:pt>
                <c:pt idx="95">
                  <c:v>23</c:v>
                </c:pt>
                <c:pt idx="96">
                  <c:v>32</c:v>
                </c:pt>
                <c:pt idx="97">
                  <c:v>11</c:v>
                </c:pt>
                <c:pt idx="98">
                  <c:v>7</c:v>
                </c:pt>
                <c:pt idx="99">
                  <c:v>5</c:v>
                </c:pt>
                <c:pt idx="100">
                  <c:v>4</c:v>
                </c:pt>
                <c:pt idx="101">
                  <c:v>1</c:v>
                </c:pt>
                <c:pt idx="102">
                  <c:v>3</c:v>
                </c:pt>
                <c:pt idx="103">
                  <c:v>1</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extLst xmlns:c15="http://schemas.microsoft.com/office/drawing/2012/chart">
            <c:ext xmlns:c16="http://schemas.microsoft.com/office/drawing/2014/chart" uri="{C3380CC4-5D6E-409C-BE32-E72D297353CC}">
              <c16:uniqueId val="{00000005-EDE3-4AAE-A1F7-B6A1052E7B4A}"/>
            </c:ext>
          </c:extLst>
        </c:ser>
        <c:dLbls>
          <c:showLegendKey val="0"/>
          <c:showVal val="0"/>
          <c:showCatName val="0"/>
          <c:showSerName val="0"/>
          <c:showPercent val="0"/>
          <c:showBubbleSize val="0"/>
        </c:dLbls>
        <c:axId val="1413648640"/>
        <c:axId val="1413649056"/>
        <c:extLst>
          <c:ext xmlns:c15="http://schemas.microsoft.com/office/drawing/2012/chart" uri="{02D57815-91ED-43cb-92C2-25804820EDAC}">
            <c15:filteredAreaSeries>
              <c15:ser>
                <c:idx val="0"/>
                <c:order val="0"/>
                <c:tx>
                  <c:strRef>
                    <c:extLst>
                      <c:ext uri="{02D57815-91ED-43cb-92C2-25804820EDAC}">
                        <c15:formulaRef>
                          <c15:sqref>G1_Characteristics_WorkToGo!$G$9</c15:sqref>
                        </c15:formulaRef>
                      </c:ext>
                    </c:extLst>
                    <c:strCache>
                      <c:ptCount val="1"/>
                      <c:pt idx="0">
                        <c:v>Status Date</c:v>
                      </c:pt>
                    </c:strCache>
                  </c:strRef>
                </c:tx>
                <c:spPr>
                  <a:solidFill>
                    <a:schemeClr val="accent1"/>
                  </a:solidFill>
                  <a:ln>
                    <a:noFill/>
                  </a:ln>
                  <a:effectLst/>
                </c:spPr>
                <c:cat>
                  <c:numRef>
                    <c:extLst>
                      <c:ex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c:ext uri="{02D57815-91ED-43cb-92C2-25804820EDAC}">
                        <c15:formulaRef>
                          <c15:sqref>G1_Characteristics_WorkToGo!$H$9:$FT$9</c15:sqref>
                        </c15:formulaRef>
                      </c:ext>
                    </c:extLst>
                    <c:numCache>
                      <c:formatCode>m/d/yyyy</c:formatCode>
                      <c:ptCount val="169"/>
                      <c:pt idx="0">
                        <c:v>45746</c:v>
                      </c:pt>
                      <c:pt idx="1">
                        <c:v>45746</c:v>
                      </c:pt>
                      <c:pt idx="2">
                        <c:v>45746</c:v>
                      </c:pt>
                      <c:pt idx="3">
                        <c:v>45746</c:v>
                      </c:pt>
                      <c:pt idx="4">
                        <c:v>45746</c:v>
                      </c:pt>
                      <c:pt idx="5">
                        <c:v>45746</c:v>
                      </c:pt>
                      <c:pt idx="6">
                        <c:v>45746</c:v>
                      </c:pt>
                      <c:pt idx="7">
                        <c:v>45746</c:v>
                      </c:pt>
                      <c:pt idx="8">
                        <c:v>45746</c:v>
                      </c:pt>
                      <c:pt idx="9">
                        <c:v>45746</c:v>
                      </c:pt>
                      <c:pt idx="10">
                        <c:v>45746</c:v>
                      </c:pt>
                      <c:pt idx="11">
                        <c:v>45746</c:v>
                      </c:pt>
                      <c:pt idx="12">
                        <c:v>45746</c:v>
                      </c:pt>
                      <c:pt idx="13">
                        <c:v>45746</c:v>
                      </c:pt>
                      <c:pt idx="14">
                        <c:v>45746</c:v>
                      </c:pt>
                      <c:pt idx="15">
                        <c:v>45746</c:v>
                      </c:pt>
                      <c:pt idx="16">
                        <c:v>45746</c:v>
                      </c:pt>
                      <c:pt idx="17">
                        <c:v>45746</c:v>
                      </c:pt>
                      <c:pt idx="18">
                        <c:v>45746</c:v>
                      </c:pt>
                      <c:pt idx="19">
                        <c:v>45746</c:v>
                      </c:pt>
                      <c:pt idx="20">
                        <c:v>45746</c:v>
                      </c:pt>
                      <c:pt idx="21">
                        <c:v>45746</c:v>
                      </c:pt>
                      <c:pt idx="22">
                        <c:v>45746</c:v>
                      </c:pt>
                      <c:pt idx="23">
                        <c:v>45746</c:v>
                      </c:pt>
                      <c:pt idx="24">
                        <c:v>45746</c:v>
                      </c:pt>
                      <c:pt idx="25">
                        <c:v>45746</c:v>
                      </c:pt>
                      <c:pt idx="26">
                        <c:v>45746</c:v>
                      </c:pt>
                      <c:pt idx="27">
                        <c:v>45746</c:v>
                      </c:pt>
                      <c:pt idx="28">
                        <c:v>45746</c:v>
                      </c:pt>
                      <c:pt idx="29">
                        <c:v>45746</c:v>
                      </c:pt>
                      <c:pt idx="30">
                        <c:v>45746</c:v>
                      </c:pt>
                      <c:pt idx="31">
                        <c:v>45746</c:v>
                      </c:pt>
                      <c:pt idx="32">
                        <c:v>45746</c:v>
                      </c:pt>
                      <c:pt idx="33">
                        <c:v>45746</c:v>
                      </c:pt>
                      <c:pt idx="34">
                        <c:v>45746</c:v>
                      </c:pt>
                      <c:pt idx="35">
                        <c:v>45746</c:v>
                      </c:pt>
                      <c:pt idx="36">
                        <c:v>45746</c:v>
                      </c:pt>
                      <c:pt idx="37">
                        <c:v>45746</c:v>
                      </c:pt>
                      <c:pt idx="38">
                        <c:v>45746</c:v>
                      </c:pt>
                      <c:pt idx="39">
                        <c:v>45746</c:v>
                      </c:pt>
                      <c:pt idx="40">
                        <c:v>45746</c:v>
                      </c:pt>
                      <c:pt idx="41">
                        <c:v>45746</c:v>
                      </c:pt>
                      <c:pt idx="42">
                        <c:v>45746</c:v>
                      </c:pt>
                      <c:pt idx="43">
                        <c:v>45746</c:v>
                      </c:pt>
                      <c:pt idx="44">
                        <c:v>45746</c:v>
                      </c:pt>
                      <c:pt idx="45">
                        <c:v>45746</c:v>
                      </c:pt>
                      <c:pt idx="46">
                        <c:v>45746</c:v>
                      </c:pt>
                      <c:pt idx="47">
                        <c:v>45746</c:v>
                      </c:pt>
                      <c:pt idx="48">
                        <c:v>45746</c:v>
                      </c:pt>
                      <c:pt idx="49">
                        <c:v>45746</c:v>
                      </c:pt>
                      <c:pt idx="50">
                        <c:v>45746</c:v>
                      </c:pt>
                      <c:pt idx="51">
                        <c:v>45746</c:v>
                      </c:pt>
                      <c:pt idx="52">
                        <c:v>45746</c:v>
                      </c:pt>
                      <c:pt idx="53">
                        <c:v>45746</c:v>
                      </c:pt>
                      <c:pt idx="54">
                        <c:v>45746</c:v>
                      </c:pt>
                      <c:pt idx="55">
                        <c:v>45746</c:v>
                      </c:pt>
                      <c:pt idx="56">
                        <c:v>45746</c:v>
                      </c:pt>
                      <c:pt idx="57">
                        <c:v>45746</c:v>
                      </c:pt>
                      <c:pt idx="58">
                        <c:v>45746</c:v>
                      </c:pt>
                      <c:pt idx="59">
                        <c:v>45746</c:v>
                      </c:pt>
                      <c:pt idx="60">
                        <c:v>45746</c:v>
                      </c:pt>
                      <c:pt idx="61">
                        <c:v>45746</c:v>
                      </c:pt>
                      <c:pt idx="62">
                        <c:v>45746</c:v>
                      </c:pt>
                      <c:pt idx="63">
                        <c:v>45746</c:v>
                      </c:pt>
                      <c:pt idx="64">
                        <c:v>45746</c:v>
                      </c:pt>
                      <c:pt idx="65">
                        <c:v>45746</c:v>
                      </c:pt>
                      <c:pt idx="66">
                        <c:v>45746</c:v>
                      </c:pt>
                      <c:pt idx="67">
                        <c:v>45746</c:v>
                      </c:pt>
                      <c:pt idx="68">
                        <c:v>45746</c:v>
                      </c:pt>
                      <c:pt idx="69">
                        <c:v>45746</c:v>
                      </c:pt>
                      <c:pt idx="70">
                        <c:v>45746</c:v>
                      </c:pt>
                      <c:pt idx="71">
                        <c:v>45746</c:v>
                      </c:pt>
                      <c:pt idx="72">
                        <c:v>45746</c:v>
                      </c:pt>
                      <c:pt idx="73">
                        <c:v>45746</c:v>
                      </c:pt>
                      <c:pt idx="74">
                        <c:v>45746</c:v>
                      </c:pt>
                      <c:pt idx="75">
                        <c:v>45746</c:v>
                      </c:pt>
                      <c:pt idx="76">
                        <c:v>45746</c:v>
                      </c:pt>
                      <c:pt idx="77">
                        <c:v>45746</c:v>
                      </c:pt>
                      <c:pt idx="78">
                        <c:v>45746</c:v>
                      </c:pt>
                      <c:pt idx="79">
                        <c:v>45746</c:v>
                      </c:pt>
                      <c:pt idx="80">
                        <c:v>45746</c:v>
                      </c:pt>
                      <c:pt idx="81">
                        <c:v>45746</c:v>
                      </c:pt>
                      <c:pt idx="82">
                        <c:v>45746</c:v>
                      </c:pt>
                      <c:pt idx="83">
                        <c:v>45746</c:v>
                      </c:pt>
                      <c:pt idx="84">
                        <c:v>45746</c:v>
                      </c:pt>
                      <c:pt idx="85">
                        <c:v>45746</c:v>
                      </c:pt>
                      <c:pt idx="86">
                        <c:v>45746</c:v>
                      </c:pt>
                      <c:pt idx="87">
                        <c:v>45746</c:v>
                      </c:pt>
                      <c:pt idx="88">
                        <c:v>45746</c:v>
                      </c:pt>
                      <c:pt idx="89">
                        <c:v>45746</c:v>
                      </c:pt>
                      <c:pt idx="90">
                        <c:v>45746</c:v>
                      </c:pt>
                      <c:pt idx="91">
                        <c:v>45746</c:v>
                      </c:pt>
                      <c:pt idx="92">
                        <c:v>45746</c:v>
                      </c:pt>
                      <c:pt idx="93">
                        <c:v>45746</c:v>
                      </c:pt>
                      <c:pt idx="94">
                        <c:v>45746</c:v>
                      </c:pt>
                      <c:pt idx="95">
                        <c:v>45746</c:v>
                      </c:pt>
                      <c:pt idx="96">
                        <c:v>45746</c:v>
                      </c:pt>
                      <c:pt idx="97">
                        <c:v>45746</c:v>
                      </c:pt>
                      <c:pt idx="98">
                        <c:v>45746</c:v>
                      </c:pt>
                      <c:pt idx="99">
                        <c:v>45746</c:v>
                      </c:pt>
                      <c:pt idx="100">
                        <c:v>45746</c:v>
                      </c:pt>
                      <c:pt idx="101">
                        <c:v>45746</c:v>
                      </c:pt>
                      <c:pt idx="102">
                        <c:v>45746</c:v>
                      </c:pt>
                      <c:pt idx="103">
                        <c:v>45746</c:v>
                      </c:pt>
                      <c:pt idx="104" formatCode="General">
                        <c:v>0</c:v>
                      </c:pt>
                      <c:pt idx="105" formatCode="General">
                        <c:v>0</c:v>
                      </c:pt>
                      <c:pt idx="106" formatCode="General">
                        <c:v>0</c:v>
                      </c:pt>
                      <c:pt idx="107" formatCode="General">
                        <c:v>0</c:v>
                      </c:pt>
                      <c:pt idx="108" formatCode="General">
                        <c:v>0</c:v>
                      </c:pt>
                      <c:pt idx="109" formatCode="General">
                        <c:v>0</c:v>
                      </c:pt>
                      <c:pt idx="110" formatCode="General">
                        <c:v>0</c:v>
                      </c:pt>
                      <c:pt idx="111" formatCode="General">
                        <c:v>0</c:v>
                      </c:pt>
                      <c:pt idx="112" formatCode="General">
                        <c:v>0</c:v>
                      </c:pt>
                      <c:pt idx="113" formatCode="General">
                        <c:v>0</c:v>
                      </c:pt>
                      <c:pt idx="114" formatCode="General">
                        <c:v>0</c:v>
                      </c:pt>
                      <c:pt idx="115" formatCode="General">
                        <c:v>0</c:v>
                      </c:pt>
                      <c:pt idx="116" formatCode="General">
                        <c:v>0</c:v>
                      </c:pt>
                      <c:pt idx="117" formatCode="General">
                        <c:v>0</c:v>
                      </c:pt>
                      <c:pt idx="118" formatCode="General">
                        <c:v>0</c:v>
                      </c:pt>
                      <c:pt idx="119" formatCode="General">
                        <c:v>0</c:v>
                      </c:pt>
                      <c:pt idx="120" formatCode="General">
                        <c:v>0</c:v>
                      </c:pt>
                      <c:pt idx="121" formatCode="General">
                        <c:v>0</c:v>
                      </c:pt>
                      <c:pt idx="122" formatCode="General">
                        <c:v>0</c:v>
                      </c:pt>
                      <c:pt idx="123" formatCode="General">
                        <c:v>0</c:v>
                      </c:pt>
                      <c:pt idx="124" formatCode="General">
                        <c:v>0</c:v>
                      </c:pt>
                      <c:pt idx="125" formatCode="General">
                        <c:v>0</c:v>
                      </c:pt>
                      <c:pt idx="126" formatCode="General">
                        <c:v>0</c:v>
                      </c:pt>
                      <c:pt idx="127" formatCode="General">
                        <c:v>0</c:v>
                      </c:pt>
                      <c:pt idx="128" formatCode="General">
                        <c:v>0</c:v>
                      </c:pt>
                      <c:pt idx="129" formatCode="General">
                        <c:v>0</c:v>
                      </c:pt>
                      <c:pt idx="130" formatCode="General">
                        <c:v>0</c:v>
                      </c:pt>
                      <c:pt idx="131" formatCode="General">
                        <c:v>0</c:v>
                      </c:pt>
                      <c:pt idx="132" formatCode="General">
                        <c:v>0</c:v>
                      </c:pt>
                      <c:pt idx="133" formatCode="General">
                        <c:v>0</c:v>
                      </c:pt>
                      <c:pt idx="134" formatCode="General">
                        <c:v>0</c:v>
                      </c:pt>
                      <c:pt idx="135" formatCode="General">
                        <c:v>0</c:v>
                      </c:pt>
                      <c:pt idx="136" formatCode="General">
                        <c:v>0</c:v>
                      </c:pt>
                      <c:pt idx="137" formatCode="General">
                        <c:v>0</c:v>
                      </c:pt>
                      <c:pt idx="138" formatCode="General">
                        <c:v>0</c:v>
                      </c:pt>
                      <c:pt idx="139" formatCode="General">
                        <c:v>0</c:v>
                      </c:pt>
                      <c:pt idx="140" formatCode="General">
                        <c:v>0</c:v>
                      </c:pt>
                      <c:pt idx="141" formatCode="General">
                        <c:v>0</c:v>
                      </c:pt>
                      <c:pt idx="142" formatCode="General">
                        <c:v>0</c:v>
                      </c:pt>
                      <c:pt idx="143" formatCode="General">
                        <c:v>0</c:v>
                      </c:pt>
                      <c:pt idx="144" formatCode="General">
                        <c:v>0</c:v>
                      </c:pt>
                      <c:pt idx="145" formatCode="General">
                        <c:v>0</c:v>
                      </c:pt>
                      <c:pt idx="146" formatCode="General">
                        <c:v>0</c:v>
                      </c:pt>
                      <c:pt idx="147" formatCode="General">
                        <c:v>0</c:v>
                      </c:pt>
                      <c:pt idx="148" formatCode="General">
                        <c:v>0</c:v>
                      </c:pt>
                      <c:pt idx="149" formatCode="General">
                        <c:v>0</c:v>
                      </c:pt>
                      <c:pt idx="150" formatCode="General">
                        <c:v>0</c:v>
                      </c:pt>
                      <c:pt idx="151" formatCode="General">
                        <c:v>0</c:v>
                      </c:pt>
                      <c:pt idx="152" formatCode="General">
                        <c:v>0</c:v>
                      </c:pt>
                      <c:pt idx="153" formatCode="General">
                        <c:v>0</c:v>
                      </c:pt>
                      <c:pt idx="154" formatCode="General">
                        <c:v>0</c:v>
                      </c:pt>
                      <c:pt idx="155" formatCode="General">
                        <c:v>0</c:v>
                      </c:pt>
                      <c:pt idx="156" formatCode="General">
                        <c:v>0</c:v>
                      </c:pt>
                      <c:pt idx="157" formatCode="General">
                        <c:v>0</c:v>
                      </c:pt>
                      <c:pt idx="158" formatCode="General">
                        <c:v>0</c:v>
                      </c:pt>
                      <c:pt idx="159" formatCode="General">
                        <c:v>0</c:v>
                      </c:pt>
                      <c:pt idx="160" formatCode="General">
                        <c:v>0</c:v>
                      </c:pt>
                      <c:pt idx="161" formatCode="General">
                        <c:v>0</c:v>
                      </c:pt>
                      <c:pt idx="162" formatCode="General">
                        <c:v>0</c:v>
                      </c:pt>
                      <c:pt idx="163" formatCode="General">
                        <c:v>0</c:v>
                      </c:pt>
                      <c:pt idx="164" formatCode="General">
                        <c:v>0</c:v>
                      </c:pt>
                      <c:pt idx="165" formatCode="General">
                        <c:v>0</c:v>
                      </c:pt>
                      <c:pt idx="166" formatCode="General">
                        <c:v>0</c:v>
                      </c:pt>
                      <c:pt idx="167" formatCode="General">
                        <c:v>0</c:v>
                      </c:pt>
                      <c:pt idx="168" formatCode="General">
                        <c:v>0</c:v>
                      </c:pt>
                    </c:numCache>
                  </c:numRef>
                </c:val>
                <c:extLst>
                  <c:ext xmlns:c16="http://schemas.microsoft.com/office/drawing/2014/chart" uri="{C3380CC4-5D6E-409C-BE32-E72D297353CC}">
                    <c16:uniqueId val="{00000003-EDE3-4AAE-A1F7-B6A1052E7B4A}"/>
                  </c:ext>
                </c:extLst>
              </c15:ser>
            </c15:filteredAreaSeries>
            <c15:filteredAreaSeries>
              <c15:ser>
                <c:idx val="1"/>
                <c:order val="1"/>
                <c:tx>
                  <c:strRef>
                    <c:extLst xmlns:c15="http://schemas.microsoft.com/office/drawing/2012/chart">
                      <c:ext xmlns:c15="http://schemas.microsoft.com/office/drawing/2012/chart" uri="{02D57815-91ED-43cb-92C2-25804820EDAC}">
                        <c15:formulaRef>
                          <c15:sqref>G1_Characteristics_WorkToGo!$G$10</c15:sqref>
                        </c15:formulaRef>
                      </c:ext>
                    </c:extLst>
                    <c:strCache>
                      <c:ptCount val="1"/>
                      <c:pt idx="0">
                        <c:v>Total Activities</c:v>
                      </c:pt>
                    </c:strCache>
                  </c:strRef>
                </c:tx>
                <c:spPr>
                  <a:solidFill>
                    <a:schemeClr val="accent2"/>
                  </a:solidFill>
                  <a:ln>
                    <a:noFill/>
                  </a:ln>
                  <a:effectLst/>
                </c:spPr>
                <c:cat>
                  <c:numRef>
                    <c:extLst xmlns:c15="http://schemas.microsoft.com/office/drawing/2012/chart">
                      <c:ext xmlns:c15="http://schemas.microsoft.com/office/drawing/2012/char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xmlns:c15="http://schemas.microsoft.com/office/drawing/2012/chart">
                      <c:ext xmlns:c15="http://schemas.microsoft.com/office/drawing/2012/chart" uri="{02D57815-91ED-43cb-92C2-25804820EDAC}">
                        <c15:formulaRef>
                          <c15:sqref>G1_Characteristics_WorkToGo!$H$10:$FT$10</c15:sqref>
                        </c15:formulaRef>
                      </c:ext>
                    </c:extLst>
                    <c:numCache>
                      <c:formatCode>General</c:formatCode>
                      <c:ptCount val="169"/>
                      <c:pt idx="0">
                        <c:v>474</c:v>
                      </c:pt>
                      <c:pt idx="1">
                        <c:v>82</c:v>
                      </c:pt>
                      <c:pt idx="2">
                        <c:v>81</c:v>
                      </c:pt>
                      <c:pt idx="3">
                        <c:v>85</c:v>
                      </c:pt>
                      <c:pt idx="4">
                        <c:v>85</c:v>
                      </c:pt>
                      <c:pt idx="5">
                        <c:v>85</c:v>
                      </c:pt>
                      <c:pt idx="6">
                        <c:v>87</c:v>
                      </c:pt>
                      <c:pt idx="7">
                        <c:v>88</c:v>
                      </c:pt>
                      <c:pt idx="8">
                        <c:v>87</c:v>
                      </c:pt>
                      <c:pt idx="9">
                        <c:v>85</c:v>
                      </c:pt>
                      <c:pt idx="10">
                        <c:v>87</c:v>
                      </c:pt>
                      <c:pt idx="11">
                        <c:v>87</c:v>
                      </c:pt>
                      <c:pt idx="12">
                        <c:v>94</c:v>
                      </c:pt>
                      <c:pt idx="13">
                        <c:v>92</c:v>
                      </c:pt>
                      <c:pt idx="14">
                        <c:v>94</c:v>
                      </c:pt>
                      <c:pt idx="15">
                        <c:v>97</c:v>
                      </c:pt>
                      <c:pt idx="16">
                        <c:v>95</c:v>
                      </c:pt>
                      <c:pt idx="17">
                        <c:v>99</c:v>
                      </c:pt>
                      <c:pt idx="18">
                        <c:v>96</c:v>
                      </c:pt>
                      <c:pt idx="19">
                        <c:v>95</c:v>
                      </c:pt>
                      <c:pt idx="20">
                        <c:v>99</c:v>
                      </c:pt>
                      <c:pt idx="21">
                        <c:v>103</c:v>
                      </c:pt>
                      <c:pt idx="22">
                        <c:v>109</c:v>
                      </c:pt>
                      <c:pt idx="23">
                        <c:v>111</c:v>
                      </c:pt>
                      <c:pt idx="24">
                        <c:v>115</c:v>
                      </c:pt>
                      <c:pt idx="25">
                        <c:v>131</c:v>
                      </c:pt>
                      <c:pt idx="26">
                        <c:v>132</c:v>
                      </c:pt>
                      <c:pt idx="27">
                        <c:v>120</c:v>
                      </c:pt>
                      <c:pt idx="28">
                        <c:v>123</c:v>
                      </c:pt>
                      <c:pt idx="29">
                        <c:v>115</c:v>
                      </c:pt>
                      <c:pt idx="30">
                        <c:v>113</c:v>
                      </c:pt>
                      <c:pt idx="31">
                        <c:v>110</c:v>
                      </c:pt>
                      <c:pt idx="32">
                        <c:v>112</c:v>
                      </c:pt>
                      <c:pt idx="33">
                        <c:v>124</c:v>
                      </c:pt>
                      <c:pt idx="34">
                        <c:v>120</c:v>
                      </c:pt>
                      <c:pt idx="35">
                        <c:v>148</c:v>
                      </c:pt>
                      <c:pt idx="36">
                        <c:v>158</c:v>
                      </c:pt>
                      <c:pt idx="37">
                        <c:v>169</c:v>
                      </c:pt>
                      <c:pt idx="38">
                        <c:v>159</c:v>
                      </c:pt>
                      <c:pt idx="39">
                        <c:v>165</c:v>
                      </c:pt>
                      <c:pt idx="40">
                        <c:v>160</c:v>
                      </c:pt>
                      <c:pt idx="41">
                        <c:v>264</c:v>
                      </c:pt>
                      <c:pt idx="42">
                        <c:v>258</c:v>
                      </c:pt>
                      <c:pt idx="43">
                        <c:v>253</c:v>
                      </c:pt>
                      <c:pt idx="44">
                        <c:v>246</c:v>
                      </c:pt>
                      <c:pt idx="45">
                        <c:v>246</c:v>
                      </c:pt>
                      <c:pt idx="46">
                        <c:v>281</c:v>
                      </c:pt>
                      <c:pt idx="47">
                        <c:v>302</c:v>
                      </c:pt>
                      <c:pt idx="48">
                        <c:v>283</c:v>
                      </c:pt>
                      <c:pt idx="49">
                        <c:v>276</c:v>
                      </c:pt>
                      <c:pt idx="50">
                        <c:v>313</c:v>
                      </c:pt>
                      <c:pt idx="51">
                        <c:v>303</c:v>
                      </c:pt>
                      <c:pt idx="52">
                        <c:v>252</c:v>
                      </c:pt>
                      <c:pt idx="53">
                        <c:v>241</c:v>
                      </c:pt>
                      <c:pt idx="54">
                        <c:v>273</c:v>
                      </c:pt>
                      <c:pt idx="55">
                        <c:v>267</c:v>
                      </c:pt>
                      <c:pt idx="56">
                        <c:v>271</c:v>
                      </c:pt>
                      <c:pt idx="57">
                        <c:v>337</c:v>
                      </c:pt>
                      <c:pt idx="58">
                        <c:v>323</c:v>
                      </c:pt>
                      <c:pt idx="59">
                        <c:v>318</c:v>
                      </c:pt>
                      <c:pt idx="60">
                        <c:v>330</c:v>
                      </c:pt>
                      <c:pt idx="61">
                        <c:v>333</c:v>
                      </c:pt>
                      <c:pt idx="62">
                        <c:v>315</c:v>
                      </c:pt>
                      <c:pt idx="63">
                        <c:v>322</c:v>
                      </c:pt>
                      <c:pt idx="64">
                        <c:v>290</c:v>
                      </c:pt>
                      <c:pt idx="65">
                        <c:v>284</c:v>
                      </c:pt>
                      <c:pt idx="66">
                        <c:v>329</c:v>
                      </c:pt>
                      <c:pt idx="67">
                        <c:v>305</c:v>
                      </c:pt>
                      <c:pt idx="68">
                        <c:v>306</c:v>
                      </c:pt>
                      <c:pt idx="69">
                        <c:v>346</c:v>
                      </c:pt>
                      <c:pt idx="70">
                        <c:v>442</c:v>
                      </c:pt>
                      <c:pt idx="71">
                        <c:v>316</c:v>
                      </c:pt>
                      <c:pt idx="72">
                        <c:v>319</c:v>
                      </c:pt>
                      <c:pt idx="73">
                        <c:v>331</c:v>
                      </c:pt>
                      <c:pt idx="74">
                        <c:v>322</c:v>
                      </c:pt>
                      <c:pt idx="75">
                        <c:v>307</c:v>
                      </c:pt>
                      <c:pt idx="76">
                        <c:v>284</c:v>
                      </c:pt>
                      <c:pt idx="77">
                        <c:v>297</c:v>
                      </c:pt>
                      <c:pt idx="78">
                        <c:v>303</c:v>
                      </c:pt>
                      <c:pt idx="79">
                        <c:v>310</c:v>
                      </c:pt>
                      <c:pt idx="80">
                        <c:v>248</c:v>
                      </c:pt>
                      <c:pt idx="81">
                        <c:v>265</c:v>
                      </c:pt>
                      <c:pt idx="82">
                        <c:v>273</c:v>
                      </c:pt>
                      <c:pt idx="83">
                        <c:v>313</c:v>
                      </c:pt>
                      <c:pt idx="84">
                        <c:v>281</c:v>
                      </c:pt>
                      <c:pt idx="85">
                        <c:v>265</c:v>
                      </c:pt>
                      <c:pt idx="86">
                        <c:v>292</c:v>
                      </c:pt>
                      <c:pt idx="87">
                        <c:v>296</c:v>
                      </c:pt>
                      <c:pt idx="88">
                        <c:v>279</c:v>
                      </c:pt>
                      <c:pt idx="89">
                        <c:v>241</c:v>
                      </c:pt>
                      <c:pt idx="90">
                        <c:v>181</c:v>
                      </c:pt>
                      <c:pt idx="91">
                        <c:v>126</c:v>
                      </c:pt>
                      <c:pt idx="92">
                        <c:v>78</c:v>
                      </c:pt>
                      <c:pt idx="93">
                        <c:v>92</c:v>
                      </c:pt>
                      <c:pt idx="94">
                        <c:v>59</c:v>
                      </c:pt>
                      <c:pt idx="95">
                        <c:v>62</c:v>
                      </c:pt>
                      <c:pt idx="96">
                        <c:v>74</c:v>
                      </c:pt>
                      <c:pt idx="97">
                        <c:v>24</c:v>
                      </c:pt>
                      <c:pt idx="98">
                        <c:v>24</c:v>
                      </c:pt>
                      <c:pt idx="99">
                        <c:v>16</c:v>
                      </c:pt>
                      <c:pt idx="100">
                        <c:v>19</c:v>
                      </c:pt>
                      <c:pt idx="101">
                        <c:v>4</c:v>
                      </c:pt>
                      <c:pt idx="102">
                        <c:v>10</c:v>
                      </c:pt>
                      <c:pt idx="103">
                        <c:v>6</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extLst xmlns:c15="http://schemas.microsoft.com/office/drawing/2012/chart">
                  <c:ext xmlns:c16="http://schemas.microsoft.com/office/drawing/2014/chart" uri="{C3380CC4-5D6E-409C-BE32-E72D297353CC}">
                    <c16:uniqueId val="{00000004-EDE3-4AAE-A1F7-B6A1052E7B4A}"/>
                  </c:ext>
                </c:extLst>
              </c15:ser>
            </c15:filteredAreaSeries>
            <c15:filteredAreaSeries>
              <c15:ser>
                <c:idx val="2"/>
                <c:order val="2"/>
                <c:tx>
                  <c:strRef>
                    <c:extLst xmlns:c15="http://schemas.microsoft.com/office/drawing/2012/chart">
                      <c:ext xmlns:c15="http://schemas.microsoft.com/office/drawing/2012/chart" uri="{02D57815-91ED-43cb-92C2-25804820EDAC}">
                        <c15:formulaRef>
                          <c15:sqref>G1_Characteristics_WorkToGo!$G$11</c15:sqref>
                        </c15:formulaRef>
                      </c:ext>
                    </c:extLst>
                    <c:strCache>
                      <c:ptCount val="1"/>
                      <c:pt idx="0">
                        <c:v>Milestones</c:v>
                      </c:pt>
                    </c:strCache>
                  </c:strRef>
                </c:tx>
                <c:spPr>
                  <a:solidFill>
                    <a:schemeClr val="accent3"/>
                  </a:solidFill>
                  <a:ln>
                    <a:noFill/>
                  </a:ln>
                  <a:effectLst/>
                </c:spPr>
                <c:cat>
                  <c:numRef>
                    <c:extLst xmlns:c15="http://schemas.microsoft.com/office/drawing/2012/chart">
                      <c:ext xmlns:c15="http://schemas.microsoft.com/office/drawing/2012/char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xmlns:c15="http://schemas.microsoft.com/office/drawing/2012/chart">
                      <c:ext xmlns:c15="http://schemas.microsoft.com/office/drawing/2012/chart" uri="{02D57815-91ED-43cb-92C2-25804820EDAC}">
                        <c15:formulaRef>
                          <c15:sqref>G1_Characteristics_WorkToGo!$H$11:$FT$11</c15:sqref>
                        </c15:formulaRef>
                      </c:ext>
                    </c:extLst>
                    <c:numCache>
                      <c:formatCode>General</c:formatCode>
                      <c:ptCount val="169"/>
                      <c:pt idx="0">
                        <c:v>363</c:v>
                      </c:pt>
                      <c:pt idx="1">
                        <c:v>0</c:v>
                      </c:pt>
                      <c:pt idx="2">
                        <c:v>0</c:v>
                      </c:pt>
                      <c:pt idx="3">
                        <c:v>0</c:v>
                      </c:pt>
                      <c:pt idx="4">
                        <c:v>0</c:v>
                      </c:pt>
                      <c:pt idx="5">
                        <c:v>0</c:v>
                      </c:pt>
                      <c:pt idx="6">
                        <c:v>0</c:v>
                      </c:pt>
                      <c:pt idx="7">
                        <c:v>0</c:v>
                      </c:pt>
                      <c:pt idx="8">
                        <c:v>0</c:v>
                      </c:pt>
                      <c:pt idx="9">
                        <c:v>0</c:v>
                      </c:pt>
                      <c:pt idx="10">
                        <c:v>0</c:v>
                      </c:pt>
                      <c:pt idx="11">
                        <c:v>0</c:v>
                      </c:pt>
                      <c:pt idx="12">
                        <c:v>2</c:v>
                      </c:pt>
                      <c:pt idx="13">
                        <c:v>0</c:v>
                      </c:pt>
                      <c:pt idx="14">
                        <c:v>0</c:v>
                      </c:pt>
                      <c:pt idx="15">
                        <c:v>0</c:v>
                      </c:pt>
                      <c:pt idx="16">
                        <c:v>0</c:v>
                      </c:pt>
                      <c:pt idx="17">
                        <c:v>0</c:v>
                      </c:pt>
                      <c:pt idx="18">
                        <c:v>1</c:v>
                      </c:pt>
                      <c:pt idx="19">
                        <c:v>0</c:v>
                      </c:pt>
                      <c:pt idx="20">
                        <c:v>1</c:v>
                      </c:pt>
                      <c:pt idx="21">
                        <c:v>0</c:v>
                      </c:pt>
                      <c:pt idx="22">
                        <c:v>1</c:v>
                      </c:pt>
                      <c:pt idx="23">
                        <c:v>1</c:v>
                      </c:pt>
                      <c:pt idx="24">
                        <c:v>0</c:v>
                      </c:pt>
                      <c:pt idx="25">
                        <c:v>1</c:v>
                      </c:pt>
                      <c:pt idx="26">
                        <c:v>2</c:v>
                      </c:pt>
                      <c:pt idx="27">
                        <c:v>0</c:v>
                      </c:pt>
                      <c:pt idx="28">
                        <c:v>0</c:v>
                      </c:pt>
                      <c:pt idx="29">
                        <c:v>0</c:v>
                      </c:pt>
                      <c:pt idx="30">
                        <c:v>2</c:v>
                      </c:pt>
                      <c:pt idx="31">
                        <c:v>0</c:v>
                      </c:pt>
                      <c:pt idx="32">
                        <c:v>0</c:v>
                      </c:pt>
                      <c:pt idx="33">
                        <c:v>1</c:v>
                      </c:pt>
                      <c:pt idx="34">
                        <c:v>0</c:v>
                      </c:pt>
                      <c:pt idx="35">
                        <c:v>2</c:v>
                      </c:pt>
                      <c:pt idx="36">
                        <c:v>4</c:v>
                      </c:pt>
                      <c:pt idx="37">
                        <c:v>9</c:v>
                      </c:pt>
                      <c:pt idx="38">
                        <c:v>0</c:v>
                      </c:pt>
                      <c:pt idx="39">
                        <c:v>3</c:v>
                      </c:pt>
                      <c:pt idx="40">
                        <c:v>2</c:v>
                      </c:pt>
                      <c:pt idx="41">
                        <c:v>30</c:v>
                      </c:pt>
                      <c:pt idx="42">
                        <c:v>8</c:v>
                      </c:pt>
                      <c:pt idx="43">
                        <c:v>1</c:v>
                      </c:pt>
                      <c:pt idx="44">
                        <c:v>2</c:v>
                      </c:pt>
                      <c:pt idx="45">
                        <c:v>5</c:v>
                      </c:pt>
                      <c:pt idx="46">
                        <c:v>8</c:v>
                      </c:pt>
                      <c:pt idx="47">
                        <c:v>13</c:v>
                      </c:pt>
                      <c:pt idx="48">
                        <c:v>10</c:v>
                      </c:pt>
                      <c:pt idx="49">
                        <c:v>8</c:v>
                      </c:pt>
                      <c:pt idx="50">
                        <c:v>6</c:v>
                      </c:pt>
                      <c:pt idx="51">
                        <c:v>10</c:v>
                      </c:pt>
                      <c:pt idx="52">
                        <c:v>6</c:v>
                      </c:pt>
                      <c:pt idx="53">
                        <c:v>3</c:v>
                      </c:pt>
                      <c:pt idx="54">
                        <c:v>8</c:v>
                      </c:pt>
                      <c:pt idx="55">
                        <c:v>3</c:v>
                      </c:pt>
                      <c:pt idx="56">
                        <c:v>2</c:v>
                      </c:pt>
                      <c:pt idx="57">
                        <c:v>7</c:v>
                      </c:pt>
                      <c:pt idx="58">
                        <c:v>9</c:v>
                      </c:pt>
                      <c:pt idx="59">
                        <c:v>10</c:v>
                      </c:pt>
                      <c:pt idx="60">
                        <c:v>12</c:v>
                      </c:pt>
                      <c:pt idx="61">
                        <c:v>24</c:v>
                      </c:pt>
                      <c:pt idx="62">
                        <c:v>16</c:v>
                      </c:pt>
                      <c:pt idx="63">
                        <c:v>27</c:v>
                      </c:pt>
                      <c:pt idx="64">
                        <c:v>9</c:v>
                      </c:pt>
                      <c:pt idx="65">
                        <c:v>12</c:v>
                      </c:pt>
                      <c:pt idx="66">
                        <c:v>45</c:v>
                      </c:pt>
                      <c:pt idx="67">
                        <c:v>17</c:v>
                      </c:pt>
                      <c:pt idx="68">
                        <c:v>9</c:v>
                      </c:pt>
                      <c:pt idx="69">
                        <c:v>17</c:v>
                      </c:pt>
                      <c:pt idx="70">
                        <c:v>107</c:v>
                      </c:pt>
                      <c:pt idx="71">
                        <c:v>7</c:v>
                      </c:pt>
                      <c:pt idx="72">
                        <c:v>12</c:v>
                      </c:pt>
                      <c:pt idx="73">
                        <c:v>10</c:v>
                      </c:pt>
                      <c:pt idx="74">
                        <c:v>15</c:v>
                      </c:pt>
                      <c:pt idx="75">
                        <c:v>14</c:v>
                      </c:pt>
                      <c:pt idx="76">
                        <c:v>11</c:v>
                      </c:pt>
                      <c:pt idx="77">
                        <c:v>15</c:v>
                      </c:pt>
                      <c:pt idx="78">
                        <c:v>11</c:v>
                      </c:pt>
                      <c:pt idx="79">
                        <c:v>24</c:v>
                      </c:pt>
                      <c:pt idx="80">
                        <c:v>7</c:v>
                      </c:pt>
                      <c:pt idx="81">
                        <c:v>7</c:v>
                      </c:pt>
                      <c:pt idx="82">
                        <c:v>12</c:v>
                      </c:pt>
                      <c:pt idx="83">
                        <c:v>24</c:v>
                      </c:pt>
                      <c:pt idx="84">
                        <c:v>17</c:v>
                      </c:pt>
                      <c:pt idx="85">
                        <c:v>18</c:v>
                      </c:pt>
                      <c:pt idx="86">
                        <c:v>30</c:v>
                      </c:pt>
                      <c:pt idx="87">
                        <c:v>35</c:v>
                      </c:pt>
                      <c:pt idx="88">
                        <c:v>51</c:v>
                      </c:pt>
                      <c:pt idx="89">
                        <c:v>33</c:v>
                      </c:pt>
                      <c:pt idx="90">
                        <c:v>26</c:v>
                      </c:pt>
                      <c:pt idx="91">
                        <c:v>16</c:v>
                      </c:pt>
                      <c:pt idx="92">
                        <c:v>5</c:v>
                      </c:pt>
                      <c:pt idx="93">
                        <c:v>9</c:v>
                      </c:pt>
                      <c:pt idx="94">
                        <c:v>3</c:v>
                      </c:pt>
                      <c:pt idx="95">
                        <c:v>6</c:v>
                      </c:pt>
                      <c:pt idx="96">
                        <c:v>15</c:v>
                      </c:pt>
                      <c:pt idx="97">
                        <c:v>0</c:v>
                      </c:pt>
                      <c:pt idx="98">
                        <c:v>3</c:v>
                      </c:pt>
                      <c:pt idx="99">
                        <c:v>1</c:v>
                      </c:pt>
                      <c:pt idx="100">
                        <c:v>5</c:v>
                      </c:pt>
                      <c:pt idx="101">
                        <c:v>0</c:v>
                      </c:pt>
                      <c:pt idx="102">
                        <c:v>4</c:v>
                      </c:pt>
                      <c:pt idx="103">
                        <c:v>2</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extLst xmlns:c15="http://schemas.microsoft.com/office/drawing/2012/chart">
                  <c:ext xmlns:c16="http://schemas.microsoft.com/office/drawing/2014/chart" uri="{C3380CC4-5D6E-409C-BE32-E72D297353CC}">
                    <c16:uniqueId val="{00000000-EDE3-4AAE-A1F7-B6A1052E7B4A}"/>
                  </c:ext>
                </c:extLst>
              </c15:ser>
            </c15:filteredAreaSeries>
            <c15:filteredAreaSeries>
              <c15:ser>
                <c:idx val="4"/>
                <c:order val="4"/>
                <c:tx>
                  <c:strRef>
                    <c:extLst xmlns:c15="http://schemas.microsoft.com/office/drawing/2012/chart">
                      <c:ext xmlns:c15="http://schemas.microsoft.com/office/drawing/2012/chart" uri="{02D57815-91ED-43cb-92C2-25804820EDAC}">
                        <c15:formulaRef>
                          <c15:sqref>G1_Characteristics_WorkToGo!$G$13</c15:sqref>
                        </c15:formulaRef>
                      </c:ext>
                    </c:extLst>
                    <c:strCache>
                      <c:ptCount val="1"/>
                      <c:pt idx="0">
                        <c:v>Summaries</c:v>
                      </c:pt>
                    </c:strCache>
                  </c:strRef>
                </c:tx>
                <c:spPr>
                  <a:solidFill>
                    <a:schemeClr val="accent5"/>
                  </a:solidFill>
                  <a:ln>
                    <a:noFill/>
                  </a:ln>
                  <a:effectLst/>
                </c:spPr>
                <c:cat>
                  <c:numRef>
                    <c:extLst xmlns:c15="http://schemas.microsoft.com/office/drawing/2012/chart">
                      <c:ext xmlns:c15="http://schemas.microsoft.com/office/drawing/2012/char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xmlns:c15="http://schemas.microsoft.com/office/drawing/2012/chart">
                      <c:ext xmlns:c15="http://schemas.microsoft.com/office/drawing/2012/chart" uri="{02D57815-91ED-43cb-92C2-25804820EDAC}">
                        <c15:formulaRef>
                          <c15:sqref>G1_Characteristics_WorkToGo!$H$13:$FT$13</c15:sqref>
                        </c15:formulaRef>
                      </c:ext>
                    </c:extLst>
                    <c:numCache>
                      <c:formatCode>General</c:formatCode>
                      <c:ptCount val="169"/>
                      <c:pt idx="0">
                        <c:v>103</c:v>
                      </c:pt>
                      <c:pt idx="1">
                        <c:v>81</c:v>
                      </c:pt>
                      <c:pt idx="2">
                        <c:v>81</c:v>
                      </c:pt>
                      <c:pt idx="3">
                        <c:v>84</c:v>
                      </c:pt>
                      <c:pt idx="4">
                        <c:v>84</c:v>
                      </c:pt>
                      <c:pt idx="5">
                        <c:v>84</c:v>
                      </c:pt>
                      <c:pt idx="6">
                        <c:v>84</c:v>
                      </c:pt>
                      <c:pt idx="7">
                        <c:v>84</c:v>
                      </c:pt>
                      <c:pt idx="8">
                        <c:v>84</c:v>
                      </c:pt>
                      <c:pt idx="9">
                        <c:v>84</c:v>
                      </c:pt>
                      <c:pt idx="10">
                        <c:v>84</c:v>
                      </c:pt>
                      <c:pt idx="11">
                        <c:v>84</c:v>
                      </c:pt>
                      <c:pt idx="12">
                        <c:v>88</c:v>
                      </c:pt>
                      <c:pt idx="13">
                        <c:v>88</c:v>
                      </c:pt>
                      <c:pt idx="14">
                        <c:v>89</c:v>
                      </c:pt>
                      <c:pt idx="15">
                        <c:v>89</c:v>
                      </c:pt>
                      <c:pt idx="16">
                        <c:v>89</c:v>
                      </c:pt>
                      <c:pt idx="17">
                        <c:v>91</c:v>
                      </c:pt>
                      <c:pt idx="18">
                        <c:v>90</c:v>
                      </c:pt>
                      <c:pt idx="19">
                        <c:v>91</c:v>
                      </c:pt>
                      <c:pt idx="20">
                        <c:v>92</c:v>
                      </c:pt>
                      <c:pt idx="21">
                        <c:v>93</c:v>
                      </c:pt>
                      <c:pt idx="22">
                        <c:v>96</c:v>
                      </c:pt>
                      <c:pt idx="23">
                        <c:v>97</c:v>
                      </c:pt>
                      <c:pt idx="24">
                        <c:v>100</c:v>
                      </c:pt>
                      <c:pt idx="25">
                        <c:v>101</c:v>
                      </c:pt>
                      <c:pt idx="26">
                        <c:v>101</c:v>
                      </c:pt>
                      <c:pt idx="27">
                        <c:v>100</c:v>
                      </c:pt>
                      <c:pt idx="28">
                        <c:v>101</c:v>
                      </c:pt>
                      <c:pt idx="29">
                        <c:v>101</c:v>
                      </c:pt>
                      <c:pt idx="30">
                        <c:v>101</c:v>
                      </c:pt>
                      <c:pt idx="31">
                        <c:v>101</c:v>
                      </c:pt>
                      <c:pt idx="32">
                        <c:v>101</c:v>
                      </c:pt>
                      <c:pt idx="33">
                        <c:v>104</c:v>
                      </c:pt>
                      <c:pt idx="34">
                        <c:v>103</c:v>
                      </c:pt>
                      <c:pt idx="35">
                        <c:v>111</c:v>
                      </c:pt>
                      <c:pt idx="36">
                        <c:v>111</c:v>
                      </c:pt>
                      <c:pt idx="37">
                        <c:v>117</c:v>
                      </c:pt>
                      <c:pt idx="38">
                        <c:v>120</c:v>
                      </c:pt>
                      <c:pt idx="39">
                        <c:v>115</c:v>
                      </c:pt>
                      <c:pt idx="40">
                        <c:v>115</c:v>
                      </c:pt>
                      <c:pt idx="41">
                        <c:v>152</c:v>
                      </c:pt>
                      <c:pt idx="42">
                        <c:v>156</c:v>
                      </c:pt>
                      <c:pt idx="43">
                        <c:v>157</c:v>
                      </c:pt>
                      <c:pt idx="44">
                        <c:v>154</c:v>
                      </c:pt>
                      <c:pt idx="45">
                        <c:v>158</c:v>
                      </c:pt>
                      <c:pt idx="46">
                        <c:v>177</c:v>
                      </c:pt>
                      <c:pt idx="47">
                        <c:v>180</c:v>
                      </c:pt>
                      <c:pt idx="48">
                        <c:v>173</c:v>
                      </c:pt>
                      <c:pt idx="49">
                        <c:v>174</c:v>
                      </c:pt>
                      <c:pt idx="50">
                        <c:v>182</c:v>
                      </c:pt>
                      <c:pt idx="51">
                        <c:v>173</c:v>
                      </c:pt>
                      <c:pt idx="52">
                        <c:v>160</c:v>
                      </c:pt>
                      <c:pt idx="53">
                        <c:v>162</c:v>
                      </c:pt>
                      <c:pt idx="54">
                        <c:v>165</c:v>
                      </c:pt>
                      <c:pt idx="55">
                        <c:v>163</c:v>
                      </c:pt>
                      <c:pt idx="56">
                        <c:v>167</c:v>
                      </c:pt>
                      <c:pt idx="57">
                        <c:v>182</c:v>
                      </c:pt>
                      <c:pt idx="58">
                        <c:v>188</c:v>
                      </c:pt>
                      <c:pt idx="59">
                        <c:v>186</c:v>
                      </c:pt>
                      <c:pt idx="60">
                        <c:v>195</c:v>
                      </c:pt>
                      <c:pt idx="61">
                        <c:v>192</c:v>
                      </c:pt>
                      <c:pt idx="62">
                        <c:v>184</c:v>
                      </c:pt>
                      <c:pt idx="63">
                        <c:v>184</c:v>
                      </c:pt>
                      <c:pt idx="64">
                        <c:v>178</c:v>
                      </c:pt>
                      <c:pt idx="65">
                        <c:v>178</c:v>
                      </c:pt>
                      <c:pt idx="66">
                        <c:v>171</c:v>
                      </c:pt>
                      <c:pt idx="67">
                        <c:v>170</c:v>
                      </c:pt>
                      <c:pt idx="68">
                        <c:v>172</c:v>
                      </c:pt>
                      <c:pt idx="69">
                        <c:v>183</c:v>
                      </c:pt>
                      <c:pt idx="70">
                        <c:v>178</c:v>
                      </c:pt>
                      <c:pt idx="71">
                        <c:v>177</c:v>
                      </c:pt>
                      <c:pt idx="72">
                        <c:v>177</c:v>
                      </c:pt>
                      <c:pt idx="73">
                        <c:v>177</c:v>
                      </c:pt>
                      <c:pt idx="74">
                        <c:v>179</c:v>
                      </c:pt>
                      <c:pt idx="75">
                        <c:v>176</c:v>
                      </c:pt>
                      <c:pt idx="76">
                        <c:v>172</c:v>
                      </c:pt>
                      <c:pt idx="77">
                        <c:v>175</c:v>
                      </c:pt>
                      <c:pt idx="78">
                        <c:v>180</c:v>
                      </c:pt>
                      <c:pt idx="79">
                        <c:v>180</c:v>
                      </c:pt>
                      <c:pt idx="80">
                        <c:v>168</c:v>
                      </c:pt>
                      <c:pt idx="81">
                        <c:v>174</c:v>
                      </c:pt>
                      <c:pt idx="82">
                        <c:v>175</c:v>
                      </c:pt>
                      <c:pt idx="83">
                        <c:v>177</c:v>
                      </c:pt>
                      <c:pt idx="84">
                        <c:v>170</c:v>
                      </c:pt>
                      <c:pt idx="85">
                        <c:v>164</c:v>
                      </c:pt>
                      <c:pt idx="86">
                        <c:v>161</c:v>
                      </c:pt>
                      <c:pt idx="87">
                        <c:v>139</c:v>
                      </c:pt>
                      <c:pt idx="88">
                        <c:v>131</c:v>
                      </c:pt>
                      <c:pt idx="89">
                        <c:v>119</c:v>
                      </c:pt>
                      <c:pt idx="90">
                        <c:v>86</c:v>
                      </c:pt>
                      <c:pt idx="91">
                        <c:v>65</c:v>
                      </c:pt>
                      <c:pt idx="92">
                        <c:v>49</c:v>
                      </c:pt>
                      <c:pt idx="93">
                        <c:v>50</c:v>
                      </c:pt>
                      <c:pt idx="94">
                        <c:v>35</c:v>
                      </c:pt>
                      <c:pt idx="95">
                        <c:v>33</c:v>
                      </c:pt>
                      <c:pt idx="96">
                        <c:v>27</c:v>
                      </c:pt>
                      <c:pt idx="97">
                        <c:v>13</c:v>
                      </c:pt>
                      <c:pt idx="98">
                        <c:v>14</c:v>
                      </c:pt>
                      <c:pt idx="99">
                        <c:v>10</c:v>
                      </c:pt>
                      <c:pt idx="100">
                        <c:v>10</c:v>
                      </c:pt>
                      <c:pt idx="101">
                        <c:v>3</c:v>
                      </c:pt>
                      <c:pt idx="102">
                        <c:v>3</c:v>
                      </c:pt>
                      <c:pt idx="103">
                        <c:v>3</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extLst xmlns:c15="http://schemas.microsoft.com/office/drawing/2012/chart">
                  <c:ext xmlns:c16="http://schemas.microsoft.com/office/drawing/2014/chart" uri="{C3380CC4-5D6E-409C-BE32-E72D297353CC}">
                    <c16:uniqueId val="{00000006-EDE3-4AAE-A1F7-B6A1052E7B4A}"/>
                  </c:ext>
                </c:extLst>
              </c15:ser>
            </c15:filteredAreaSeries>
            <c15:filteredAreaSeries>
              <c15:ser>
                <c:idx val="5"/>
                <c:order val="5"/>
                <c:tx>
                  <c:strRef>
                    <c:extLst xmlns:c15="http://schemas.microsoft.com/office/drawing/2012/chart">
                      <c:ext xmlns:c15="http://schemas.microsoft.com/office/drawing/2012/chart" uri="{02D57815-91ED-43cb-92C2-25804820EDAC}">
                        <c15:formulaRef>
                          <c15:sqref>G1_Characteristics_WorkToGo!$G$14</c15:sqref>
                        </c15:formulaRef>
                      </c:ext>
                    </c:extLst>
                    <c:strCache>
                      <c:ptCount val="1"/>
                      <c:pt idx="0">
                        <c:v>Hammocks</c:v>
                      </c:pt>
                    </c:strCache>
                  </c:strRef>
                </c:tx>
                <c:spPr>
                  <a:solidFill>
                    <a:schemeClr val="accent6"/>
                  </a:solidFill>
                  <a:ln>
                    <a:noFill/>
                  </a:ln>
                  <a:effectLst/>
                </c:spPr>
                <c:cat>
                  <c:numRef>
                    <c:extLst xmlns:c15="http://schemas.microsoft.com/office/drawing/2012/chart">
                      <c:ext xmlns:c15="http://schemas.microsoft.com/office/drawing/2012/char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xmlns:c15="http://schemas.microsoft.com/office/drawing/2012/chart">
                      <c:ext xmlns:c15="http://schemas.microsoft.com/office/drawing/2012/chart" uri="{02D57815-91ED-43cb-92C2-25804820EDAC}">
                        <c15:formulaRef>
                          <c15:sqref>G1_Characteristics_WorkToGo!$H$14:$FT$14</c15:sqref>
                        </c15:formulaRef>
                      </c:ext>
                    </c:extLst>
                    <c:numCache>
                      <c:formatCode>General</c:formatCode>
                      <c:ptCount val="16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extLst xmlns:c15="http://schemas.microsoft.com/office/drawing/2012/chart">
                  <c:ext xmlns:c16="http://schemas.microsoft.com/office/drawing/2014/chart" uri="{C3380CC4-5D6E-409C-BE32-E72D297353CC}">
                    <c16:uniqueId val="{00000007-EDE3-4AAE-A1F7-B6A1052E7B4A}"/>
                  </c:ext>
                </c:extLst>
              </c15:ser>
            </c15:filteredAreaSeries>
            <c15:filteredAreaSeries>
              <c15:ser>
                <c:idx val="6"/>
                <c:order val="6"/>
                <c:tx>
                  <c:strRef>
                    <c:extLst xmlns:c15="http://schemas.microsoft.com/office/drawing/2012/chart">
                      <c:ext xmlns:c15="http://schemas.microsoft.com/office/drawing/2012/chart" uri="{02D57815-91ED-43cb-92C2-25804820EDAC}">
                        <c15:formulaRef>
                          <c15:sqref>G1_Characteristics_WorkToGo!$G$15</c15:sqref>
                        </c15:formulaRef>
                      </c:ext>
                    </c:extLst>
                    <c:strCache>
                      <c:ptCount val="1"/>
                      <c:pt idx="0">
                        <c:v>Recurring Normal Tasks</c:v>
                      </c:pt>
                    </c:strCache>
                  </c:strRef>
                </c:tx>
                <c:spPr>
                  <a:solidFill>
                    <a:schemeClr val="accent1">
                      <a:lumMod val="60000"/>
                    </a:schemeClr>
                  </a:solidFill>
                  <a:ln>
                    <a:noFill/>
                  </a:ln>
                  <a:effectLst/>
                </c:spPr>
                <c:cat>
                  <c:numRef>
                    <c:extLst xmlns:c15="http://schemas.microsoft.com/office/drawing/2012/chart">
                      <c:ext xmlns:c15="http://schemas.microsoft.com/office/drawing/2012/char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xmlns:c15="http://schemas.microsoft.com/office/drawing/2012/chart">
                      <c:ext xmlns:c15="http://schemas.microsoft.com/office/drawing/2012/chart" uri="{02D57815-91ED-43cb-92C2-25804820EDAC}">
                        <c15:formulaRef>
                          <c15:sqref>G1_Characteristics_WorkToGo!$H$15:$FT$15</c15:sqref>
                        </c15:formulaRef>
                      </c:ext>
                    </c:extLst>
                    <c:numCache>
                      <c:formatCode>General</c:formatCode>
                      <c:ptCount val="16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1</c:v>
                      </c:pt>
                      <c:pt idx="78">
                        <c:v>1</c:v>
                      </c:pt>
                      <c:pt idx="79">
                        <c:v>1</c:v>
                      </c:pt>
                      <c:pt idx="80">
                        <c:v>1</c:v>
                      </c:pt>
                      <c:pt idx="81">
                        <c:v>1</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extLst xmlns:c15="http://schemas.microsoft.com/office/drawing/2012/chart">
                  <c:ext xmlns:c16="http://schemas.microsoft.com/office/drawing/2014/chart" uri="{C3380CC4-5D6E-409C-BE32-E72D297353CC}">
                    <c16:uniqueId val="{00000008-EDE3-4AAE-A1F7-B6A1052E7B4A}"/>
                  </c:ext>
                </c:extLst>
              </c15:ser>
            </c15:filteredAreaSeries>
            <c15:filteredAreaSeries>
              <c15:ser>
                <c:idx val="7"/>
                <c:order val="7"/>
                <c:tx>
                  <c:strRef>
                    <c:extLst xmlns:c15="http://schemas.microsoft.com/office/drawing/2012/chart">
                      <c:ext xmlns:c15="http://schemas.microsoft.com/office/drawing/2012/chart" uri="{02D57815-91ED-43cb-92C2-25804820EDAC}">
                        <c15:formulaRef>
                          <c15:sqref>G1_Characteristics_WorkToGo!$G$16</c15:sqref>
                        </c15:formulaRef>
                      </c:ext>
                    </c:extLst>
                    <c:strCache>
                      <c:ptCount val="1"/>
                      <c:pt idx="0">
                        <c:v>Total Tasks &amp; Milestones</c:v>
                      </c:pt>
                    </c:strCache>
                  </c:strRef>
                </c:tx>
                <c:spPr>
                  <a:solidFill>
                    <a:schemeClr val="accent2">
                      <a:lumMod val="60000"/>
                    </a:schemeClr>
                  </a:solidFill>
                  <a:ln>
                    <a:noFill/>
                  </a:ln>
                  <a:effectLst/>
                </c:spPr>
                <c:cat>
                  <c:numRef>
                    <c:extLst xmlns:c15="http://schemas.microsoft.com/office/drawing/2012/chart">
                      <c:ext xmlns:c15="http://schemas.microsoft.com/office/drawing/2012/char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xmlns:c15="http://schemas.microsoft.com/office/drawing/2012/chart">
                      <c:ext xmlns:c15="http://schemas.microsoft.com/office/drawing/2012/chart" uri="{02D57815-91ED-43cb-92C2-25804820EDAC}">
                        <c15:formulaRef>
                          <c15:sqref>G1_Characteristics_WorkToGo!$H$16:$FT$16</c15:sqref>
                        </c15:formulaRef>
                      </c:ext>
                    </c:extLst>
                    <c:numCache>
                      <c:formatCode>General</c:formatCode>
                      <c:ptCount val="169"/>
                      <c:pt idx="0">
                        <c:v>371</c:v>
                      </c:pt>
                      <c:pt idx="1">
                        <c:v>1</c:v>
                      </c:pt>
                      <c:pt idx="2">
                        <c:v>0</c:v>
                      </c:pt>
                      <c:pt idx="3">
                        <c:v>1</c:v>
                      </c:pt>
                      <c:pt idx="4">
                        <c:v>1</c:v>
                      </c:pt>
                      <c:pt idx="5">
                        <c:v>1</c:v>
                      </c:pt>
                      <c:pt idx="6">
                        <c:v>3</c:v>
                      </c:pt>
                      <c:pt idx="7">
                        <c:v>4</c:v>
                      </c:pt>
                      <c:pt idx="8">
                        <c:v>3</c:v>
                      </c:pt>
                      <c:pt idx="9">
                        <c:v>1</c:v>
                      </c:pt>
                      <c:pt idx="10">
                        <c:v>3</c:v>
                      </c:pt>
                      <c:pt idx="11">
                        <c:v>3</c:v>
                      </c:pt>
                      <c:pt idx="12">
                        <c:v>6</c:v>
                      </c:pt>
                      <c:pt idx="13">
                        <c:v>4</c:v>
                      </c:pt>
                      <c:pt idx="14">
                        <c:v>5</c:v>
                      </c:pt>
                      <c:pt idx="15">
                        <c:v>8</c:v>
                      </c:pt>
                      <c:pt idx="16">
                        <c:v>6</c:v>
                      </c:pt>
                      <c:pt idx="17">
                        <c:v>8</c:v>
                      </c:pt>
                      <c:pt idx="18">
                        <c:v>6</c:v>
                      </c:pt>
                      <c:pt idx="19">
                        <c:v>4</c:v>
                      </c:pt>
                      <c:pt idx="20">
                        <c:v>7</c:v>
                      </c:pt>
                      <c:pt idx="21">
                        <c:v>10</c:v>
                      </c:pt>
                      <c:pt idx="22">
                        <c:v>13</c:v>
                      </c:pt>
                      <c:pt idx="23">
                        <c:v>14</c:v>
                      </c:pt>
                      <c:pt idx="24">
                        <c:v>15</c:v>
                      </c:pt>
                      <c:pt idx="25">
                        <c:v>30</c:v>
                      </c:pt>
                      <c:pt idx="26">
                        <c:v>31</c:v>
                      </c:pt>
                      <c:pt idx="27">
                        <c:v>20</c:v>
                      </c:pt>
                      <c:pt idx="28">
                        <c:v>22</c:v>
                      </c:pt>
                      <c:pt idx="29">
                        <c:v>14</c:v>
                      </c:pt>
                      <c:pt idx="30">
                        <c:v>12</c:v>
                      </c:pt>
                      <c:pt idx="31">
                        <c:v>9</c:v>
                      </c:pt>
                      <c:pt idx="32">
                        <c:v>11</c:v>
                      </c:pt>
                      <c:pt idx="33">
                        <c:v>20</c:v>
                      </c:pt>
                      <c:pt idx="34">
                        <c:v>17</c:v>
                      </c:pt>
                      <c:pt idx="35">
                        <c:v>37</c:v>
                      </c:pt>
                      <c:pt idx="36">
                        <c:v>47</c:v>
                      </c:pt>
                      <c:pt idx="37">
                        <c:v>52</c:v>
                      </c:pt>
                      <c:pt idx="38">
                        <c:v>39</c:v>
                      </c:pt>
                      <c:pt idx="39">
                        <c:v>50</c:v>
                      </c:pt>
                      <c:pt idx="40">
                        <c:v>45</c:v>
                      </c:pt>
                      <c:pt idx="41">
                        <c:v>112</c:v>
                      </c:pt>
                      <c:pt idx="42">
                        <c:v>102</c:v>
                      </c:pt>
                      <c:pt idx="43">
                        <c:v>96</c:v>
                      </c:pt>
                      <c:pt idx="44">
                        <c:v>92</c:v>
                      </c:pt>
                      <c:pt idx="45">
                        <c:v>88</c:v>
                      </c:pt>
                      <c:pt idx="46">
                        <c:v>104</c:v>
                      </c:pt>
                      <c:pt idx="47">
                        <c:v>122</c:v>
                      </c:pt>
                      <c:pt idx="48">
                        <c:v>110</c:v>
                      </c:pt>
                      <c:pt idx="49">
                        <c:v>102</c:v>
                      </c:pt>
                      <c:pt idx="50">
                        <c:v>131</c:v>
                      </c:pt>
                      <c:pt idx="51">
                        <c:v>130</c:v>
                      </c:pt>
                      <c:pt idx="52">
                        <c:v>92</c:v>
                      </c:pt>
                      <c:pt idx="53">
                        <c:v>79</c:v>
                      </c:pt>
                      <c:pt idx="54">
                        <c:v>108</c:v>
                      </c:pt>
                      <c:pt idx="55">
                        <c:v>104</c:v>
                      </c:pt>
                      <c:pt idx="56">
                        <c:v>104</c:v>
                      </c:pt>
                      <c:pt idx="57">
                        <c:v>155</c:v>
                      </c:pt>
                      <c:pt idx="58">
                        <c:v>135</c:v>
                      </c:pt>
                      <c:pt idx="59">
                        <c:v>132</c:v>
                      </c:pt>
                      <c:pt idx="60">
                        <c:v>135</c:v>
                      </c:pt>
                      <c:pt idx="61">
                        <c:v>141</c:v>
                      </c:pt>
                      <c:pt idx="62">
                        <c:v>131</c:v>
                      </c:pt>
                      <c:pt idx="63">
                        <c:v>138</c:v>
                      </c:pt>
                      <c:pt idx="64">
                        <c:v>112</c:v>
                      </c:pt>
                      <c:pt idx="65">
                        <c:v>106</c:v>
                      </c:pt>
                      <c:pt idx="66">
                        <c:v>158</c:v>
                      </c:pt>
                      <c:pt idx="67">
                        <c:v>135</c:v>
                      </c:pt>
                      <c:pt idx="68">
                        <c:v>134</c:v>
                      </c:pt>
                      <c:pt idx="69">
                        <c:v>163</c:v>
                      </c:pt>
                      <c:pt idx="70">
                        <c:v>264</c:v>
                      </c:pt>
                      <c:pt idx="71">
                        <c:v>139</c:v>
                      </c:pt>
                      <c:pt idx="72">
                        <c:v>142</c:v>
                      </c:pt>
                      <c:pt idx="73">
                        <c:v>154</c:v>
                      </c:pt>
                      <c:pt idx="74">
                        <c:v>143</c:v>
                      </c:pt>
                      <c:pt idx="75">
                        <c:v>131</c:v>
                      </c:pt>
                      <c:pt idx="76">
                        <c:v>112</c:v>
                      </c:pt>
                      <c:pt idx="77">
                        <c:v>122</c:v>
                      </c:pt>
                      <c:pt idx="78">
                        <c:v>123</c:v>
                      </c:pt>
                      <c:pt idx="79">
                        <c:v>130</c:v>
                      </c:pt>
                      <c:pt idx="80">
                        <c:v>80</c:v>
                      </c:pt>
                      <c:pt idx="81">
                        <c:v>91</c:v>
                      </c:pt>
                      <c:pt idx="82">
                        <c:v>98</c:v>
                      </c:pt>
                      <c:pt idx="83">
                        <c:v>136</c:v>
                      </c:pt>
                      <c:pt idx="84">
                        <c:v>111</c:v>
                      </c:pt>
                      <c:pt idx="85">
                        <c:v>101</c:v>
                      </c:pt>
                      <c:pt idx="86">
                        <c:v>131</c:v>
                      </c:pt>
                      <c:pt idx="87">
                        <c:v>157</c:v>
                      </c:pt>
                      <c:pt idx="88">
                        <c:v>148</c:v>
                      </c:pt>
                      <c:pt idx="89">
                        <c:v>122</c:v>
                      </c:pt>
                      <c:pt idx="90">
                        <c:v>95</c:v>
                      </c:pt>
                      <c:pt idx="91">
                        <c:v>61</c:v>
                      </c:pt>
                      <c:pt idx="92">
                        <c:v>29</c:v>
                      </c:pt>
                      <c:pt idx="93">
                        <c:v>42</c:v>
                      </c:pt>
                      <c:pt idx="94">
                        <c:v>24</c:v>
                      </c:pt>
                      <c:pt idx="95">
                        <c:v>29</c:v>
                      </c:pt>
                      <c:pt idx="96">
                        <c:v>47</c:v>
                      </c:pt>
                      <c:pt idx="97">
                        <c:v>11</c:v>
                      </c:pt>
                      <c:pt idx="98">
                        <c:v>10</c:v>
                      </c:pt>
                      <c:pt idx="99">
                        <c:v>6</c:v>
                      </c:pt>
                      <c:pt idx="100">
                        <c:v>9</c:v>
                      </c:pt>
                      <c:pt idx="101">
                        <c:v>1</c:v>
                      </c:pt>
                      <c:pt idx="102">
                        <c:v>7</c:v>
                      </c:pt>
                      <c:pt idx="103">
                        <c:v>3</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extLst xmlns:c15="http://schemas.microsoft.com/office/drawing/2012/chart">
                  <c:ext xmlns:c16="http://schemas.microsoft.com/office/drawing/2014/chart" uri="{C3380CC4-5D6E-409C-BE32-E72D297353CC}">
                    <c16:uniqueId val="{00000009-EDE3-4AAE-A1F7-B6A1052E7B4A}"/>
                  </c:ext>
                </c:extLst>
              </c15:ser>
            </c15:filteredAreaSeries>
            <c15:filteredAreaSeries>
              <c15:ser>
                <c:idx val="8"/>
                <c:order val="8"/>
                <c:tx>
                  <c:strRef>
                    <c:extLst xmlns:c15="http://schemas.microsoft.com/office/drawing/2012/chart">
                      <c:ext xmlns:c15="http://schemas.microsoft.com/office/drawing/2012/chart" uri="{02D57815-91ED-43cb-92C2-25804820EDAC}">
                        <c15:formulaRef>
                          <c15:sqref>G1_Characteristics_WorkToGo!$G$17</c15:sqref>
                        </c15:formulaRef>
                      </c:ext>
                    </c:extLst>
                    <c:strCache>
                      <c:ptCount val="1"/>
                      <c:pt idx="0">
                        <c:v>Completed Tasks &amp; Milestones</c:v>
                      </c:pt>
                    </c:strCache>
                  </c:strRef>
                </c:tx>
                <c:spPr>
                  <a:solidFill>
                    <a:schemeClr val="accent3">
                      <a:lumMod val="60000"/>
                    </a:schemeClr>
                  </a:solidFill>
                  <a:ln>
                    <a:noFill/>
                  </a:ln>
                  <a:effectLst/>
                </c:spPr>
                <c:cat>
                  <c:numRef>
                    <c:extLst xmlns:c15="http://schemas.microsoft.com/office/drawing/2012/chart">
                      <c:ext xmlns:c15="http://schemas.microsoft.com/office/drawing/2012/char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xmlns:c15="http://schemas.microsoft.com/office/drawing/2012/chart">
                      <c:ext xmlns:c15="http://schemas.microsoft.com/office/drawing/2012/chart" uri="{02D57815-91ED-43cb-92C2-25804820EDAC}">
                        <c15:formulaRef>
                          <c15:sqref>G1_Characteristics_WorkToGo!$H$17:$FT$17</c15:sqref>
                        </c15:formulaRef>
                      </c:ext>
                    </c:extLst>
                    <c:numCache>
                      <c:formatCode>General</c:formatCode>
                      <c:ptCount val="169"/>
                      <c:pt idx="0">
                        <c:v>371</c:v>
                      </c:pt>
                      <c:pt idx="1">
                        <c:v>1</c:v>
                      </c:pt>
                      <c:pt idx="2">
                        <c:v>0</c:v>
                      </c:pt>
                      <c:pt idx="3">
                        <c:v>1</c:v>
                      </c:pt>
                      <c:pt idx="4">
                        <c:v>1</c:v>
                      </c:pt>
                      <c:pt idx="5">
                        <c:v>1</c:v>
                      </c:pt>
                      <c:pt idx="6">
                        <c:v>3</c:v>
                      </c:pt>
                      <c:pt idx="7">
                        <c:v>4</c:v>
                      </c:pt>
                      <c:pt idx="8">
                        <c:v>3</c:v>
                      </c:pt>
                      <c:pt idx="9">
                        <c:v>1</c:v>
                      </c:pt>
                      <c:pt idx="10">
                        <c:v>3</c:v>
                      </c:pt>
                      <c:pt idx="11">
                        <c:v>3</c:v>
                      </c:pt>
                      <c:pt idx="12">
                        <c:v>6</c:v>
                      </c:pt>
                      <c:pt idx="13">
                        <c:v>4</c:v>
                      </c:pt>
                      <c:pt idx="14">
                        <c:v>5</c:v>
                      </c:pt>
                      <c:pt idx="15">
                        <c:v>8</c:v>
                      </c:pt>
                      <c:pt idx="16">
                        <c:v>6</c:v>
                      </c:pt>
                      <c:pt idx="17">
                        <c:v>8</c:v>
                      </c:pt>
                      <c:pt idx="18">
                        <c:v>6</c:v>
                      </c:pt>
                      <c:pt idx="19">
                        <c:v>4</c:v>
                      </c:pt>
                      <c:pt idx="20">
                        <c:v>7</c:v>
                      </c:pt>
                      <c:pt idx="21">
                        <c:v>10</c:v>
                      </c:pt>
                      <c:pt idx="22">
                        <c:v>13</c:v>
                      </c:pt>
                      <c:pt idx="23">
                        <c:v>14</c:v>
                      </c:pt>
                      <c:pt idx="24">
                        <c:v>15</c:v>
                      </c:pt>
                      <c:pt idx="25">
                        <c:v>30</c:v>
                      </c:pt>
                      <c:pt idx="26">
                        <c:v>31</c:v>
                      </c:pt>
                      <c:pt idx="27">
                        <c:v>20</c:v>
                      </c:pt>
                      <c:pt idx="28">
                        <c:v>22</c:v>
                      </c:pt>
                      <c:pt idx="29">
                        <c:v>14</c:v>
                      </c:pt>
                      <c:pt idx="30">
                        <c:v>12</c:v>
                      </c:pt>
                      <c:pt idx="31">
                        <c:v>9</c:v>
                      </c:pt>
                      <c:pt idx="32">
                        <c:v>11</c:v>
                      </c:pt>
                      <c:pt idx="33">
                        <c:v>20</c:v>
                      </c:pt>
                      <c:pt idx="34">
                        <c:v>17</c:v>
                      </c:pt>
                      <c:pt idx="35">
                        <c:v>37</c:v>
                      </c:pt>
                      <c:pt idx="36">
                        <c:v>47</c:v>
                      </c:pt>
                      <c:pt idx="37">
                        <c:v>52</c:v>
                      </c:pt>
                      <c:pt idx="38">
                        <c:v>39</c:v>
                      </c:pt>
                      <c:pt idx="39">
                        <c:v>50</c:v>
                      </c:pt>
                      <c:pt idx="40">
                        <c:v>45</c:v>
                      </c:pt>
                      <c:pt idx="41">
                        <c:v>112</c:v>
                      </c:pt>
                      <c:pt idx="42">
                        <c:v>102</c:v>
                      </c:pt>
                      <c:pt idx="43">
                        <c:v>96</c:v>
                      </c:pt>
                      <c:pt idx="44">
                        <c:v>92</c:v>
                      </c:pt>
                      <c:pt idx="45">
                        <c:v>88</c:v>
                      </c:pt>
                      <c:pt idx="46">
                        <c:v>104</c:v>
                      </c:pt>
                      <c:pt idx="47">
                        <c:v>122</c:v>
                      </c:pt>
                      <c:pt idx="48">
                        <c:v>110</c:v>
                      </c:pt>
                      <c:pt idx="49">
                        <c:v>102</c:v>
                      </c:pt>
                      <c:pt idx="50">
                        <c:v>131</c:v>
                      </c:pt>
                      <c:pt idx="51">
                        <c:v>130</c:v>
                      </c:pt>
                      <c:pt idx="52">
                        <c:v>92</c:v>
                      </c:pt>
                      <c:pt idx="53">
                        <c:v>79</c:v>
                      </c:pt>
                      <c:pt idx="54">
                        <c:v>108</c:v>
                      </c:pt>
                      <c:pt idx="55">
                        <c:v>104</c:v>
                      </c:pt>
                      <c:pt idx="56">
                        <c:v>104</c:v>
                      </c:pt>
                      <c:pt idx="57">
                        <c:v>155</c:v>
                      </c:pt>
                      <c:pt idx="58">
                        <c:v>135</c:v>
                      </c:pt>
                      <c:pt idx="59">
                        <c:v>132</c:v>
                      </c:pt>
                      <c:pt idx="60">
                        <c:v>135</c:v>
                      </c:pt>
                      <c:pt idx="61">
                        <c:v>141</c:v>
                      </c:pt>
                      <c:pt idx="62">
                        <c:v>131</c:v>
                      </c:pt>
                      <c:pt idx="63">
                        <c:v>137</c:v>
                      </c:pt>
                      <c:pt idx="64">
                        <c:v>111</c:v>
                      </c:pt>
                      <c:pt idx="65">
                        <c:v>105</c:v>
                      </c:pt>
                      <c:pt idx="66">
                        <c:v>157</c:v>
                      </c:pt>
                      <c:pt idx="67">
                        <c:v>134</c:v>
                      </c:pt>
                      <c:pt idx="68">
                        <c:v>133</c:v>
                      </c:pt>
                      <c:pt idx="69">
                        <c:v>161</c:v>
                      </c:pt>
                      <c:pt idx="70">
                        <c:v>261</c:v>
                      </c:pt>
                      <c:pt idx="71">
                        <c:v>136</c:v>
                      </c:pt>
                      <c:pt idx="72">
                        <c:v>138</c:v>
                      </c:pt>
                      <c:pt idx="73">
                        <c:v>150</c:v>
                      </c:pt>
                      <c:pt idx="74">
                        <c:v>139</c:v>
                      </c:pt>
                      <c:pt idx="75">
                        <c:v>126</c:v>
                      </c:pt>
                      <c:pt idx="76">
                        <c:v>107</c:v>
                      </c:pt>
                      <c:pt idx="77">
                        <c:v>114</c:v>
                      </c:pt>
                      <c:pt idx="78">
                        <c:v>114</c:v>
                      </c:pt>
                      <c:pt idx="79">
                        <c:v>119</c:v>
                      </c:pt>
                      <c:pt idx="80">
                        <c:v>69</c:v>
                      </c:pt>
                      <c:pt idx="81">
                        <c:v>78</c:v>
                      </c:pt>
                      <c:pt idx="82">
                        <c:v>82</c:v>
                      </c:pt>
                      <c:pt idx="83">
                        <c:v>115</c:v>
                      </c:pt>
                      <c:pt idx="84">
                        <c:v>88</c:v>
                      </c:pt>
                      <c:pt idx="85">
                        <c:v>76</c:v>
                      </c:pt>
                      <c:pt idx="86">
                        <c:v>75</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extLst xmlns:c15="http://schemas.microsoft.com/office/drawing/2012/chart">
                  <c:ext xmlns:c16="http://schemas.microsoft.com/office/drawing/2014/chart" uri="{C3380CC4-5D6E-409C-BE32-E72D297353CC}">
                    <c16:uniqueId val="{0000000A-EDE3-4AAE-A1F7-B6A1052E7B4A}"/>
                  </c:ext>
                </c:extLst>
              </c15:ser>
            </c15:filteredAreaSeries>
            <c15:filteredAreaSeries>
              <c15:ser>
                <c:idx val="9"/>
                <c:order val="9"/>
                <c:tx>
                  <c:strRef>
                    <c:extLst xmlns:c15="http://schemas.microsoft.com/office/drawing/2012/chart">
                      <c:ext xmlns:c15="http://schemas.microsoft.com/office/drawing/2012/chart" uri="{02D57815-91ED-43cb-92C2-25804820EDAC}">
                        <c15:formulaRef>
                          <c15:sqref>G1_Characteristics_WorkToGo!$G$18</c15:sqref>
                        </c15:formulaRef>
                      </c:ext>
                    </c:extLst>
                    <c:strCache>
                      <c:ptCount val="1"/>
                      <c:pt idx="0">
                        <c:v>Completed Milestones</c:v>
                      </c:pt>
                    </c:strCache>
                  </c:strRef>
                </c:tx>
                <c:spPr>
                  <a:solidFill>
                    <a:schemeClr val="accent4">
                      <a:lumMod val="60000"/>
                    </a:schemeClr>
                  </a:solidFill>
                  <a:ln>
                    <a:noFill/>
                  </a:ln>
                  <a:effectLst/>
                </c:spPr>
                <c:cat>
                  <c:numRef>
                    <c:extLst xmlns:c15="http://schemas.microsoft.com/office/drawing/2012/chart">
                      <c:ext xmlns:c15="http://schemas.microsoft.com/office/drawing/2012/char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xmlns:c15="http://schemas.microsoft.com/office/drawing/2012/chart">
                      <c:ext xmlns:c15="http://schemas.microsoft.com/office/drawing/2012/chart" uri="{02D57815-91ED-43cb-92C2-25804820EDAC}">
                        <c15:formulaRef>
                          <c15:sqref>G1_Characteristics_WorkToGo!$H$18:$FT$18</c15:sqref>
                        </c15:formulaRef>
                      </c:ext>
                    </c:extLst>
                    <c:numCache>
                      <c:formatCode>General</c:formatCode>
                      <c:ptCount val="169"/>
                      <c:pt idx="0">
                        <c:v>363</c:v>
                      </c:pt>
                      <c:pt idx="1">
                        <c:v>0</c:v>
                      </c:pt>
                      <c:pt idx="2">
                        <c:v>0</c:v>
                      </c:pt>
                      <c:pt idx="3">
                        <c:v>0</c:v>
                      </c:pt>
                      <c:pt idx="4">
                        <c:v>0</c:v>
                      </c:pt>
                      <c:pt idx="5">
                        <c:v>0</c:v>
                      </c:pt>
                      <c:pt idx="6">
                        <c:v>0</c:v>
                      </c:pt>
                      <c:pt idx="7">
                        <c:v>0</c:v>
                      </c:pt>
                      <c:pt idx="8">
                        <c:v>0</c:v>
                      </c:pt>
                      <c:pt idx="9">
                        <c:v>0</c:v>
                      </c:pt>
                      <c:pt idx="10">
                        <c:v>0</c:v>
                      </c:pt>
                      <c:pt idx="11">
                        <c:v>0</c:v>
                      </c:pt>
                      <c:pt idx="12">
                        <c:v>2</c:v>
                      </c:pt>
                      <c:pt idx="13">
                        <c:v>0</c:v>
                      </c:pt>
                      <c:pt idx="14">
                        <c:v>0</c:v>
                      </c:pt>
                      <c:pt idx="15">
                        <c:v>0</c:v>
                      </c:pt>
                      <c:pt idx="16">
                        <c:v>0</c:v>
                      </c:pt>
                      <c:pt idx="17">
                        <c:v>0</c:v>
                      </c:pt>
                      <c:pt idx="18">
                        <c:v>1</c:v>
                      </c:pt>
                      <c:pt idx="19">
                        <c:v>0</c:v>
                      </c:pt>
                      <c:pt idx="20">
                        <c:v>1</c:v>
                      </c:pt>
                      <c:pt idx="21">
                        <c:v>0</c:v>
                      </c:pt>
                      <c:pt idx="22">
                        <c:v>1</c:v>
                      </c:pt>
                      <c:pt idx="23">
                        <c:v>1</c:v>
                      </c:pt>
                      <c:pt idx="24">
                        <c:v>0</c:v>
                      </c:pt>
                      <c:pt idx="25">
                        <c:v>1</c:v>
                      </c:pt>
                      <c:pt idx="26">
                        <c:v>2</c:v>
                      </c:pt>
                      <c:pt idx="27">
                        <c:v>0</c:v>
                      </c:pt>
                      <c:pt idx="28">
                        <c:v>0</c:v>
                      </c:pt>
                      <c:pt idx="29">
                        <c:v>0</c:v>
                      </c:pt>
                      <c:pt idx="30">
                        <c:v>2</c:v>
                      </c:pt>
                      <c:pt idx="31">
                        <c:v>0</c:v>
                      </c:pt>
                      <c:pt idx="32">
                        <c:v>0</c:v>
                      </c:pt>
                      <c:pt idx="33">
                        <c:v>1</c:v>
                      </c:pt>
                      <c:pt idx="34">
                        <c:v>0</c:v>
                      </c:pt>
                      <c:pt idx="35">
                        <c:v>2</c:v>
                      </c:pt>
                      <c:pt idx="36">
                        <c:v>4</c:v>
                      </c:pt>
                      <c:pt idx="37">
                        <c:v>9</c:v>
                      </c:pt>
                      <c:pt idx="38">
                        <c:v>0</c:v>
                      </c:pt>
                      <c:pt idx="39">
                        <c:v>3</c:v>
                      </c:pt>
                      <c:pt idx="40">
                        <c:v>2</c:v>
                      </c:pt>
                      <c:pt idx="41">
                        <c:v>30</c:v>
                      </c:pt>
                      <c:pt idx="42">
                        <c:v>8</c:v>
                      </c:pt>
                      <c:pt idx="43">
                        <c:v>1</c:v>
                      </c:pt>
                      <c:pt idx="44">
                        <c:v>2</c:v>
                      </c:pt>
                      <c:pt idx="45">
                        <c:v>5</c:v>
                      </c:pt>
                      <c:pt idx="46">
                        <c:v>8</c:v>
                      </c:pt>
                      <c:pt idx="47">
                        <c:v>13</c:v>
                      </c:pt>
                      <c:pt idx="48">
                        <c:v>10</c:v>
                      </c:pt>
                      <c:pt idx="49">
                        <c:v>8</c:v>
                      </c:pt>
                      <c:pt idx="50">
                        <c:v>6</c:v>
                      </c:pt>
                      <c:pt idx="51">
                        <c:v>10</c:v>
                      </c:pt>
                      <c:pt idx="52">
                        <c:v>6</c:v>
                      </c:pt>
                      <c:pt idx="53">
                        <c:v>3</c:v>
                      </c:pt>
                      <c:pt idx="54">
                        <c:v>8</c:v>
                      </c:pt>
                      <c:pt idx="55">
                        <c:v>3</c:v>
                      </c:pt>
                      <c:pt idx="56">
                        <c:v>2</c:v>
                      </c:pt>
                      <c:pt idx="57">
                        <c:v>7</c:v>
                      </c:pt>
                      <c:pt idx="58">
                        <c:v>9</c:v>
                      </c:pt>
                      <c:pt idx="59">
                        <c:v>10</c:v>
                      </c:pt>
                      <c:pt idx="60">
                        <c:v>12</c:v>
                      </c:pt>
                      <c:pt idx="61">
                        <c:v>24</c:v>
                      </c:pt>
                      <c:pt idx="62">
                        <c:v>16</c:v>
                      </c:pt>
                      <c:pt idx="63">
                        <c:v>27</c:v>
                      </c:pt>
                      <c:pt idx="64">
                        <c:v>9</c:v>
                      </c:pt>
                      <c:pt idx="65">
                        <c:v>12</c:v>
                      </c:pt>
                      <c:pt idx="66">
                        <c:v>45</c:v>
                      </c:pt>
                      <c:pt idx="67">
                        <c:v>17</c:v>
                      </c:pt>
                      <c:pt idx="68">
                        <c:v>9</c:v>
                      </c:pt>
                      <c:pt idx="69">
                        <c:v>17</c:v>
                      </c:pt>
                      <c:pt idx="70">
                        <c:v>107</c:v>
                      </c:pt>
                      <c:pt idx="71">
                        <c:v>7</c:v>
                      </c:pt>
                      <c:pt idx="72">
                        <c:v>12</c:v>
                      </c:pt>
                      <c:pt idx="73">
                        <c:v>10</c:v>
                      </c:pt>
                      <c:pt idx="74">
                        <c:v>15</c:v>
                      </c:pt>
                      <c:pt idx="75">
                        <c:v>14</c:v>
                      </c:pt>
                      <c:pt idx="76">
                        <c:v>11</c:v>
                      </c:pt>
                      <c:pt idx="77">
                        <c:v>15</c:v>
                      </c:pt>
                      <c:pt idx="78">
                        <c:v>11</c:v>
                      </c:pt>
                      <c:pt idx="79">
                        <c:v>24</c:v>
                      </c:pt>
                      <c:pt idx="80">
                        <c:v>7</c:v>
                      </c:pt>
                      <c:pt idx="81">
                        <c:v>7</c:v>
                      </c:pt>
                      <c:pt idx="82">
                        <c:v>12</c:v>
                      </c:pt>
                      <c:pt idx="83">
                        <c:v>24</c:v>
                      </c:pt>
                      <c:pt idx="84">
                        <c:v>17</c:v>
                      </c:pt>
                      <c:pt idx="85">
                        <c:v>18</c:v>
                      </c:pt>
                      <c:pt idx="86">
                        <c:v>22</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extLst xmlns:c15="http://schemas.microsoft.com/office/drawing/2012/chart">
                  <c:ext xmlns:c16="http://schemas.microsoft.com/office/drawing/2014/chart" uri="{C3380CC4-5D6E-409C-BE32-E72D297353CC}">
                    <c16:uniqueId val="{0000000B-EDE3-4AAE-A1F7-B6A1052E7B4A}"/>
                  </c:ext>
                </c:extLst>
              </c15:ser>
            </c15:filteredAreaSeries>
            <c15:filteredAreaSeries>
              <c15:ser>
                <c:idx val="10"/>
                <c:order val="10"/>
                <c:tx>
                  <c:strRef>
                    <c:extLst xmlns:c15="http://schemas.microsoft.com/office/drawing/2012/chart">
                      <c:ext xmlns:c15="http://schemas.microsoft.com/office/drawing/2012/chart" uri="{02D57815-91ED-43cb-92C2-25804820EDAC}">
                        <c15:formulaRef>
                          <c15:sqref>G1_Characteristics_WorkToGo!$G$19</c15:sqref>
                        </c15:formulaRef>
                      </c:ext>
                    </c:extLst>
                    <c:strCache>
                      <c:ptCount val="1"/>
                      <c:pt idx="0">
                        <c:v>Completed Tasks</c:v>
                      </c:pt>
                    </c:strCache>
                  </c:strRef>
                </c:tx>
                <c:spPr>
                  <a:solidFill>
                    <a:schemeClr val="accent5">
                      <a:lumMod val="60000"/>
                    </a:schemeClr>
                  </a:solidFill>
                  <a:ln>
                    <a:noFill/>
                  </a:ln>
                  <a:effectLst/>
                </c:spPr>
                <c:cat>
                  <c:numRef>
                    <c:extLst xmlns:c15="http://schemas.microsoft.com/office/drawing/2012/chart">
                      <c:ext xmlns:c15="http://schemas.microsoft.com/office/drawing/2012/char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xmlns:c15="http://schemas.microsoft.com/office/drawing/2012/chart">
                      <c:ext xmlns:c15="http://schemas.microsoft.com/office/drawing/2012/chart" uri="{02D57815-91ED-43cb-92C2-25804820EDAC}">
                        <c15:formulaRef>
                          <c15:sqref>G1_Characteristics_WorkToGo!$H$19:$FT$19</c15:sqref>
                        </c15:formulaRef>
                      </c:ext>
                    </c:extLst>
                    <c:numCache>
                      <c:formatCode>General</c:formatCode>
                      <c:ptCount val="169"/>
                      <c:pt idx="0">
                        <c:v>8</c:v>
                      </c:pt>
                      <c:pt idx="1">
                        <c:v>1</c:v>
                      </c:pt>
                      <c:pt idx="2">
                        <c:v>0</c:v>
                      </c:pt>
                      <c:pt idx="3">
                        <c:v>1</c:v>
                      </c:pt>
                      <c:pt idx="4">
                        <c:v>1</c:v>
                      </c:pt>
                      <c:pt idx="5">
                        <c:v>1</c:v>
                      </c:pt>
                      <c:pt idx="6">
                        <c:v>3</c:v>
                      </c:pt>
                      <c:pt idx="7">
                        <c:v>4</c:v>
                      </c:pt>
                      <c:pt idx="8">
                        <c:v>3</c:v>
                      </c:pt>
                      <c:pt idx="9">
                        <c:v>1</c:v>
                      </c:pt>
                      <c:pt idx="10">
                        <c:v>3</c:v>
                      </c:pt>
                      <c:pt idx="11">
                        <c:v>3</c:v>
                      </c:pt>
                      <c:pt idx="12">
                        <c:v>4</c:v>
                      </c:pt>
                      <c:pt idx="13">
                        <c:v>4</c:v>
                      </c:pt>
                      <c:pt idx="14">
                        <c:v>5</c:v>
                      </c:pt>
                      <c:pt idx="15">
                        <c:v>8</c:v>
                      </c:pt>
                      <c:pt idx="16">
                        <c:v>6</c:v>
                      </c:pt>
                      <c:pt idx="17">
                        <c:v>8</c:v>
                      </c:pt>
                      <c:pt idx="18">
                        <c:v>5</c:v>
                      </c:pt>
                      <c:pt idx="19">
                        <c:v>4</c:v>
                      </c:pt>
                      <c:pt idx="20">
                        <c:v>6</c:v>
                      </c:pt>
                      <c:pt idx="21">
                        <c:v>10</c:v>
                      </c:pt>
                      <c:pt idx="22">
                        <c:v>12</c:v>
                      </c:pt>
                      <c:pt idx="23">
                        <c:v>13</c:v>
                      </c:pt>
                      <c:pt idx="24">
                        <c:v>15</c:v>
                      </c:pt>
                      <c:pt idx="25">
                        <c:v>29</c:v>
                      </c:pt>
                      <c:pt idx="26">
                        <c:v>29</c:v>
                      </c:pt>
                      <c:pt idx="27">
                        <c:v>20</c:v>
                      </c:pt>
                      <c:pt idx="28">
                        <c:v>22</c:v>
                      </c:pt>
                      <c:pt idx="29">
                        <c:v>14</c:v>
                      </c:pt>
                      <c:pt idx="30">
                        <c:v>10</c:v>
                      </c:pt>
                      <c:pt idx="31">
                        <c:v>9</c:v>
                      </c:pt>
                      <c:pt idx="32">
                        <c:v>11</c:v>
                      </c:pt>
                      <c:pt idx="33">
                        <c:v>19</c:v>
                      </c:pt>
                      <c:pt idx="34">
                        <c:v>17</c:v>
                      </c:pt>
                      <c:pt idx="35">
                        <c:v>35</c:v>
                      </c:pt>
                      <c:pt idx="36">
                        <c:v>43</c:v>
                      </c:pt>
                      <c:pt idx="37">
                        <c:v>43</c:v>
                      </c:pt>
                      <c:pt idx="38">
                        <c:v>39</c:v>
                      </c:pt>
                      <c:pt idx="39">
                        <c:v>47</c:v>
                      </c:pt>
                      <c:pt idx="40">
                        <c:v>43</c:v>
                      </c:pt>
                      <c:pt idx="41">
                        <c:v>82</c:v>
                      </c:pt>
                      <c:pt idx="42">
                        <c:v>94</c:v>
                      </c:pt>
                      <c:pt idx="43">
                        <c:v>95</c:v>
                      </c:pt>
                      <c:pt idx="44">
                        <c:v>90</c:v>
                      </c:pt>
                      <c:pt idx="45">
                        <c:v>83</c:v>
                      </c:pt>
                      <c:pt idx="46">
                        <c:v>96</c:v>
                      </c:pt>
                      <c:pt idx="47">
                        <c:v>109</c:v>
                      </c:pt>
                      <c:pt idx="48">
                        <c:v>100</c:v>
                      </c:pt>
                      <c:pt idx="49">
                        <c:v>94</c:v>
                      </c:pt>
                      <c:pt idx="50">
                        <c:v>125</c:v>
                      </c:pt>
                      <c:pt idx="51">
                        <c:v>120</c:v>
                      </c:pt>
                      <c:pt idx="52">
                        <c:v>86</c:v>
                      </c:pt>
                      <c:pt idx="53">
                        <c:v>76</c:v>
                      </c:pt>
                      <c:pt idx="54">
                        <c:v>100</c:v>
                      </c:pt>
                      <c:pt idx="55">
                        <c:v>101</c:v>
                      </c:pt>
                      <c:pt idx="56">
                        <c:v>102</c:v>
                      </c:pt>
                      <c:pt idx="57">
                        <c:v>148</c:v>
                      </c:pt>
                      <c:pt idx="58">
                        <c:v>126</c:v>
                      </c:pt>
                      <c:pt idx="59">
                        <c:v>122</c:v>
                      </c:pt>
                      <c:pt idx="60">
                        <c:v>123</c:v>
                      </c:pt>
                      <c:pt idx="61">
                        <c:v>117</c:v>
                      </c:pt>
                      <c:pt idx="62">
                        <c:v>115</c:v>
                      </c:pt>
                      <c:pt idx="63">
                        <c:v>110</c:v>
                      </c:pt>
                      <c:pt idx="64">
                        <c:v>102</c:v>
                      </c:pt>
                      <c:pt idx="65">
                        <c:v>93</c:v>
                      </c:pt>
                      <c:pt idx="66">
                        <c:v>112</c:v>
                      </c:pt>
                      <c:pt idx="67">
                        <c:v>117</c:v>
                      </c:pt>
                      <c:pt idx="68">
                        <c:v>124</c:v>
                      </c:pt>
                      <c:pt idx="69">
                        <c:v>144</c:v>
                      </c:pt>
                      <c:pt idx="70">
                        <c:v>154</c:v>
                      </c:pt>
                      <c:pt idx="71">
                        <c:v>129</c:v>
                      </c:pt>
                      <c:pt idx="72">
                        <c:v>126</c:v>
                      </c:pt>
                      <c:pt idx="73">
                        <c:v>140</c:v>
                      </c:pt>
                      <c:pt idx="74">
                        <c:v>124</c:v>
                      </c:pt>
                      <c:pt idx="75">
                        <c:v>112</c:v>
                      </c:pt>
                      <c:pt idx="76">
                        <c:v>96</c:v>
                      </c:pt>
                      <c:pt idx="77">
                        <c:v>99</c:v>
                      </c:pt>
                      <c:pt idx="78">
                        <c:v>103</c:v>
                      </c:pt>
                      <c:pt idx="79">
                        <c:v>95</c:v>
                      </c:pt>
                      <c:pt idx="80">
                        <c:v>62</c:v>
                      </c:pt>
                      <c:pt idx="81">
                        <c:v>71</c:v>
                      </c:pt>
                      <c:pt idx="82">
                        <c:v>70</c:v>
                      </c:pt>
                      <c:pt idx="83">
                        <c:v>91</c:v>
                      </c:pt>
                      <c:pt idx="84">
                        <c:v>71</c:v>
                      </c:pt>
                      <c:pt idx="85">
                        <c:v>58</c:v>
                      </c:pt>
                      <c:pt idx="86">
                        <c:v>53</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extLst xmlns:c15="http://schemas.microsoft.com/office/drawing/2012/chart">
                  <c:ext xmlns:c16="http://schemas.microsoft.com/office/drawing/2014/chart" uri="{C3380CC4-5D6E-409C-BE32-E72D297353CC}">
                    <c16:uniqueId val="{00000001-EDE3-4AAE-A1F7-B6A1052E7B4A}"/>
                  </c:ext>
                </c:extLst>
              </c15:ser>
            </c15:filteredAreaSeries>
            <c15:filteredAreaSeries>
              <c15:ser>
                <c:idx val="11"/>
                <c:order val="11"/>
                <c:tx>
                  <c:strRef>
                    <c:extLst xmlns:c15="http://schemas.microsoft.com/office/drawing/2012/chart">
                      <c:ext xmlns:c15="http://schemas.microsoft.com/office/drawing/2012/chart" uri="{02D57815-91ED-43cb-92C2-25804820EDAC}">
                        <c15:formulaRef>
                          <c15:sqref>G1_Characteristics_WorkToGo!$G$20</c15:sqref>
                        </c15:formulaRef>
                      </c:ext>
                    </c:extLst>
                    <c:strCache>
                      <c:ptCount val="1"/>
                      <c:pt idx="0">
                        <c:v>Total Activities (To-Go) - % of Total</c:v>
                      </c:pt>
                    </c:strCache>
                  </c:strRef>
                </c:tx>
                <c:spPr>
                  <a:solidFill>
                    <a:schemeClr val="accent6">
                      <a:lumMod val="60000"/>
                    </a:schemeClr>
                  </a:solidFill>
                  <a:ln>
                    <a:noFill/>
                  </a:ln>
                  <a:effectLst/>
                </c:spPr>
                <c:cat>
                  <c:numRef>
                    <c:extLst xmlns:c15="http://schemas.microsoft.com/office/drawing/2012/chart">
                      <c:ext xmlns:c15="http://schemas.microsoft.com/office/drawing/2012/char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xmlns:c15="http://schemas.microsoft.com/office/drawing/2012/chart">
                      <c:ext xmlns:c15="http://schemas.microsoft.com/office/drawing/2012/chart" uri="{02D57815-91ED-43cb-92C2-25804820EDAC}">
                        <c15:formulaRef>
                          <c15:sqref>G1_Characteristics_WorkToGo!$H$20:$FT$20</c15:sqref>
                        </c15:formulaRef>
                      </c:ext>
                    </c:extLst>
                    <c:numCache>
                      <c:formatCode>General</c:formatCode>
                      <c:ptCount val="169"/>
                      <c:pt idx="0">
                        <c:v>54</c:v>
                      </c:pt>
                      <c:pt idx="1">
                        <c:v>54</c:v>
                      </c:pt>
                      <c:pt idx="2">
                        <c:v>54</c:v>
                      </c:pt>
                      <c:pt idx="3">
                        <c:v>54</c:v>
                      </c:pt>
                      <c:pt idx="4">
                        <c:v>54</c:v>
                      </c:pt>
                      <c:pt idx="5">
                        <c:v>54</c:v>
                      </c:pt>
                      <c:pt idx="6">
                        <c:v>54</c:v>
                      </c:pt>
                      <c:pt idx="7">
                        <c:v>54</c:v>
                      </c:pt>
                      <c:pt idx="8">
                        <c:v>54</c:v>
                      </c:pt>
                      <c:pt idx="9">
                        <c:v>54</c:v>
                      </c:pt>
                      <c:pt idx="10">
                        <c:v>54</c:v>
                      </c:pt>
                      <c:pt idx="11">
                        <c:v>54</c:v>
                      </c:pt>
                      <c:pt idx="12">
                        <c:v>55</c:v>
                      </c:pt>
                      <c:pt idx="13">
                        <c:v>55</c:v>
                      </c:pt>
                      <c:pt idx="14">
                        <c:v>55</c:v>
                      </c:pt>
                      <c:pt idx="15">
                        <c:v>55</c:v>
                      </c:pt>
                      <c:pt idx="16">
                        <c:v>55</c:v>
                      </c:pt>
                      <c:pt idx="17">
                        <c:v>55</c:v>
                      </c:pt>
                      <c:pt idx="18">
                        <c:v>55</c:v>
                      </c:pt>
                      <c:pt idx="19">
                        <c:v>55</c:v>
                      </c:pt>
                      <c:pt idx="20">
                        <c:v>55</c:v>
                      </c:pt>
                      <c:pt idx="21">
                        <c:v>55</c:v>
                      </c:pt>
                      <c:pt idx="22">
                        <c:v>55</c:v>
                      </c:pt>
                      <c:pt idx="23">
                        <c:v>55</c:v>
                      </c:pt>
                      <c:pt idx="24">
                        <c:v>55</c:v>
                      </c:pt>
                      <c:pt idx="25">
                        <c:v>55</c:v>
                      </c:pt>
                      <c:pt idx="26">
                        <c:v>55</c:v>
                      </c:pt>
                      <c:pt idx="27">
                        <c:v>55</c:v>
                      </c:pt>
                      <c:pt idx="28">
                        <c:v>55</c:v>
                      </c:pt>
                      <c:pt idx="29">
                        <c:v>55</c:v>
                      </c:pt>
                      <c:pt idx="30">
                        <c:v>55</c:v>
                      </c:pt>
                      <c:pt idx="31">
                        <c:v>55</c:v>
                      </c:pt>
                      <c:pt idx="32">
                        <c:v>55</c:v>
                      </c:pt>
                      <c:pt idx="33">
                        <c:v>55</c:v>
                      </c:pt>
                      <c:pt idx="34">
                        <c:v>55</c:v>
                      </c:pt>
                      <c:pt idx="35">
                        <c:v>55</c:v>
                      </c:pt>
                      <c:pt idx="36">
                        <c:v>56</c:v>
                      </c:pt>
                      <c:pt idx="37">
                        <c:v>56</c:v>
                      </c:pt>
                      <c:pt idx="38">
                        <c:v>57</c:v>
                      </c:pt>
                      <c:pt idx="39">
                        <c:v>58</c:v>
                      </c:pt>
                      <c:pt idx="40">
                        <c:v>58</c:v>
                      </c:pt>
                      <c:pt idx="41">
                        <c:v>58</c:v>
                      </c:pt>
                      <c:pt idx="42">
                        <c:v>58</c:v>
                      </c:pt>
                      <c:pt idx="43">
                        <c:v>58</c:v>
                      </c:pt>
                      <c:pt idx="44">
                        <c:v>58</c:v>
                      </c:pt>
                      <c:pt idx="45">
                        <c:v>58</c:v>
                      </c:pt>
                      <c:pt idx="46">
                        <c:v>58</c:v>
                      </c:pt>
                      <c:pt idx="47">
                        <c:v>59</c:v>
                      </c:pt>
                      <c:pt idx="48">
                        <c:v>59</c:v>
                      </c:pt>
                      <c:pt idx="49">
                        <c:v>59</c:v>
                      </c:pt>
                      <c:pt idx="50">
                        <c:v>59</c:v>
                      </c:pt>
                      <c:pt idx="51">
                        <c:v>60</c:v>
                      </c:pt>
                      <c:pt idx="52">
                        <c:v>60</c:v>
                      </c:pt>
                      <c:pt idx="53">
                        <c:v>60</c:v>
                      </c:pt>
                      <c:pt idx="54">
                        <c:v>60</c:v>
                      </c:pt>
                      <c:pt idx="55">
                        <c:v>60</c:v>
                      </c:pt>
                      <c:pt idx="56">
                        <c:v>61</c:v>
                      </c:pt>
                      <c:pt idx="57">
                        <c:v>61</c:v>
                      </c:pt>
                      <c:pt idx="58">
                        <c:v>61</c:v>
                      </c:pt>
                      <c:pt idx="59">
                        <c:v>61</c:v>
                      </c:pt>
                      <c:pt idx="60">
                        <c:v>64</c:v>
                      </c:pt>
                      <c:pt idx="61">
                        <c:v>64</c:v>
                      </c:pt>
                      <c:pt idx="62">
                        <c:v>65</c:v>
                      </c:pt>
                      <c:pt idx="63">
                        <c:v>68</c:v>
                      </c:pt>
                      <c:pt idx="64">
                        <c:v>68</c:v>
                      </c:pt>
                      <c:pt idx="65">
                        <c:v>69</c:v>
                      </c:pt>
                      <c:pt idx="66">
                        <c:v>69</c:v>
                      </c:pt>
                      <c:pt idx="67">
                        <c:v>69</c:v>
                      </c:pt>
                      <c:pt idx="68">
                        <c:v>70</c:v>
                      </c:pt>
                      <c:pt idx="69">
                        <c:v>75</c:v>
                      </c:pt>
                      <c:pt idx="70">
                        <c:v>77</c:v>
                      </c:pt>
                      <c:pt idx="71">
                        <c:v>81</c:v>
                      </c:pt>
                      <c:pt idx="72">
                        <c:v>84</c:v>
                      </c:pt>
                      <c:pt idx="73">
                        <c:v>86</c:v>
                      </c:pt>
                      <c:pt idx="74">
                        <c:v>93</c:v>
                      </c:pt>
                      <c:pt idx="75">
                        <c:v>97</c:v>
                      </c:pt>
                      <c:pt idx="76">
                        <c:v>99</c:v>
                      </c:pt>
                      <c:pt idx="77">
                        <c:v>107</c:v>
                      </c:pt>
                      <c:pt idx="78">
                        <c:v>110</c:v>
                      </c:pt>
                      <c:pt idx="79">
                        <c:v>114</c:v>
                      </c:pt>
                      <c:pt idx="80">
                        <c:v>116</c:v>
                      </c:pt>
                      <c:pt idx="81">
                        <c:v>125</c:v>
                      </c:pt>
                      <c:pt idx="82">
                        <c:v>130</c:v>
                      </c:pt>
                      <c:pt idx="83">
                        <c:v>139</c:v>
                      </c:pt>
                      <c:pt idx="84">
                        <c:v>145</c:v>
                      </c:pt>
                      <c:pt idx="85">
                        <c:v>150</c:v>
                      </c:pt>
                      <c:pt idx="86">
                        <c:v>192</c:v>
                      </c:pt>
                      <c:pt idx="87">
                        <c:v>296</c:v>
                      </c:pt>
                      <c:pt idx="88">
                        <c:v>279</c:v>
                      </c:pt>
                      <c:pt idx="89">
                        <c:v>241</c:v>
                      </c:pt>
                      <c:pt idx="90">
                        <c:v>181</c:v>
                      </c:pt>
                      <c:pt idx="91">
                        <c:v>126</c:v>
                      </c:pt>
                      <c:pt idx="92">
                        <c:v>78</c:v>
                      </c:pt>
                      <c:pt idx="93">
                        <c:v>92</c:v>
                      </c:pt>
                      <c:pt idx="94">
                        <c:v>59</c:v>
                      </c:pt>
                      <c:pt idx="95">
                        <c:v>62</c:v>
                      </c:pt>
                      <c:pt idx="96">
                        <c:v>74</c:v>
                      </c:pt>
                      <c:pt idx="97">
                        <c:v>24</c:v>
                      </c:pt>
                      <c:pt idx="98">
                        <c:v>24</c:v>
                      </c:pt>
                      <c:pt idx="99">
                        <c:v>16</c:v>
                      </c:pt>
                      <c:pt idx="100">
                        <c:v>19</c:v>
                      </c:pt>
                      <c:pt idx="101">
                        <c:v>4</c:v>
                      </c:pt>
                      <c:pt idx="102">
                        <c:v>10</c:v>
                      </c:pt>
                      <c:pt idx="103">
                        <c:v>6</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extLst xmlns:c15="http://schemas.microsoft.com/office/drawing/2012/chart">
                  <c:ext xmlns:c16="http://schemas.microsoft.com/office/drawing/2014/chart" uri="{C3380CC4-5D6E-409C-BE32-E72D297353CC}">
                    <c16:uniqueId val="{0000000C-EDE3-4AAE-A1F7-B6A1052E7B4A}"/>
                  </c:ext>
                </c:extLst>
              </c15:ser>
            </c15:filteredAreaSeries>
            <c15:filteredAreaSeries>
              <c15:ser>
                <c:idx val="12"/>
                <c:order val="12"/>
                <c:tx>
                  <c:strRef>
                    <c:extLst xmlns:c15="http://schemas.microsoft.com/office/drawing/2012/chart">
                      <c:ext xmlns:c15="http://schemas.microsoft.com/office/drawing/2012/chart" uri="{02D57815-91ED-43cb-92C2-25804820EDAC}">
                        <c15:formulaRef>
                          <c15:sqref>G1_Characteristics_WorkToGo!$G$21</c15:sqref>
                        </c15:formulaRef>
                      </c:ext>
                    </c:extLst>
                    <c:strCache>
                      <c:ptCount val="1"/>
                      <c:pt idx="0">
                        <c:v>Tasks &amp; Milestones (To-Go) - % of Total To-Go</c:v>
                      </c:pt>
                    </c:strCache>
                  </c:strRef>
                </c:tx>
                <c:spPr>
                  <a:solidFill>
                    <a:schemeClr val="accent1">
                      <a:lumMod val="80000"/>
                      <a:lumOff val="20000"/>
                    </a:schemeClr>
                  </a:solidFill>
                  <a:ln>
                    <a:noFill/>
                  </a:ln>
                  <a:effectLst/>
                </c:spPr>
                <c:cat>
                  <c:numRef>
                    <c:extLst xmlns:c15="http://schemas.microsoft.com/office/drawing/2012/chart">
                      <c:ext xmlns:c15="http://schemas.microsoft.com/office/drawing/2012/char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xmlns:c15="http://schemas.microsoft.com/office/drawing/2012/chart">
                      <c:ext xmlns:c15="http://schemas.microsoft.com/office/drawing/2012/chart" uri="{02D57815-91ED-43cb-92C2-25804820EDAC}">
                        <c15:formulaRef>
                          <c15:sqref>G1_Characteristics_WorkToGo!$H$21:$FT$21</c15:sqref>
                        </c15:formulaRef>
                      </c:ext>
                    </c:extLst>
                    <c:numCache>
                      <c:formatCode>General</c:formatCode>
                      <c:ptCount val="16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1</c:v>
                      </c:pt>
                      <c:pt idx="64">
                        <c:v>1</c:v>
                      </c:pt>
                      <c:pt idx="65">
                        <c:v>1</c:v>
                      </c:pt>
                      <c:pt idx="66">
                        <c:v>1</c:v>
                      </c:pt>
                      <c:pt idx="67">
                        <c:v>1</c:v>
                      </c:pt>
                      <c:pt idx="68">
                        <c:v>1</c:v>
                      </c:pt>
                      <c:pt idx="69">
                        <c:v>2</c:v>
                      </c:pt>
                      <c:pt idx="70">
                        <c:v>3</c:v>
                      </c:pt>
                      <c:pt idx="71">
                        <c:v>3</c:v>
                      </c:pt>
                      <c:pt idx="72">
                        <c:v>4</c:v>
                      </c:pt>
                      <c:pt idx="73">
                        <c:v>4</c:v>
                      </c:pt>
                      <c:pt idx="74">
                        <c:v>4</c:v>
                      </c:pt>
                      <c:pt idx="75">
                        <c:v>5</c:v>
                      </c:pt>
                      <c:pt idx="76">
                        <c:v>5</c:v>
                      </c:pt>
                      <c:pt idx="77">
                        <c:v>8</c:v>
                      </c:pt>
                      <c:pt idx="78">
                        <c:v>9</c:v>
                      </c:pt>
                      <c:pt idx="79">
                        <c:v>11</c:v>
                      </c:pt>
                      <c:pt idx="80">
                        <c:v>11</c:v>
                      </c:pt>
                      <c:pt idx="81">
                        <c:v>13</c:v>
                      </c:pt>
                      <c:pt idx="82">
                        <c:v>16</c:v>
                      </c:pt>
                      <c:pt idx="83">
                        <c:v>21</c:v>
                      </c:pt>
                      <c:pt idx="84">
                        <c:v>23</c:v>
                      </c:pt>
                      <c:pt idx="85">
                        <c:v>25</c:v>
                      </c:pt>
                      <c:pt idx="86">
                        <c:v>56</c:v>
                      </c:pt>
                      <c:pt idx="87">
                        <c:v>157</c:v>
                      </c:pt>
                      <c:pt idx="88">
                        <c:v>148</c:v>
                      </c:pt>
                      <c:pt idx="89">
                        <c:v>122</c:v>
                      </c:pt>
                      <c:pt idx="90">
                        <c:v>95</c:v>
                      </c:pt>
                      <c:pt idx="91">
                        <c:v>61</c:v>
                      </c:pt>
                      <c:pt idx="92">
                        <c:v>29</c:v>
                      </c:pt>
                      <c:pt idx="93">
                        <c:v>42</c:v>
                      </c:pt>
                      <c:pt idx="94">
                        <c:v>24</c:v>
                      </c:pt>
                      <c:pt idx="95">
                        <c:v>29</c:v>
                      </c:pt>
                      <c:pt idx="96">
                        <c:v>47</c:v>
                      </c:pt>
                      <c:pt idx="97">
                        <c:v>11</c:v>
                      </c:pt>
                      <c:pt idx="98">
                        <c:v>10</c:v>
                      </c:pt>
                      <c:pt idx="99">
                        <c:v>6</c:v>
                      </c:pt>
                      <c:pt idx="100">
                        <c:v>9</c:v>
                      </c:pt>
                      <c:pt idx="101">
                        <c:v>1</c:v>
                      </c:pt>
                      <c:pt idx="102">
                        <c:v>7</c:v>
                      </c:pt>
                      <c:pt idx="103">
                        <c:v>3</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extLst xmlns:c15="http://schemas.microsoft.com/office/drawing/2012/chart">
                  <c:ext xmlns:c16="http://schemas.microsoft.com/office/drawing/2014/chart" uri="{C3380CC4-5D6E-409C-BE32-E72D297353CC}">
                    <c16:uniqueId val="{0000000D-EDE3-4AAE-A1F7-B6A1052E7B4A}"/>
                  </c:ext>
                </c:extLst>
              </c15:ser>
            </c15:filteredAreaSeries>
            <c15:filteredAreaSeries>
              <c15:ser>
                <c:idx val="13"/>
                <c:order val="13"/>
                <c:tx>
                  <c:strRef>
                    <c:extLst xmlns:c15="http://schemas.microsoft.com/office/drawing/2012/chart">
                      <c:ext xmlns:c15="http://schemas.microsoft.com/office/drawing/2012/chart" uri="{02D57815-91ED-43cb-92C2-25804820EDAC}">
                        <c15:formulaRef>
                          <c15:sqref>G1_Characteristics_WorkToGo!$G$22</c15:sqref>
                        </c15:formulaRef>
                      </c:ext>
                    </c:extLst>
                    <c:strCache>
                      <c:ptCount val="1"/>
                      <c:pt idx="0">
                        <c:v>Milestones (To-Go)</c:v>
                      </c:pt>
                    </c:strCache>
                  </c:strRef>
                </c:tx>
                <c:spPr>
                  <a:solidFill>
                    <a:schemeClr val="accent2">
                      <a:lumMod val="80000"/>
                      <a:lumOff val="20000"/>
                    </a:schemeClr>
                  </a:solidFill>
                  <a:ln>
                    <a:noFill/>
                  </a:ln>
                  <a:effectLst/>
                </c:spPr>
                <c:cat>
                  <c:numRef>
                    <c:extLst xmlns:c15="http://schemas.microsoft.com/office/drawing/2012/chart">
                      <c:ext xmlns:c15="http://schemas.microsoft.com/office/drawing/2012/char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xmlns:c15="http://schemas.microsoft.com/office/drawing/2012/chart">
                      <c:ext xmlns:c15="http://schemas.microsoft.com/office/drawing/2012/chart" uri="{02D57815-91ED-43cb-92C2-25804820EDAC}">
                        <c15:formulaRef>
                          <c15:sqref>G1_Characteristics_WorkToGo!$H$22:$FT$22</c15:sqref>
                        </c15:formulaRef>
                      </c:ext>
                    </c:extLst>
                    <c:numCache>
                      <c:formatCode>General</c:formatCode>
                      <c:ptCount val="16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8</c:v>
                      </c:pt>
                      <c:pt idx="87">
                        <c:v>35</c:v>
                      </c:pt>
                      <c:pt idx="88">
                        <c:v>51</c:v>
                      </c:pt>
                      <c:pt idx="89">
                        <c:v>33</c:v>
                      </c:pt>
                      <c:pt idx="90">
                        <c:v>26</c:v>
                      </c:pt>
                      <c:pt idx="91">
                        <c:v>16</c:v>
                      </c:pt>
                      <c:pt idx="92">
                        <c:v>5</c:v>
                      </c:pt>
                      <c:pt idx="93">
                        <c:v>9</c:v>
                      </c:pt>
                      <c:pt idx="94">
                        <c:v>3</c:v>
                      </c:pt>
                      <c:pt idx="95">
                        <c:v>6</c:v>
                      </c:pt>
                      <c:pt idx="96">
                        <c:v>15</c:v>
                      </c:pt>
                      <c:pt idx="97">
                        <c:v>0</c:v>
                      </c:pt>
                      <c:pt idx="98">
                        <c:v>3</c:v>
                      </c:pt>
                      <c:pt idx="99">
                        <c:v>1</c:v>
                      </c:pt>
                      <c:pt idx="100">
                        <c:v>5</c:v>
                      </c:pt>
                      <c:pt idx="101">
                        <c:v>0</c:v>
                      </c:pt>
                      <c:pt idx="102">
                        <c:v>4</c:v>
                      </c:pt>
                      <c:pt idx="103">
                        <c:v>2</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extLst xmlns:c15="http://schemas.microsoft.com/office/drawing/2012/chart">
                  <c:ext xmlns:c16="http://schemas.microsoft.com/office/drawing/2014/chart" uri="{C3380CC4-5D6E-409C-BE32-E72D297353CC}">
                    <c16:uniqueId val="{0000000E-EDE3-4AAE-A1F7-B6A1052E7B4A}"/>
                  </c:ext>
                </c:extLst>
              </c15:ser>
            </c15:filteredAreaSeries>
            <c15:filteredAreaSeries>
              <c15:ser>
                <c:idx val="15"/>
                <c:order val="15"/>
                <c:tx>
                  <c:strRef>
                    <c:extLst xmlns:c15="http://schemas.microsoft.com/office/drawing/2012/chart">
                      <c:ext xmlns:c15="http://schemas.microsoft.com/office/drawing/2012/chart" uri="{02D57815-91ED-43cb-92C2-25804820EDAC}">
                        <c15:formulaRef>
                          <c15:sqref>G1_Characteristics_WorkToGo!$G$24</c15:sqref>
                        </c15:formulaRef>
                      </c:ext>
                    </c:extLst>
                    <c:strCache>
                      <c:ptCount val="1"/>
                      <c:pt idx="0">
                        <c:v>Summaries (To-Go)</c:v>
                      </c:pt>
                    </c:strCache>
                  </c:strRef>
                </c:tx>
                <c:spPr>
                  <a:solidFill>
                    <a:schemeClr val="accent4">
                      <a:lumMod val="80000"/>
                      <a:lumOff val="20000"/>
                    </a:schemeClr>
                  </a:solidFill>
                  <a:ln>
                    <a:noFill/>
                  </a:ln>
                  <a:effectLst/>
                </c:spPr>
                <c:cat>
                  <c:numRef>
                    <c:extLst xmlns:c15="http://schemas.microsoft.com/office/drawing/2012/chart">
                      <c:ext xmlns:c15="http://schemas.microsoft.com/office/drawing/2012/char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xmlns:c15="http://schemas.microsoft.com/office/drawing/2012/chart">
                      <c:ext xmlns:c15="http://schemas.microsoft.com/office/drawing/2012/chart" uri="{02D57815-91ED-43cb-92C2-25804820EDAC}">
                        <c15:formulaRef>
                          <c15:sqref>G1_Characteristics_WorkToGo!$H$24:$FT$24</c15:sqref>
                        </c15:formulaRef>
                      </c:ext>
                    </c:extLst>
                    <c:numCache>
                      <c:formatCode>General</c:formatCode>
                      <c:ptCount val="169"/>
                      <c:pt idx="0">
                        <c:v>54</c:v>
                      </c:pt>
                      <c:pt idx="1">
                        <c:v>54</c:v>
                      </c:pt>
                      <c:pt idx="2">
                        <c:v>54</c:v>
                      </c:pt>
                      <c:pt idx="3">
                        <c:v>54</c:v>
                      </c:pt>
                      <c:pt idx="4">
                        <c:v>54</c:v>
                      </c:pt>
                      <c:pt idx="5">
                        <c:v>54</c:v>
                      </c:pt>
                      <c:pt idx="6">
                        <c:v>54</c:v>
                      </c:pt>
                      <c:pt idx="7">
                        <c:v>54</c:v>
                      </c:pt>
                      <c:pt idx="8">
                        <c:v>54</c:v>
                      </c:pt>
                      <c:pt idx="9">
                        <c:v>54</c:v>
                      </c:pt>
                      <c:pt idx="10">
                        <c:v>54</c:v>
                      </c:pt>
                      <c:pt idx="11">
                        <c:v>54</c:v>
                      </c:pt>
                      <c:pt idx="12">
                        <c:v>55</c:v>
                      </c:pt>
                      <c:pt idx="13">
                        <c:v>55</c:v>
                      </c:pt>
                      <c:pt idx="14">
                        <c:v>55</c:v>
                      </c:pt>
                      <c:pt idx="15">
                        <c:v>55</c:v>
                      </c:pt>
                      <c:pt idx="16">
                        <c:v>55</c:v>
                      </c:pt>
                      <c:pt idx="17">
                        <c:v>55</c:v>
                      </c:pt>
                      <c:pt idx="18">
                        <c:v>55</c:v>
                      </c:pt>
                      <c:pt idx="19">
                        <c:v>55</c:v>
                      </c:pt>
                      <c:pt idx="20">
                        <c:v>55</c:v>
                      </c:pt>
                      <c:pt idx="21">
                        <c:v>55</c:v>
                      </c:pt>
                      <c:pt idx="22">
                        <c:v>55</c:v>
                      </c:pt>
                      <c:pt idx="23">
                        <c:v>55</c:v>
                      </c:pt>
                      <c:pt idx="24">
                        <c:v>55</c:v>
                      </c:pt>
                      <c:pt idx="25">
                        <c:v>55</c:v>
                      </c:pt>
                      <c:pt idx="26">
                        <c:v>55</c:v>
                      </c:pt>
                      <c:pt idx="27">
                        <c:v>55</c:v>
                      </c:pt>
                      <c:pt idx="28">
                        <c:v>55</c:v>
                      </c:pt>
                      <c:pt idx="29">
                        <c:v>55</c:v>
                      </c:pt>
                      <c:pt idx="30">
                        <c:v>55</c:v>
                      </c:pt>
                      <c:pt idx="31">
                        <c:v>55</c:v>
                      </c:pt>
                      <c:pt idx="32">
                        <c:v>55</c:v>
                      </c:pt>
                      <c:pt idx="33">
                        <c:v>55</c:v>
                      </c:pt>
                      <c:pt idx="34">
                        <c:v>55</c:v>
                      </c:pt>
                      <c:pt idx="35">
                        <c:v>55</c:v>
                      </c:pt>
                      <c:pt idx="36">
                        <c:v>56</c:v>
                      </c:pt>
                      <c:pt idx="37">
                        <c:v>56</c:v>
                      </c:pt>
                      <c:pt idx="38">
                        <c:v>57</c:v>
                      </c:pt>
                      <c:pt idx="39">
                        <c:v>58</c:v>
                      </c:pt>
                      <c:pt idx="40">
                        <c:v>58</c:v>
                      </c:pt>
                      <c:pt idx="41">
                        <c:v>58</c:v>
                      </c:pt>
                      <c:pt idx="42">
                        <c:v>58</c:v>
                      </c:pt>
                      <c:pt idx="43">
                        <c:v>58</c:v>
                      </c:pt>
                      <c:pt idx="44">
                        <c:v>58</c:v>
                      </c:pt>
                      <c:pt idx="45">
                        <c:v>58</c:v>
                      </c:pt>
                      <c:pt idx="46">
                        <c:v>58</c:v>
                      </c:pt>
                      <c:pt idx="47">
                        <c:v>59</c:v>
                      </c:pt>
                      <c:pt idx="48">
                        <c:v>59</c:v>
                      </c:pt>
                      <c:pt idx="49">
                        <c:v>59</c:v>
                      </c:pt>
                      <c:pt idx="50">
                        <c:v>59</c:v>
                      </c:pt>
                      <c:pt idx="51">
                        <c:v>60</c:v>
                      </c:pt>
                      <c:pt idx="52">
                        <c:v>60</c:v>
                      </c:pt>
                      <c:pt idx="53">
                        <c:v>60</c:v>
                      </c:pt>
                      <c:pt idx="54">
                        <c:v>60</c:v>
                      </c:pt>
                      <c:pt idx="55">
                        <c:v>60</c:v>
                      </c:pt>
                      <c:pt idx="56">
                        <c:v>61</c:v>
                      </c:pt>
                      <c:pt idx="57">
                        <c:v>61</c:v>
                      </c:pt>
                      <c:pt idx="58">
                        <c:v>61</c:v>
                      </c:pt>
                      <c:pt idx="59">
                        <c:v>61</c:v>
                      </c:pt>
                      <c:pt idx="60">
                        <c:v>64</c:v>
                      </c:pt>
                      <c:pt idx="61">
                        <c:v>64</c:v>
                      </c:pt>
                      <c:pt idx="62">
                        <c:v>65</c:v>
                      </c:pt>
                      <c:pt idx="63">
                        <c:v>67</c:v>
                      </c:pt>
                      <c:pt idx="64">
                        <c:v>67</c:v>
                      </c:pt>
                      <c:pt idx="65">
                        <c:v>68</c:v>
                      </c:pt>
                      <c:pt idx="66">
                        <c:v>68</c:v>
                      </c:pt>
                      <c:pt idx="67">
                        <c:v>68</c:v>
                      </c:pt>
                      <c:pt idx="68">
                        <c:v>69</c:v>
                      </c:pt>
                      <c:pt idx="69">
                        <c:v>73</c:v>
                      </c:pt>
                      <c:pt idx="70">
                        <c:v>74</c:v>
                      </c:pt>
                      <c:pt idx="71">
                        <c:v>78</c:v>
                      </c:pt>
                      <c:pt idx="72">
                        <c:v>80</c:v>
                      </c:pt>
                      <c:pt idx="73">
                        <c:v>82</c:v>
                      </c:pt>
                      <c:pt idx="74">
                        <c:v>89</c:v>
                      </c:pt>
                      <c:pt idx="75">
                        <c:v>92</c:v>
                      </c:pt>
                      <c:pt idx="76">
                        <c:v>94</c:v>
                      </c:pt>
                      <c:pt idx="77">
                        <c:v>99</c:v>
                      </c:pt>
                      <c:pt idx="78">
                        <c:v>101</c:v>
                      </c:pt>
                      <c:pt idx="79">
                        <c:v>103</c:v>
                      </c:pt>
                      <c:pt idx="80">
                        <c:v>105</c:v>
                      </c:pt>
                      <c:pt idx="81">
                        <c:v>112</c:v>
                      </c:pt>
                      <c:pt idx="82">
                        <c:v>114</c:v>
                      </c:pt>
                      <c:pt idx="83">
                        <c:v>118</c:v>
                      </c:pt>
                      <c:pt idx="84">
                        <c:v>122</c:v>
                      </c:pt>
                      <c:pt idx="85">
                        <c:v>125</c:v>
                      </c:pt>
                      <c:pt idx="86">
                        <c:v>136</c:v>
                      </c:pt>
                      <c:pt idx="87">
                        <c:v>139</c:v>
                      </c:pt>
                      <c:pt idx="88">
                        <c:v>131</c:v>
                      </c:pt>
                      <c:pt idx="89">
                        <c:v>119</c:v>
                      </c:pt>
                      <c:pt idx="90">
                        <c:v>86</c:v>
                      </c:pt>
                      <c:pt idx="91">
                        <c:v>65</c:v>
                      </c:pt>
                      <c:pt idx="92">
                        <c:v>49</c:v>
                      </c:pt>
                      <c:pt idx="93">
                        <c:v>50</c:v>
                      </c:pt>
                      <c:pt idx="94">
                        <c:v>35</c:v>
                      </c:pt>
                      <c:pt idx="95">
                        <c:v>33</c:v>
                      </c:pt>
                      <c:pt idx="96">
                        <c:v>27</c:v>
                      </c:pt>
                      <c:pt idx="97">
                        <c:v>13</c:v>
                      </c:pt>
                      <c:pt idx="98">
                        <c:v>14</c:v>
                      </c:pt>
                      <c:pt idx="99">
                        <c:v>10</c:v>
                      </c:pt>
                      <c:pt idx="100">
                        <c:v>10</c:v>
                      </c:pt>
                      <c:pt idx="101">
                        <c:v>3</c:v>
                      </c:pt>
                      <c:pt idx="102">
                        <c:v>3</c:v>
                      </c:pt>
                      <c:pt idx="103">
                        <c:v>3</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extLst xmlns:c15="http://schemas.microsoft.com/office/drawing/2012/chart">
                  <c:ext xmlns:c16="http://schemas.microsoft.com/office/drawing/2014/chart" uri="{C3380CC4-5D6E-409C-BE32-E72D297353CC}">
                    <c16:uniqueId val="{0000000F-EDE3-4AAE-A1F7-B6A1052E7B4A}"/>
                  </c:ext>
                </c:extLst>
              </c15:ser>
            </c15:filteredAreaSeries>
            <c15:filteredAreaSeries>
              <c15:ser>
                <c:idx val="16"/>
                <c:order val="16"/>
                <c:tx>
                  <c:strRef>
                    <c:extLst xmlns:c15="http://schemas.microsoft.com/office/drawing/2012/chart">
                      <c:ext xmlns:c15="http://schemas.microsoft.com/office/drawing/2012/chart" uri="{02D57815-91ED-43cb-92C2-25804820EDAC}">
                        <c15:formulaRef>
                          <c15:sqref>G1_Characteristics_WorkToGo!$G$25</c15:sqref>
                        </c15:formulaRef>
                      </c:ext>
                    </c:extLst>
                    <c:strCache>
                      <c:ptCount val="1"/>
                      <c:pt idx="0">
                        <c:v>Hammocks (To-Go)</c:v>
                      </c:pt>
                    </c:strCache>
                  </c:strRef>
                </c:tx>
                <c:spPr>
                  <a:solidFill>
                    <a:schemeClr val="accent5">
                      <a:lumMod val="80000"/>
                      <a:lumOff val="20000"/>
                    </a:schemeClr>
                  </a:solidFill>
                  <a:ln>
                    <a:noFill/>
                  </a:ln>
                  <a:effectLst/>
                </c:spPr>
                <c:cat>
                  <c:numRef>
                    <c:extLst xmlns:c15="http://schemas.microsoft.com/office/drawing/2012/chart">
                      <c:ext xmlns:c15="http://schemas.microsoft.com/office/drawing/2012/char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xmlns:c15="http://schemas.microsoft.com/office/drawing/2012/chart">
                      <c:ext xmlns:c15="http://schemas.microsoft.com/office/drawing/2012/chart" uri="{02D57815-91ED-43cb-92C2-25804820EDAC}">
                        <c15:formulaRef>
                          <c15:sqref>G1_Characteristics_WorkToGo!$H$25:$FT$25</c15:sqref>
                        </c15:formulaRef>
                      </c:ext>
                    </c:extLst>
                    <c:numCache>
                      <c:formatCode>General</c:formatCode>
                      <c:ptCount val="16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extLst xmlns:c15="http://schemas.microsoft.com/office/drawing/2012/chart">
                  <c:ext xmlns:c16="http://schemas.microsoft.com/office/drawing/2014/chart" uri="{C3380CC4-5D6E-409C-BE32-E72D297353CC}">
                    <c16:uniqueId val="{00000010-EDE3-4AAE-A1F7-B6A1052E7B4A}"/>
                  </c:ext>
                </c:extLst>
              </c15:ser>
            </c15:filteredAreaSeries>
          </c:ext>
        </c:extLst>
      </c:areaChart>
      <c:barChart>
        <c:barDir val="col"/>
        <c:grouping val="clustered"/>
        <c:varyColors val="0"/>
        <c:ser>
          <c:idx val="14"/>
          <c:order val="14"/>
          <c:tx>
            <c:strRef>
              <c:f>G1_Characteristics_WorkToGo!$G$23</c:f>
              <c:strCache>
                <c:ptCount val="1"/>
                <c:pt idx="0">
                  <c:v>Normal Tasks (To-Go)</c:v>
                </c:pt>
              </c:strCache>
            </c:strRef>
          </c:tx>
          <c:spPr>
            <a:solidFill>
              <a:schemeClr val="accent1">
                <a:lumMod val="75000"/>
              </a:schemeClr>
            </a:solidFill>
            <a:ln>
              <a:solidFill>
                <a:schemeClr val="accent1">
                  <a:lumMod val="75000"/>
                </a:schemeClr>
              </a:solidFill>
            </a:ln>
            <a:effectLst/>
          </c:spPr>
          <c:invertIfNegative val="0"/>
          <c:cat>
            <c:numRef>
              <c:f>G1_Characteristics_WorkToGo!$H$8:$FT$8</c:f>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f>G1_Characteristics_WorkToGo!$H$23:$FT$23</c:f>
              <c:numCache>
                <c:formatCode>General</c:formatCode>
                <c:ptCount val="16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1</c:v>
                </c:pt>
                <c:pt idx="64">
                  <c:v>1</c:v>
                </c:pt>
                <c:pt idx="65">
                  <c:v>1</c:v>
                </c:pt>
                <c:pt idx="66">
                  <c:v>1</c:v>
                </c:pt>
                <c:pt idx="67">
                  <c:v>1</c:v>
                </c:pt>
                <c:pt idx="68">
                  <c:v>1</c:v>
                </c:pt>
                <c:pt idx="69">
                  <c:v>2</c:v>
                </c:pt>
                <c:pt idx="70">
                  <c:v>3</c:v>
                </c:pt>
                <c:pt idx="71">
                  <c:v>3</c:v>
                </c:pt>
                <c:pt idx="72">
                  <c:v>4</c:v>
                </c:pt>
                <c:pt idx="73">
                  <c:v>4</c:v>
                </c:pt>
                <c:pt idx="74">
                  <c:v>4</c:v>
                </c:pt>
                <c:pt idx="75">
                  <c:v>5</c:v>
                </c:pt>
                <c:pt idx="76">
                  <c:v>5</c:v>
                </c:pt>
                <c:pt idx="77">
                  <c:v>8</c:v>
                </c:pt>
                <c:pt idx="78">
                  <c:v>9</c:v>
                </c:pt>
                <c:pt idx="79">
                  <c:v>11</c:v>
                </c:pt>
                <c:pt idx="80">
                  <c:v>11</c:v>
                </c:pt>
                <c:pt idx="81">
                  <c:v>13</c:v>
                </c:pt>
                <c:pt idx="82">
                  <c:v>16</c:v>
                </c:pt>
                <c:pt idx="83">
                  <c:v>21</c:v>
                </c:pt>
                <c:pt idx="84">
                  <c:v>23</c:v>
                </c:pt>
                <c:pt idx="85">
                  <c:v>25</c:v>
                </c:pt>
                <c:pt idx="86">
                  <c:v>48</c:v>
                </c:pt>
                <c:pt idx="87">
                  <c:v>122</c:v>
                </c:pt>
                <c:pt idx="88">
                  <c:v>97</c:v>
                </c:pt>
                <c:pt idx="89">
                  <c:v>89</c:v>
                </c:pt>
                <c:pt idx="90">
                  <c:v>69</c:v>
                </c:pt>
                <c:pt idx="91">
                  <c:v>45</c:v>
                </c:pt>
                <c:pt idx="92">
                  <c:v>24</c:v>
                </c:pt>
                <c:pt idx="93">
                  <c:v>33</c:v>
                </c:pt>
                <c:pt idx="94">
                  <c:v>21</c:v>
                </c:pt>
                <c:pt idx="95">
                  <c:v>23</c:v>
                </c:pt>
                <c:pt idx="96">
                  <c:v>32</c:v>
                </c:pt>
                <c:pt idx="97">
                  <c:v>11</c:v>
                </c:pt>
                <c:pt idx="98">
                  <c:v>7</c:v>
                </c:pt>
                <c:pt idx="99">
                  <c:v>5</c:v>
                </c:pt>
                <c:pt idx="100">
                  <c:v>4</c:v>
                </c:pt>
                <c:pt idx="101">
                  <c:v>1</c:v>
                </c:pt>
                <c:pt idx="102">
                  <c:v>3</c:v>
                </c:pt>
                <c:pt idx="103">
                  <c:v>1</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extLst>
            <c:ext xmlns:c16="http://schemas.microsoft.com/office/drawing/2014/chart" uri="{C3380CC4-5D6E-409C-BE32-E72D297353CC}">
              <c16:uniqueId val="{00000002-EDE3-4AAE-A1F7-B6A1052E7B4A}"/>
            </c:ext>
          </c:extLst>
        </c:ser>
        <c:dLbls>
          <c:showLegendKey val="0"/>
          <c:showVal val="0"/>
          <c:showCatName val="0"/>
          <c:showSerName val="0"/>
          <c:showPercent val="0"/>
          <c:showBubbleSize val="0"/>
        </c:dLbls>
        <c:gapWidth val="150"/>
        <c:axId val="1413648640"/>
        <c:axId val="1413649056"/>
      </c:barChart>
      <c:lineChart>
        <c:grouping val="standard"/>
        <c:varyColors val="0"/>
        <c:ser>
          <c:idx val="19"/>
          <c:order val="19"/>
          <c:tx>
            <c:strRef>
              <c:f>G1_Characteristics_WorkToGo!$G$28</c:f>
              <c:strCache>
                <c:ptCount val="1"/>
                <c:pt idx="0">
                  <c:v>Longest Path (Normal Tasks)</c:v>
                </c:pt>
              </c:strCache>
            </c:strRef>
          </c:tx>
          <c:spPr>
            <a:ln w="28575" cap="rnd">
              <a:solidFill>
                <a:schemeClr val="accent2">
                  <a:lumMod val="80000"/>
                </a:schemeClr>
              </a:solidFill>
              <a:round/>
            </a:ln>
            <a:effectLst/>
          </c:spPr>
          <c:marker>
            <c:symbol val="none"/>
          </c:marker>
          <c:cat>
            <c:numRef>
              <c:f>G1_Characteristics_WorkToGo!$H$8:$FT$8</c:f>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f>G1_Characteristics_WorkToGo!$H$28:$FT$28</c:f>
              <c:numCache>
                <c:formatCode>General</c:formatCode>
                <c:ptCount val="16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1</c:v>
                </c:pt>
                <c:pt idx="87">
                  <c:v>12</c:v>
                </c:pt>
                <c:pt idx="88">
                  <c:v>16</c:v>
                </c:pt>
                <c:pt idx="89">
                  <c:v>15</c:v>
                </c:pt>
                <c:pt idx="90">
                  <c:v>9</c:v>
                </c:pt>
                <c:pt idx="91">
                  <c:v>6</c:v>
                </c:pt>
                <c:pt idx="92">
                  <c:v>5</c:v>
                </c:pt>
                <c:pt idx="93">
                  <c:v>17</c:v>
                </c:pt>
                <c:pt idx="94">
                  <c:v>10</c:v>
                </c:pt>
                <c:pt idx="95">
                  <c:v>11</c:v>
                </c:pt>
                <c:pt idx="96">
                  <c:v>21</c:v>
                </c:pt>
                <c:pt idx="97">
                  <c:v>7</c:v>
                </c:pt>
                <c:pt idx="98">
                  <c:v>4</c:v>
                </c:pt>
                <c:pt idx="99">
                  <c:v>1</c:v>
                </c:pt>
                <c:pt idx="100">
                  <c:v>3</c:v>
                </c:pt>
                <c:pt idx="101">
                  <c:v>1</c:v>
                </c:pt>
                <c:pt idx="102">
                  <c:v>3</c:v>
                </c:pt>
                <c:pt idx="103">
                  <c:v>1</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smooth val="0"/>
          <c:extLst>
            <c:ext xmlns:c16="http://schemas.microsoft.com/office/drawing/2014/chart" uri="{C3380CC4-5D6E-409C-BE32-E72D297353CC}">
              <c16:uniqueId val="{00000013-EDE3-4AAE-A1F7-B6A1052E7B4A}"/>
            </c:ext>
          </c:extLst>
        </c:ser>
        <c:dLbls>
          <c:showLegendKey val="0"/>
          <c:showVal val="0"/>
          <c:showCatName val="0"/>
          <c:showSerName val="0"/>
          <c:showPercent val="0"/>
          <c:showBubbleSize val="0"/>
        </c:dLbls>
        <c:marker val="1"/>
        <c:smooth val="0"/>
        <c:axId val="1413648640"/>
        <c:axId val="1413649056"/>
        <c:extLst>
          <c:ext xmlns:c15="http://schemas.microsoft.com/office/drawing/2012/chart" uri="{02D57815-91ED-43cb-92C2-25804820EDAC}">
            <c15:filteredLineSeries>
              <c15:ser>
                <c:idx val="17"/>
                <c:order val="17"/>
                <c:tx>
                  <c:strRef>
                    <c:extLst>
                      <c:ext uri="{02D57815-91ED-43cb-92C2-25804820EDAC}">
                        <c15:formulaRef>
                          <c15:sqref>G1_Characteristics_WorkToGo!$G$26</c15:sqref>
                        </c15:formulaRef>
                      </c:ext>
                    </c:extLst>
                    <c:strCache>
                      <c:ptCount val="1"/>
                      <c:pt idx="0">
                        <c:v>Recurring Tasks (To-Go)</c:v>
                      </c:pt>
                    </c:strCache>
                  </c:strRef>
                </c:tx>
                <c:spPr>
                  <a:ln w="28575" cap="rnd">
                    <a:solidFill>
                      <a:schemeClr val="accent6">
                        <a:lumMod val="80000"/>
                        <a:lumOff val="20000"/>
                      </a:schemeClr>
                    </a:solidFill>
                    <a:round/>
                  </a:ln>
                  <a:effectLst/>
                </c:spPr>
                <c:marker>
                  <c:symbol val="none"/>
                </c:marker>
                <c:cat>
                  <c:numRef>
                    <c:extLst>
                      <c:ex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c:ext uri="{02D57815-91ED-43cb-92C2-25804820EDAC}">
                        <c15:formulaRef>
                          <c15:sqref>G1_Characteristics_WorkToGo!$H$26:$FT$26</c15:sqref>
                        </c15:formulaRef>
                      </c:ext>
                    </c:extLst>
                    <c:numCache>
                      <c:formatCode>General</c:formatCode>
                      <c:ptCount val="16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smooth val="0"/>
                <c:extLst>
                  <c:ext xmlns:c16="http://schemas.microsoft.com/office/drawing/2014/chart" uri="{C3380CC4-5D6E-409C-BE32-E72D297353CC}">
                    <c16:uniqueId val="{00000011-EDE3-4AAE-A1F7-B6A1052E7B4A}"/>
                  </c:ext>
                </c:extLst>
              </c15:ser>
            </c15:filteredLineSeries>
            <c15:filteredLineSeries>
              <c15:ser>
                <c:idx val="18"/>
                <c:order val="18"/>
                <c:tx>
                  <c:strRef>
                    <c:extLst xmlns:c15="http://schemas.microsoft.com/office/drawing/2012/chart">
                      <c:ext xmlns:c15="http://schemas.microsoft.com/office/drawing/2012/chart" uri="{02D57815-91ED-43cb-92C2-25804820EDAC}">
                        <c15:formulaRef>
                          <c15:sqref>G1_Characteristics_WorkToGo!$G$27</c15:sqref>
                        </c15:formulaRef>
                      </c:ext>
                    </c:extLst>
                    <c:strCache>
                      <c:ptCount val="1"/>
                      <c:pt idx="0">
                        <c:v>Longest Path (Tasks &amp; Milestones)</c:v>
                      </c:pt>
                    </c:strCache>
                  </c:strRef>
                </c:tx>
                <c:spPr>
                  <a:ln w="28575" cap="rnd">
                    <a:solidFill>
                      <a:schemeClr val="accent1">
                        <a:lumMod val="80000"/>
                      </a:schemeClr>
                    </a:solidFill>
                    <a:round/>
                  </a:ln>
                  <a:effectLst/>
                </c:spPr>
                <c:marker>
                  <c:symbol val="none"/>
                </c:marker>
                <c:cat>
                  <c:numRef>
                    <c:extLst xmlns:c15="http://schemas.microsoft.com/office/drawing/2012/chart">
                      <c:ext xmlns:c15="http://schemas.microsoft.com/office/drawing/2012/char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xmlns:c15="http://schemas.microsoft.com/office/drawing/2012/chart">
                      <c:ext xmlns:c15="http://schemas.microsoft.com/office/drawing/2012/chart" uri="{02D57815-91ED-43cb-92C2-25804820EDAC}">
                        <c15:formulaRef>
                          <c15:sqref>G1_Characteristics_WorkToGo!$H$27:$FT$27</c15:sqref>
                        </c15:formulaRef>
                      </c:ext>
                    </c:extLst>
                    <c:numCache>
                      <c:formatCode>General</c:formatCode>
                      <c:ptCount val="16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1</c:v>
                      </c:pt>
                      <c:pt idx="87">
                        <c:v>13</c:v>
                      </c:pt>
                      <c:pt idx="88">
                        <c:v>22</c:v>
                      </c:pt>
                      <c:pt idx="89">
                        <c:v>26</c:v>
                      </c:pt>
                      <c:pt idx="90">
                        <c:v>10</c:v>
                      </c:pt>
                      <c:pt idx="91">
                        <c:v>9</c:v>
                      </c:pt>
                      <c:pt idx="92">
                        <c:v>5</c:v>
                      </c:pt>
                      <c:pt idx="93">
                        <c:v>18</c:v>
                      </c:pt>
                      <c:pt idx="94">
                        <c:v>12</c:v>
                      </c:pt>
                      <c:pt idx="95">
                        <c:v>13</c:v>
                      </c:pt>
                      <c:pt idx="96">
                        <c:v>25</c:v>
                      </c:pt>
                      <c:pt idx="97">
                        <c:v>7</c:v>
                      </c:pt>
                      <c:pt idx="98">
                        <c:v>6</c:v>
                      </c:pt>
                      <c:pt idx="99">
                        <c:v>1</c:v>
                      </c:pt>
                      <c:pt idx="100">
                        <c:v>4</c:v>
                      </c:pt>
                      <c:pt idx="101">
                        <c:v>1</c:v>
                      </c:pt>
                      <c:pt idx="102">
                        <c:v>7</c:v>
                      </c:pt>
                      <c:pt idx="103">
                        <c:v>3</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smooth val="0"/>
                <c:extLst xmlns:c15="http://schemas.microsoft.com/office/drawing/2012/chart">
                  <c:ext xmlns:c16="http://schemas.microsoft.com/office/drawing/2014/chart" uri="{C3380CC4-5D6E-409C-BE32-E72D297353CC}">
                    <c16:uniqueId val="{00000012-EDE3-4AAE-A1F7-B6A1052E7B4A}"/>
                  </c:ext>
                </c:extLst>
              </c15:ser>
            </c15:filteredLineSeries>
            <c15:filteredLineSeries>
              <c15:ser>
                <c:idx val="20"/>
                <c:order val="20"/>
                <c:tx>
                  <c:strRef>
                    <c:extLst xmlns:c15="http://schemas.microsoft.com/office/drawing/2012/chart">
                      <c:ext xmlns:c15="http://schemas.microsoft.com/office/drawing/2012/chart" uri="{02D57815-91ED-43cb-92C2-25804820EDAC}">
                        <c15:formulaRef>
                          <c15:sqref>G1_Characteristics_WorkToGo!$G$29</c15:sqref>
                        </c15:formulaRef>
                      </c:ext>
                    </c:extLst>
                    <c:strCache>
                      <c:ptCount val="1"/>
                      <c:pt idx="0">
                        <c:v>Longest Path (Milestones)</c:v>
                      </c:pt>
                    </c:strCache>
                  </c:strRef>
                </c:tx>
                <c:spPr>
                  <a:ln w="28575" cap="rnd">
                    <a:solidFill>
                      <a:schemeClr val="accent3">
                        <a:lumMod val="80000"/>
                      </a:schemeClr>
                    </a:solidFill>
                    <a:round/>
                  </a:ln>
                  <a:effectLst/>
                </c:spPr>
                <c:marker>
                  <c:symbol val="none"/>
                </c:marker>
                <c:cat>
                  <c:numRef>
                    <c:extLst xmlns:c15="http://schemas.microsoft.com/office/drawing/2012/chart">
                      <c:ext xmlns:c15="http://schemas.microsoft.com/office/drawing/2012/char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xmlns:c15="http://schemas.microsoft.com/office/drawing/2012/chart">
                      <c:ext xmlns:c15="http://schemas.microsoft.com/office/drawing/2012/chart" uri="{02D57815-91ED-43cb-92C2-25804820EDAC}">
                        <c15:formulaRef>
                          <c15:sqref>G1_Characteristics_WorkToGo!$H$29:$FT$29</c15:sqref>
                        </c15:formulaRef>
                      </c:ext>
                    </c:extLst>
                    <c:numCache>
                      <c:formatCode>General</c:formatCode>
                      <c:ptCount val="16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1</c:v>
                      </c:pt>
                      <c:pt idx="88">
                        <c:v>6</c:v>
                      </c:pt>
                      <c:pt idx="89">
                        <c:v>11</c:v>
                      </c:pt>
                      <c:pt idx="90">
                        <c:v>1</c:v>
                      </c:pt>
                      <c:pt idx="91">
                        <c:v>3</c:v>
                      </c:pt>
                      <c:pt idx="92">
                        <c:v>0</c:v>
                      </c:pt>
                      <c:pt idx="93">
                        <c:v>1</c:v>
                      </c:pt>
                      <c:pt idx="94">
                        <c:v>2</c:v>
                      </c:pt>
                      <c:pt idx="95">
                        <c:v>2</c:v>
                      </c:pt>
                      <c:pt idx="96">
                        <c:v>4</c:v>
                      </c:pt>
                      <c:pt idx="97">
                        <c:v>0</c:v>
                      </c:pt>
                      <c:pt idx="98">
                        <c:v>2</c:v>
                      </c:pt>
                      <c:pt idx="99">
                        <c:v>0</c:v>
                      </c:pt>
                      <c:pt idx="100">
                        <c:v>1</c:v>
                      </c:pt>
                      <c:pt idx="101">
                        <c:v>0</c:v>
                      </c:pt>
                      <c:pt idx="102">
                        <c:v>4</c:v>
                      </c:pt>
                      <c:pt idx="103">
                        <c:v>2</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smooth val="0"/>
                <c:extLst xmlns:c15="http://schemas.microsoft.com/office/drawing/2012/chart">
                  <c:ext xmlns:c16="http://schemas.microsoft.com/office/drawing/2014/chart" uri="{C3380CC4-5D6E-409C-BE32-E72D297353CC}">
                    <c16:uniqueId val="{00000014-EDE3-4AAE-A1F7-B6A1052E7B4A}"/>
                  </c:ext>
                </c:extLst>
              </c15:ser>
            </c15:filteredLineSeries>
            <c15:filteredLineSeries>
              <c15:ser>
                <c:idx val="21"/>
                <c:order val="21"/>
                <c:tx>
                  <c:strRef>
                    <c:extLst xmlns:c15="http://schemas.microsoft.com/office/drawing/2012/chart">
                      <c:ext xmlns:c15="http://schemas.microsoft.com/office/drawing/2012/chart" uri="{02D57815-91ED-43cb-92C2-25804820EDAC}">
                        <c15:formulaRef>
                          <c15:sqref>G1_Characteristics_WorkToGo!$G$32</c15:sqref>
                        </c15:formulaRef>
                      </c:ext>
                    </c:extLst>
                    <c:strCache>
                      <c:ptCount val="1"/>
                      <c:pt idx="0">
                        <c:v>Total New Tasks &amp; Milestones in Status Period</c:v>
                      </c:pt>
                    </c:strCache>
                  </c:strRef>
                </c:tx>
                <c:spPr>
                  <a:ln w="28575" cap="rnd">
                    <a:solidFill>
                      <a:schemeClr val="accent4">
                        <a:lumMod val="80000"/>
                      </a:schemeClr>
                    </a:solidFill>
                    <a:round/>
                  </a:ln>
                  <a:effectLst/>
                </c:spPr>
                <c:marker>
                  <c:symbol val="none"/>
                </c:marker>
                <c:cat>
                  <c:numRef>
                    <c:extLst xmlns:c15="http://schemas.microsoft.com/office/drawing/2012/chart">
                      <c:ext xmlns:c15="http://schemas.microsoft.com/office/drawing/2012/char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xmlns:c15="http://schemas.microsoft.com/office/drawing/2012/chart">
                      <c:ext xmlns:c15="http://schemas.microsoft.com/office/drawing/2012/chart" uri="{02D57815-91ED-43cb-92C2-25804820EDAC}">
                        <c15:formulaRef>
                          <c15:sqref>G1_Characteristics_WorkToGo!$H$32:$FT$32</c15:sqref>
                        </c15:formulaRef>
                      </c:ext>
                    </c:extLst>
                    <c:numCache>
                      <c:formatCode>General</c:formatCode>
                      <c:ptCount val="16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smooth val="0"/>
                <c:extLst xmlns:c15="http://schemas.microsoft.com/office/drawing/2012/chart">
                  <c:ext xmlns:c16="http://schemas.microsoft.com/office/drawing/2014/chart" uri="{C3380CC4-5D6E-409C-BE32-E72D297353CC}">
                    <c16:uniqueId val="{00000015-EDE3-4AAE-A1F7-B6A1052E7B4A}"/>
                  </c:ext>
                </c:extLst>
              </c15:ser>
            </c15:filteredLineSeries>
            <c15:filteredLineSeries>
              <c15:ser>
                <c:idx val="22"/>
                <c:order val="22"/>
                <c:tx>
                  <c:strRef>
                    <c:extLst xmlns:c15="http://schemas.microsoft.com/office/drawing/2012/chart">
                      <c:ext xmlns:c15="http://schemas.microsoft.com/office/drawing/2012/chart" uri="{02D57815-91ED-43cb-92C2-25804820EDAC}">
                        <c15:formulaRef>
                          <c15:sqref>G1_Characteristics_WorkToGo!$G$33</c15:sqref>
                        </c15:formulaRef>
                      </c:ext>
                    </c:extLst>
                    <c:strCache>
                      <c:ptCount val="1"/>
                      <c:pt idx="0">
                        <c:v>Total New Completed Tasks &amp; Milestones in Status Period</c:v>
                      </c:pt>
                    </c:strCache>
                  </c:strRef>
                </c:tx>
                <c:spPr>
                  <a:ln w="28575" cap="rnd">
                    <a:solidFill>
                      <a:schemeClr val="accent5">
                        <a:lumMod val="80000"/>
                      </a:schemeClr>
                    </a:solidFill>
                    <a:round/>
                  </a:ln>
                  <a:effectLst/>
                </c:spPr>
                <c:marker>
                  <c:symbol val="none"/>
                </c:marker>
                <c:cat>
                  <c:numRef>
                    <c:extLst xmlns:c15="http://schemas.microsoft.com/office/drawing/2012/chart">
                      <c:ext xmlns:c15="http://schemas.microsoft.com/office/drawing/2012/char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xmlns:c15="http://schemas.microsoft.com/office/drawing/2012/chart">
                      <c:ext xmlns:c15="http://schemas.microsoft.com/office/drawing/2012/chart" uri="{02D57815-91ED-43cb-92C2-25804820EDAC}">
                        <c15:formulaRef>
                          <c15:sqref>G1_Characteristics_WorkToGo!$H$33:$FT$33</c15:sqref>
                        </c15:formulaRef>
                      </c:ext>
                    </c:extLst>
                    <c:numCache>
                      <c:formatCode>General</c:formatCode>
                      <c:ptCount val="16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smooth val="0"/>
                <c:extLst xmlns:c15="http://schemas.microsoft.com/office/drawing/2012/chart">
                  <c:ext xmlns:c16="http://schemas.microsoft.com/office/drawing/2014/chart" uri="{C3380CC4-5D6E-409C-BE32-E72D297353CC}">
                    <c16:uniqueId val="{00000016-EDE3-4AAE-A1F7-B6A1052E7B4A}"/>
                  </c:ext>
                </c:extLst>
              </c15:ser>
            </c15:filteredLineSeries>
          </c:ext>
        </c:extLst>
      </c:lineChart>
      <c:dateAx>
        <c:axId val="1413648640"/>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649056"/>
        <c:crosses val="autoZero"/>
        <c:auto val="1"/>
        <c:lblOffset val="100"/>
        <c:baseTimeUnit val="months"/>
      </c:dateAx>
      <c:valAx>
        <c:axId val="1413649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6486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Work-to-Go</a:t>
            </a:r>
            <a:r>
              <a:rPr lang="en-US" baseline="0"/>
              <a:t> (Normal Tasks)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3"/>
          <c:order val="3"/>
          <c:spPr>
            <a:ln w="28575" cap="rnd">
              <a:solidFill>
                <a:schemeClr val="accent3"/>
              </a:solidFill>
              <a:round/>
            </a:ln>
            <a:effectLst/>
          </c:spPr>
          <c:marker>
            <c:symbol val="none"/>
          </c:marker>
          <c:cat>
            <c:numRef>
              <c:f>G1_Characteristics_WorkToGo!$H$8:$FT$8</c:f>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f>G1_Characteristics_WorkToGo!$H$12:$FT$12</c:f>
              <c:numCache>
                <c:formatCode>General</c:formatCode>
                <c:ptCount val="169"/>
                <c:pt idx="0">
                  <c:v>8</c:v>
                </c:pt>
                <c:pt idx="1">
                  <c:v>1</c:v>
                </c:pt>
                <c:pt idx="2">
                  <c:v>0</c:v>
                </c:pt>
                <c:pt idx="3">
                  <c:v>1</c:v>
                </c:pt>
                <c:pt idx="4">
                  <c:v>1</c:v>
                </c:pt>
                <c:pt idx="5">
                  <c:v>1</c:v>
                </c:pt>
                <c:pt idx="6">
                  <c:v>3</c:v>
                </c:pt>
                <c:pt idx="7">
                  <c:v>4</c:v>
                </c:pt>
                <c:pt idx="8">
                  <c:v>3</c:v>
                </c:pt>
                <c:pt idx="9">
                  <c:v>1</c:v>
                </c:pt>
                <c:pt idx="10">
                  <c:v>3</c:v>
                </c:pt>
                <c:pt idx="11">
                  <c:v>3</c:v>
                </c:pt>
                <c:pt idx="12">
                  <c:v>4</c:v>
                </c:pt>
                <c:pt idx="13">
                  <c:v>4</c:v>
                </c:pt>
                <c:pt idx="14">
                  <c:v>5</c:v>
                </c:pt>
                <c:pt idx="15">
                  <c:v>8</c:v>
                </c:pt>
                <c:pt idx="16">
                  <c:v>6</c:v>
                </c:pt>
                <c:pt idx="17">
                  <c:v>8</c:v>
                </c:pt>
                <c:pt idx="18">
                  <c:v>5</c:v>
                </c:pt>
                <c:pt idx="19">
                  <c:v>4</c:v>
                </c:pt>
                <c:pt idx="20">
                  <c:v>6</c:v>
                </c:pt>
                <c:pt idx="21">
                  <c:v>10</c:v>
                </c:pt>
                <c:pt idx="22">
                  <c:v>12</c:v>
                </c:pt>
                <c:pt idx="23">
                  <c:v>13</c:v>
                </c:pt>
                <c:pt idx="24">
                  <c:v>15</c:v>
                </c:pt>
                <c:pt idx="25">
                  <c:v>29</c:v>
                </c:pt>
                <c:pt idx="26">
                  <c:v>29</c:v>
                </c:pt>
                <c:pt idx="27">
                  <c:v>20</c:v>
                </c:pt>
                <c:pt idx="28">
                  <c:v>22</c:v>
                </c:pt>
                <c:pt idx="29">
                  <c:v>14</c:v>
                </c:pt>
                <c:pt idx="30">
                  <c:v>10</c:v>
                </c:pt>
                <c:pt idx="31">
                  <c:v>9</c:v>
                </c:pt>
                <c:pt idx="32">
                  <c:v>11</c:v>
                </c:pt>
                <c:pt idx="33">
                  <c:v>19</c:v>
                </c:pt>
                <c:pt idx="34">
                  <c:v>17</c:v>
                </c:pt>
                <c:pt idx="35">
                  <c:v>35</c:v>
                </c:pt>
                <c:pt idx="36">
                  <c:v>43</c:v>
                </c:pt>
                <c:pt idx="37">
                  <c:v>43</c:v>
                </c:pt>
                <c:pt idx="38">
                  <c:v>39</c:v>
                </c:pt>
                <c:pt idx="39">
                  <c:v>47</c:v>
                </c:pt>
                <c:pt idx="40">
                  <c:v>43</c:v>
                </c:pt>
                <c:pt idx="41">
                  <c:v>82</c:v>
                </c:pt>
                <c:pt idx="42">
                  <c:v>94</c:v>
                </c:pt>
                <c:pt idx="43">
                  <c:v>95</c:v>
                </c:pt>
                <c:pt idx="44">
                  <c:v>90</c:v>
                </c:pt>
                <c:pt idx="45">
                  <c:v>83</c:v>
                </c:pt>
                <c:pt idx="46">
                  <c:v>96</c:v>
                </c:pt>
                <c:pt idx="47">
                  <c:v>109</c:v>
                </c:pt>
                <c:pt idx="48">
                  <c:v>100</c:v>
                </c:pt>
                <c:pt idx="49">
                  <c:v>94</c:v>
                </c:pt>
                <c:pt idx="50">
                  <c:v>125</c:v>
                </c:pt>
                <c:pt idx="51">
                  <c:v>120</c:v>
                </c:pt>
                <c:pt idx="52">
                  <c:v>86</c:v>
                </c:pt>
                <c:pt idx="53">
                  <c:v>76</c:v>
                </c:pt>
                <c:pt idx="54">
                  <c:v>100</c:v>
                </c:pt>
                <c:pt idx="55">
                  <c:v>101</c:v>
                </c:pt>
                <c:pt idx="56">
                  <c:v>102</c:v>
                </c:pt>
                <c:pt idx="57">
                  <c:v>148</c:v>
                </c:pt>
                <c:pt idx="58">
                  <c:v>126</c:v>
                </c:pt>
                <c:pt idx="59">
                  <c:v>122</c:v>
                </c:pt>
                <c:pt idx="60">
                  <c:v>123</c:v>
                </c:pt>
                <c:pt idx="61">
                  <c:v>117</c:v>
                </c:pt>
                <c:pt idx="62">
                  <c:v>115</c:v>
                </c:pt>
                <c:pt idx="63">
                  <c:v>111</c:v>
                </c:pt>
                <c:pt idx="64">
                  <c:v>103</c:v>
                </c:pt>
                <c:pt idx="65">
                  <c:v>94</c:v>
                </c:pt>
                <c:pt idx="66">
                  <c:v>113</c:v>
                </c:pt>
                <c:pt idx="67">
                  <c:v>118</c:v>
                </c:pt>
                <c:pt idx="68">
                  <c:v>125</c:v>
                </c:pt>
                <c:pt idx="69">
                  <c:v>146</c:v>
                </c:pt>
                <c:pt idx="70">
                  <c:v>157</c:v>
                </c:pt>
                <c:pt idx="71">
                  <c:v>132</c:v>
                </c:pt>
                <c:pt idx="72">
                  <c:v>130</c:v>
                </c:pt>
                <c:pt idx="73">
                  <c:v>144</c:v>
                </c:pt>
                <c:pt idx="74">
                  <c:v>128</c:v>
                </c:pt>
                <c:pt idx="75">
                  <c:v>117</c:v>
                </c:pt>
                <c:pt idx="76">
                  <c:v>101</c:v>
                </c:pt>
                <c:pt idx="77">
                  <c:v>107</c:v>
                </c:pt>
                <c:pt idx="78">
                  <c:v>112</c:v>
                </c:pt>
                <c:pt idx="79">
                  <c:v>106</c:v>
                </c:pt>
                <c:pt idx="80">
                  <c:v>73</c:v>
                </c:pt>
                <c:pt idx="81">
                  <c:v>84</c:v>
                </c:pt>
                <c:pt idx="82">
                  <c:v>86</c:v>
                </c:pt>
                <c:pt idx="83">
                  <c:v>112</c:v>
                </c:pt>
                <c:pt idx="84">
                  <c:v>94</c:v>
                </c:pt>
                <c:pt idx="85">
                  <c:v>83</c:v>
                </c:pt>
                <c:pt idx="86">
                  <c:v>101</c:v>
                </c:pt>
                <c:pt idx="87">
                  <c:v>122</c:v>
                </c:pt>
                <c:pt idx="88">
                  <c:v>97</c:v>
                </c:pt>
                <c:pt idx="89">
                  <c:v>89</c:v>
                </c:pt>
                <c:pt idx="90">
                  <c:v>69</c:v>
                </c:pt>
                <c:pt idx="91">
                  <c:v>45</c:v>
                </c:pt>
                <c:pt idx="92">
                  <c:v>24</c:v>
                </c:pt>
                <c:pt idx="93">
                  <c:v>33</c:v>
                </c:pt>
                <c:pt idx="94">
                  <c:v>21</c:v>
                </c:pt>
                <c:pt idx="95">
                  <c:v>23</c:v>
                </c:pt>
                <c:pt idx="96">
                  <c:v>32</c:v>
                </c:pt>
                <c:pt idx="97">
                  <c:v>11</c:v>
                </c:pt>
                <c:pt idx="98">
                  <c:v>7</c:v>
                </c:pt>
                <c:pt idx="99">
                  <c:v>5</c:v>
                </c:pt>
                <c:pt idx="100">
                  <c:v>4</c:v>
                </c:pt>
                <c:pt idx="101">
                  <c:v>1</c:v>
                </c:pt>
                <c:pt idx="102">
                  <c:v>3</c:v>
                </c:pt>
                <c:pt idx="103">
                  <c:v>1</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smooth val="0"/>
          <c:extLst xmlns:c15="http://schemas.microsoft.com/office/drawing/2012/char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5-7761-4262-8A27-3D2B50C360C2}"/>
            </c:ext>
          </c:extLst>
        </c:ser>
        <c:ser>
          <c:idx val="14"/>
          <c:order val="14"/>
          <c:spPr>
            <a:ln w="28575" cap="rnd">
              <a:solidFill>
                <a:schemeClr val="accent1">
                  <a:lumMod val="75000"/>
                </a:schemeClr>
              </a:solidFill>
              <a:round/>
            </a:ln>
            <a:effectLst/>
          </c:spPr>
          <c:marker>
            <c:symbol val="none"/>
          </c:marker>
          <c:cat>
            <c:numRef>
              <c:f>G1_Characteristics_WorkToGo!$H$8:$FT$8</c:f>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f>G1_Characteristics_WorkToGo!$H$23:$FT$23</c:f>
              <c:numCache>
                <c:formatCode>General</c:formatCode>
                <c:ptCount val="16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1</c:v>
                </c:pt>
                <c:pt idx="64">
                  <c:v>1</c:v>
                </c:pt>
                <c:pt idx="65">
                  <c:v>1</c:v>
                </c:pt>
                <c:pt idx="66">
                  <c:v>1</c:v>
                </c:pt>
                <c:pt idx="67">
                  <c:v>1</c:v>
                </c:pt>
                <c:pt idx="68">
                  <c:v>1</c:v>
                </c:pt>
                <c:pt idx="69">
                  <c:v>2</c:v>
                </c:pt>
                <c:pt idx="70">
                  <c:v>3</c:v>
                </c:pt>
                <c:pt idx="71">
                  <c:v>3</c:v>
                </c:pt>
                <c:pt idx="72">
                  <c:v>4</c:v>
                </c:pt>
                <c:pt idx="73">
                  <c:v>4</c:v>
                </c:pt>
                <c:pt idx="74">
                  <c:v>4</c:v>
                </c:pt>
                <c:pt idx="75">
                  <c:v>5</c:v>
                </c:pt>
                <c:pt idx="76">
                  <c:v>5</c:v>
                </c:pt>
                <c:pt idx="77">
                  <c:v>8</c:v>
                </c:pt>
                <c:pt idx="78">
                  <c:v>9</c:v>
                </c:pt>
                <c:pt idx="79">
                  <c:v>11</c:v>
                </c:pt>
                <c:pt idx="80">
                  <c:v>11</c:v>
                </c:pt>
                <c:pt idx="81">
                  <c:v>13</c:v>
                </c:pt>
                <c:pt idx="82">
                  <c:v>16</c:v>
                </c:pt>
                <c:pt idx="83">
                  <c:v>21</c:v>
                </c:pt>
                <c:pt idx="84">
                  <c:v>23</c:v>
                </c:pt>
                <c:pt idx="85">
                  <c:v>25</c:v>
                </c:pt>
                <c:pt idx="86">
                  <c:v>48</c:v>
                </c:pt>
                <c:pt idx="87">
                  <c:v>122</c:v>
                </c:pt>
                <c:pt idx="88">
                  <c:v>97</c:v>
                </c:pt>
                <c:pt idx="89">
                  <c:v>89</c:v>
                </c:pt>
                <c:pt idx="90">
                  <c:v>69</c:v>
                </c:pt>
                <c:pt idx="91">
                  <c:v>45</c:v>
                </c:pt>
                <c:pt idx="92">
                  <c:v>24</c:v>
                </c:pt>
                <c:pt idx="93">
                  <c:v>33</c:v>
                </c:pt>
                <c:pt idx="94">
                  <c:v>21</c:v>
                </c:pt>
                <c:pt idx="95">
                  <c:v>23</c:v>
                </c:pt>
                <c:pt idx="96">
                  <c:v>32</c:v>
                </c:pt>
                <c:pt idx="97">
                  <c:v>11</c:v>
                </c:pt>
                <c:pt idx="98">
                  <c:v>7</c:v>
                </c:pt>
                <c:pt idx="99">
                  <c:v>5</c:v>
                </c:pt>
                <c:pt idx="100">
                  <c:v>4</c:v>
                </c:pt>
                <c:pt idx="101">
                  <c:v>1</c:v>
                </c:pt>
                <c:pt idx="102">
                  <c:v>3</c:v>
                </c:pt>
                <c:pt idx="103">
                  <c:v>1</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smooth val="0"/>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2-7761-4262-8A27-3D2B50C360C2}"/>
            </c:ext>
          </c:extLst>
        </c:ser>
        <c:ser>
          <c:idx val="19"/>
          <c:order val="19"/>
          <c:spPr>
            <a:ln w="28575" cap="rnd">
              <a:solidFill>
                <a:schemeClr val="accent2">
                  <a:lumMod val="80000"/>
                </a:schemeClr>
              </a:solidFill>
              <a:round/>
            </a:ln>
            <a:effectLst/>
          </c:spPr>
          <c:marker>
            <c:symbol val="none"/>
          </c:marker>
          <c:cat>
            <c:numRef>
              <c:f>G1_Characteristics_WorkToGo!$H$8:$FT$8</c:f>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f>G1_Characteristics_WorkToGo!$H$28:$FT$28</c:f>
              <c:numCache>
                <c:formatCode>General</c:formatCode>
                <c:ptCount val="16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1</c:v>
                </c:pt>
                <c:pt idx="87">
                  <c:v>12</c:v>
                </c:pt>
                <c:pt idx="88">
                  <c:v>16</c:v>
                </c:pt>
                <c:pt idx="89">
                  <c:v>15</c:v>
                </c:pt>
                <c:pt idx="90">
                  <c:v>9</c:v>
                </c:pt>
                <c:pt idx="91">
                  <c:v>6</c:v>
                </c:pt>
                <c:pt idx="92">
                  <c:v>5</c:v>
                </c:pt>
                <c:pt idx="93">
                  <c:v>17</c:v>
                </c:pt>
                <c:pt idx="94">
                  <c:v>10</c:v>
                </c:pt>
                <c:pt idx="95">
                  <c:v>11</c:v>
                </c:pt>
                <c:pt idx="96">
                  <c:v>21</c:v>
                </c:pt>
                <c:pt idx="97">
                  <c:v>7</c:v>
                </c:pt>
                <c:pt idx="98">
                  <c:v>4</c:v>
                </c:pt>
                <c:pt idx="99">
                  <c:v>1</c:v>
                </c:pt>
                <c:pt idx="100">
                  <c:v>3</c:v>
                </c:pt>
                <c:pt idx="101">
                  <c:v>1</c:v>
                </c:pt>
                <c:pt idx="102">
                  <c:v>3</c:v>
                </c:pt>
                <c:pt idx="103">
                  <c:v>1</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smooth val="0"/>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13-7761-4262-8A27-3D2B50C360C2}"/>
            </c:ext>
          </c:extLst>
        </c:ser>
        <c:dLbls>
          <c:showLegendKey val="0"/>
          <c:showVal val="0"/>
          <c:showCatName val="0"/>
          <c:showSerName val="0"/>
          <c:showPercent val="0"/>
          <c:showBubbleSize val="0"/>
        </c:dLbls>
        <c:smooth val="0"/>
        <c:axId val="1413648640"/>
        <c:axId val="1413649056"/>
        <c:extLst>
          <c:ext xmlns:c15="http://schemas.microsoft.com/office/drawing/2012/chart" uri="{02D57815-91ED-43cb-92C2-25804820EDAC}">
            <c15:filteredLineSeries>
              <c15:ser>
                <c:idx val="0"/>
                <c:order val="0"/>
                <c:spPr>
                  <a:ln w="28575" cap="rnd">
                    <a:solidFill>
                      <a:schemeClr val="accent1"/>
                    </a:solidFill>
                    <a:round/>
                  </a:ln>
                  <a:effectLst/>
                </c:spPr>
                <c:marker>
                  <c:symbol val="none"/>
                </c:marker>
                <c:cat>
                  <c:numRef>
                    <c:extLst>
                      <c:ex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c:ext uri="{02D57815-91ED-43cb-92C2-25804820EDAC}">
                        <c15:formulaRef>
                          <c15:sqref>G1_Characteristics_WorkToGo!$H$9:$FT$9</c15:sqref>
                        </c15:formulaRef>
                      </c:ext>
                    </c:extLst>
                    <c:numCache>
                      <c:formatCode>m/d/yyyy</c:formatCode>
                      <c:ptCount val="169"/>
                      <c:pt idx="0">
                        <c:v>45746</c:v>
                      </c:pt>
                      <c:pt idx="1">
                        <c:v>45746</c:v>
                      </c:pt>
                      <c:pt idx="2">
                        <c:v>45746</c:v>
                      </c:pt>
                      <c:pt idx="3">
                        <c:v>45746</c:v>
                      </c:pt>
                      <c:pt idx="4">
                        <c:v>45746</c:v>
                      </c:pt>
                      <c:pt idx="5">
                        <c:v>45746</c:v>
                      </c:pt>
                      <c:pt idx="6">
                        <c:v>45746</c:v>
                      </c:pt>
                      <c:pt idx="7">
                        <c:v>45746</c:v>
                      </c:pt>
                      <c:pt idx="8">
                        <c:v>45746</c:v>
                      </c:pt>
                      <c:pt idx="9">
                        <c:v>45746</c:v>
                      </c:pt>
                      <c:pt idx="10">
                        <c:v>45746</c:v>
                      </c:pt>
                      <c:pt idx="11">
                        <c:v>45746</c:v>
                      </c:pt>
                      <c:pt idx="12">
                        <c:v>45746</c:v>
                      </c:pt>
                      <c:pt idx="13">
                        <c:v>45746</c:v>
                      </c:pt>
                      <c:pt idx="14">
                        <c:v>45746</c:v>
                      </c:pt>
                      <c:pt idx="15">
                        <c:v>45746</c:v>
                      </c:pt>
                      <c:pt idx="16">
                        <c:v>45746</c:v>
                      </c:pt>
                      <c:pt idx="17">
                        <c:v>45746</c:v>
                      </c:pt>
                      <c:pt idx="18">
                        <c:v>45746</c:v>
                      </c:pt>
                      <c:pt idx="19">
                        <c:v>45746</c:v>
                      </c:pt>
                      <c:pt idx="20">
                        <c:v>45746</c:v>
                      </c:pt>
                      <c:pt idx="21">
                        <c:v>45746</c:v>
                      </c:pt>
                      <c:pt idx="22">
                        <c:v>45746</c:v>
                      </c:pt>
                      <c:pt idx="23">
                        <c:v>45746</c:v>
                      </c:pt>
                      <c:pt idx="24">
                        <c:v>45746</c:v>
                      </c:pt>
                      <c:pt idx="25">
                        <c:v>45746</c:v>
                      </c:pt>
                      <c:pt idx="26">
                        <c:v>45746</c:v>
                      </c:pt>
                      <c:pt idx="27">
                        <c:v>45746</c:v>
                      </c:pt>
                      <c:pt idx="28">
                        <c:v>45746</c:v>
                      </c:pt>
                      <c:pt idx="29">
                        <c:v>45746</c:v>
                      </c:pt>
                      <c:pt idx="30">
                        <c:v>45746</c:v>
                      </c:pt>
                      <c:pt idx="31">
                        <c:v>45746</c:v>
                      </c:pt>
                      <c:pt idx="32">
                        <c:v>45746</c:v>
                      </c:pt>
                      <c:pt idx="33">
                        <c:v>45746</c:v>
                      </c:pt>
                      <c:pt idx="34">
                        <c:v>45746</c:v>
                      </c:pt>
                      <c:pt idx="35">
                        <c:v>45746</c:v>
                      </c:pt>
                      <c:pt idx="36">
                        <c:v>45746</c:v>
                      </c:pt>
                      <c:pt idx="37">
                        <c:v>45746</c:v>
                      </c:pt>
                      <c:pt idx="38">
                        <c:v>45746</c:v>
                      </c:pt>
                      <c:pt idx="39">
                        <c:v>45746</c:v>
                      </c:pt>
                      <c:pt idx="40">
                        <c:v>45746</c:v>
                      </c:pt>
                      <c:pt idx="41">
                        <c:v>45746</c:v>
                      </c:pt>
                      <c:pt idx="42">
                        <c:v>45746</c:v>
                      </c:pt>
                      <c:pt idx="43">
                        <c:v>45746</c:v>
                      </c:pt>
                      <c:pt idx="44">
                        <c:v>45746</c:v>
                      </c:pt>
                      <c:pt idx="45">
                        <c:v>45746</c:v>
                      </c:pt>
                      <c:pt idx="46">
                        <c:v>45746</c:v>
                      </c:pt>
                      <c:pt idx="47">
                        <c:v>45746</c:v>
                      </c:pt>
                      <c:pt idx="48">
                        <c:v>45746</c:v>
                      </c:pt>
                      <c:pt idx="49">
                        <c:v>45746</c:v>
                      </c:pt>
                      <c:pt idx="50">
                        <c:v>45746</c:v>
                      </c:pt>
                      <c:pt idx="51">
                        <c:v>45746</c:v>
                      </c:pt>
                      <c:pt idx="52">
                        <c:v>45746</c:v>
                      </c:pt>
                      <c:pt idx="53">
                        <c:v>45746</c:v>
                      </c:pt>
                      <c:pt idx="54">
                        <c:v>45746</c:v>
                      </c:pt>
                      <c:pt idx="55">
                        <c:v>45746</c:v>
                      </c:pt>
                      <c:pt idx="56">
                        <c:v>45746</c:v>
                      </c:pt>
                      <c:pt idx="57">
                        <c:v>45746</c:v>
                      </c:pt>
                      <c:pt idx="58">
                        <c:v>45746</c:v>
                      </c:pt>
                      <c:pt idx="59">
                        <c:v>45746</c:v>
                      </c:pt>
                      <c:pt idx="60">
                        <c:v>45746</c:v>
                      </c:pt>
                      <c:pt idx="61">
                        <c:v>45746</c:v>
                      </c:pt>
                      <c:pt idx="62">
                        <c:v>45746</c:v>
                      </c:pt>
                      <c:pt idx="63">
                        <c:v>45746</c:v>
                      </c:pt>
                      <c:pt idx="64">
                        <c:v>45746</c:v>
                      </c:pt>
                      <c:pt idx="65">
                        <c:v>45746</c:v>
                      </c:pt>
                      <c:pt idx="66">
                        <c:v>45746</c:v>
                      </c:pt>
                      <c:pt idx="67">
                        <c:v>45746</c:v>
                      </c:pt>
                      <c:pt idx="68">
                        <c:v>45746</c:v>
                      </c:pt>
                      <c:pt idx="69">
                        <c:v>45746</c:v>
                      </c:pt>
                      <c:pt idx="70">
                        <c:v>45746</c:v>
                      </c:pt>
                      <c:pt idx="71">
                        <c:v>45746</c:v>
                      </c:pt>
                      <c:pt idx="72">
                        <c:v>45746</c:v>
                      </c:pt>
                      <c:pt idx="73">
                        <c:v>45746</c:v>
                      </c:pt>
                      <c:pt idx="74">
                        <c:v>45746</c:v>
                      </c:pt>
                      <c:pt idx="75">
                        <c:v>45746</c:v>
                      </c:pt>
                      <c:pt idx="76">
                        <c:v>45746</c:v>
                      </c:pt>
                      <c:pt idx="77">
                        <c:v>45746</c:v>
                      </c:pt>
                      <c:pt idx="78">
                        <c:v>45746</c:v>
                      </c:pt>
                      <c:pt idx="79">
                        <c:v>45746</c:v>
                      </c:pt>
                      <c:pt idx="80">
                        <c:v>45746</c:v>
                      </c:pt>
                      <c:pt idx="81">
                        <c:v>45746</c:v>
                      </c:pt>
                      <c:pt idx="82">
                        <c:v>45746</c:v>
                      </c:pt>
                      <c:pt idx="83">
                        <c:v>45746</c:v>
                      </c:pt>
                      <c:pt idx="84">
                        <c:v>45746</c:v>
                      </c:pt>
                      <c:pt idx="85">
                        <c:v>45746</c:v>
                      </c:pt>
                      <c:pt idx="86">
                        <c:v>45746</c:v>
                      </c:pt>
                      <c:pt idx="87">
                        <c:v>45746</c:v>
                      </c:pt>
                      <c:pt idx="88">
                        <c:v>45746</c:v>
                      </c:pt>
                      <c:pt idx="89">
                        <c:v>45746</c:v>
                      </c:pt>
                      <c:pt idx="90">
                        <c:v>45746</c:v>
                      </c:pt>
                      <c:pt idx="91">
                        <c:v>45746</c:v>
                      </c:pt>
                      <c:pt idx="92">
                        <c:v>45746</c:v>
                      </c:pt>
                      <c:pt idx="93">
                        <c:v>45746</c:v>
                      </c:pt>
                      <c:pt idx="94">
                        <c:v>45746</c:v>
                      </c:pt>
                      <c:pt idx="95">
                        <c:v>45746</c:v>
                      </c:pt>
                      <c:pt idx="96">
                        <c:v>45746</c:v>
                      </c:pt>
                      <c:pt idx="97">
                        <c:v>45746</c:v>
                      </c:pt>
                      <c:pt idx="98">
                        <c:v>45746</c:v>
                      </c:pt>
                      <c:pt idx="99">
                        <c:v>45746</c:v>
                      </c:pt>
                      <c:pt idx="100">
                        <c:v>45746</c:v>
                      </c:pt>
                      <c:pt idx="101">
                        <c:v>45746</c:v>
                      </c:pt>
                      <c:pt idx="102">
                        <c:v>45746</c:v>
                      </c:pt>
                      <c:pt idx="103">
                        <c:v>45746</c:v>
                      </c:pt>
                      <c:pt idx="104" formatCode="General">
                        <c:v>0</c:v>
                      </c:pt>
                      <c:pt idx="105" formatCode="General">
                        <c:v>0</c:v>
                      </c:pt>
                      <c:pt idx="106" formatCode="General">
                        <c:v>0</c:v>
                      </c:pt>
                      <c:pt idx="107" formatCode="General">
                        <c:v>0</c:v>
                      </c:pt>
                      <c:pt idx="108" formatCode="General">
                        <c:v>0</c:v>
                      </c:pt>
                      <c:pt idx="109" formatCode="General">
                        <c:v>0</c:v>
                      </c:pt>
                      <c:pt idx="110" formatCode="General">
                        <c:v>0</c:v>
                      </c:pt>
                      <c:pt idx="111" formatCode="General">
                        <c:v>0</c:v>
                      </c:pt>
                      <c:pt idx="112" formatCode="General">
                        <c:v>0</c:v>
                      </c:pt>
                      <c:pt idx="113" formatCode="General">
                        <c:v>0</c:v>
                      </c:pt>
                      <c:pt idx="114" formatCode="General">
                        <c:v>0</c:v>
                      </c:pt>
                      <c:pt idx="115" formatCode="General">
                        <c:v>0</c:v>
                      </c:pt>
                      <c:pt idx="116" formatCode="General">
                        <c:v>0</c:v>
                      </c:pt>
                      <c:pt idx="117" formatCode="General">
                        <c:v>0</c:v>
                      </c:pt>
                      <c:pt idx="118" formatCode="General">
                        <c:v>0</c:v>
                      </c:pt>
                      <c:pt idx="119" formatCode="General">
                        <c:v>0</c:v>
                      </c:pt>
                      <c:pt idx="120" formatCode="General">
                        <c:v>0</c:v>
                      </c:pt>
                      <c:pt idx="121" formatCode="General">
                        <c:v>0</c:v>
                      </c:pt>
                      <c:pt idx="122" formatCode="General">
                        <c:v>0</c:v>
                      </c:pt>
                      <c:pt idx="123" formatCode="General">
                        <c:v>0</c:v>
                      </c:pt>
                      <c:pt idx="124" formatCode="General">
                        <c:v>0</c:v>
                      </c:pt>
                      <c:pt idx="125" formatCode="General">
                        <c:v>0</c:v>
                      </c:pt>
                      <c:pt idx="126" formatCode="General">
                        <c:v>0</c:v>
                      </c:pt>
                      <c:pt idx="127" formatCode="General">
                        <c:v>0</c:v>
                      </c:pt>
                      <c:pt idx="128" formatCode="General">
                        <c:v>0</c:v>
                      </c:pt>
                      <c:pt idx="129" formatCode="General">
                        <c:v>0</c:v>
                      </c:pt>
                      <c:pt idx="130" formatCode="General">
                        <c:v>0</c:v>
                      </c:pt>
                      <c:pt idx="131" formatCode="General">
                        <c:v>0</c:v>
                      </c:pt>
                      <c:pt idx="132" formatCode="General">
                        <c:v>0</c:v>
                      </c:pt>
                      <c:pt idx="133" formatCode="General">
                        <c:v>0</c:v>
                      </c:pt>
                      <c:pt idx="134" formatCode="General">
                        <c:v>0</c:v>
                      </c:pt>
                      <c:pt idx="135" formatCode="General">
                        <c:v>0</c:v>
                      </c:pt>
                      <c:pt idx="136" formatCode="General">
                        <c:v>0</c:v>
                      </c:pt>
                      <c:pt idx="137" formatCode="General">
                        <c:v>0</c:v>
                      </c:pt>
                      <c:pt idx="138" formatCode="General">
                        <c:v>0</c:v>
                      </c:pt>
                      <c:pt idx="139" formatCode="General">
                        <c:v>0</c:v>
                      </c:pt>
                      <c:pt idx="140" formatCode="General">
                        <c:v>0</c:v>
                      </c:pt>
                      <c:pt idx="141" formatCode="General">
                        <c:v>0</c:v>
                      </c:pt>
                      <c:pt idx="142" formatCode="General">
                        <c:v>0</c:v>
                      </c:pt>
                      <c:pt idx="143" formatCode="General">
                        <c:v>0</c:v>
                      </c:pt>
                      <c:pt idx="144" formatCode="General">
                        <c:v>0</c:v>
                      </c:pt>
                      <c:pt idx="145" formatCode="General">
                        <c:v>0</c:v>
                      </c:pt>
                      <c:pt idx="146" formatCode="General">
                        <c:v>0</c:v>
                      </c:pt>
                      <c:pt idx="147" formatCode="General">
                        <c:v>0</c:v>
                      </c:pt>
                      <c:pt idx="148" formatCode="General">
                        <c:v>0</c:v>
                      </c:pt>
                      <c:pt idx="149" formatCode="General">
                        <c:v>0</c:v>
                      </c:pt>
                      <c:pt idx="150" formatCode="General">
                        <c:v>0</c:v>
                      </c:pt>
                      <c:pt idx="151" formatCode="General">
                        <c:v>0</c:v>
                      </c:pt>
                      <c:pt idx="152" formatCode="General">
                        <c:v>0</c:v>
                      </c:pt>
                      <c:pt idx="153" formatCode="General">
                        <c:v>0</c:v>
                      </c:pt>
                      <c:pt idx="154" formatCode="General">
                        <c:v>0</c:v>
                      </c:pt>
                      <c:pt idx="155" formatCode="General">
                        <c:v>0</c:v>
                      </c:pt>
                      <c:pt idx="156" formatCode="General">
                        <c:v>0</c:v>
                      </c:pt>
                      <c:pt idx="157" formatCode="General">
                        <c:v>0</c:v>
                      </c:pt>
                      <c:pt idx="158" formatCode="General">
                        <c:v>0</c:v>
                      </c:pt>
                      <c:pt idx="159" formatCode="General">
                        <c:v>0</c:v>
                      </c:pt>
                      <c:pt idx="160" formatCode="General">
                        <c:v>0</c:v>
                      </c:pt>
                      <c:pt idx="161" formatCode="General">
                        <c:v>0</c:v>
                      </c:pt>
                      <c:pt idx="162" formatCode="General">
                        <c:v>0</c:v>
                      </c:pt>
                      <c:pt idx="163" formatCode="General">
                        <c:v>0</c:v>
                      </c:pt>
                      <c:pt idx="164" formatCode="General">
                        <c:v>0</c:v>
                      </c:pt>
                      <c:pt idx="165" formatCode="General">
                        <c:v>0</c:v>
                      </c:pt>
                      <c:pt idx="166" formatCode="General">
                        <c:v>0</c:v>
                      </c:pt>
                      <c:pt idx="167" formatCode="General">
                        <c:v>0</c:v>
                      </c:pt>
                      <c:pt idx="168" formatCode="General">
                        <c:v>0</c:v>
                      </c:pt>
                    </c:numCache>
                  </c:numRef>
                </c:val>
                <c:smooth val="0"/>
                <c:extLst>
                  <c:ex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3-7761-4262-8A27-3D2B50C360C2}"/>
                  </c:ext>
                </c:extLst>
              </c15:ser>
            </c15:filteredLineSeries>
            <c15:filteredLineSeries>
              <c15:ser>
                <c:idx val="1"/>
                <c:order val="1"/>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xmlns:c15="http://schemas.microsoft.com/office/drawing/2012/chart">
                      <c:ext xmlns:c15="http://schemas.microsoft.com/office/drawing/2012/chart" uri="{02D57815-91ED-43cb-92C2-25804820EDAC}">
                        <c15:formulaRef>
                          <c15:sqref>G1_Characteristics_WorkToGo!$H$10:$FT$10</c15:sqref>
                        </c15:formulaRef>
                      </c:ext>
                    </c:extLst>
                    <c:numCache>
                      <c:formatCode>General</c:formatCode>
                      <c:ptCount val="169"/>
                      <c:pt idx="0">
                        <c:v>474</c:v>
                      </c:pt>
                      <c:pt idx="1">
                        <c:v>82</c:v>
                      </c:pt>
                      <c:pt idx="2">
                        <c:v>81</c:v>
                      </c:pt>
                      <c:pt idx="3">
                        <c:v>85</c:v>
                      </c:pt>
                      <c:pt idx="4">
                        <c:v>85</c:v>
                      </c:pt>
                      <c:pt idx="5">
                        <c:v>85</c:v>
                      </c:pt>
                      <c:pt idx="6">
                        <c:v>87</c:v>
                      </c:pt>
                      <c:pt idx="7">
                        <c:v>88</c:v>
                      </c:pt>
                      <c:pt idx="8">
                        <c:v>87</c:v>
                      </c:pt>
                      <c:pt idx="9">
                        <c:v>85</c:v>
                      </c:pt>
                      <c:pt idx="10">
                        <c:v>87</c:v>
                      </c:pt>
                      <c:pt idx="11">
                        <c:v>87</c:v>
                      </c:pt>
                      <c:pt idx="12">
                        <c:v>94</c:v>
                      </c:pt>
                      <c:pt idx="13">
                        <c:v>92</c:v>
                      </c:pt>
                      <c:pt idx="14">
                        <c:v>94</c:v>
                      </c:pt>
                      <c:pt idx="15">
                        <c:v>97</c:v>
                      </c:pt>
                      <c:pt idx="16">
                        <c:v>95</c:v>
                      </c:pt>
                      <c:pt idx="17">
                        <c:v>99</c:v>
                      </c:pt>
                      <c:pt idx="18">
                        <c:v>96</c:v>
                      </c:pt>
                      <c:pt idx="19">
                        <c:v>95</c:v>
                      </c:pt>
                      <c:pt idx="20">
                        <c:v>99</c:v>
                      </c:pt>
                      <c:pt idx="21">
                        <c:v>103</c:v>
                      </c:pt>
                      <c:pt idx="22">
                        <c:v>109</c:v>
                      </c:pt>
                      <c:pt idx="23">
                        <c:v>111</c:v>
                      </c:pt>
                      <c:pt idx="24">
                        <c:v>115</c:v>
                      </c:pt>
                      <c:pt idx="25">
                        <c:v>131</c:v>
                      </c:pt>
                      <c:pt idx="26">
                        <c:v>132</c:v>
                      </c:pt>
                      <c:pt idx="27">
                        <c:v>120</c:v>
                      </c:pt>
                      <c:pt idx="28">
                        <c:v>123</c:v>
                      </c:pt>
                      <c:pt idx="29">
                        <c:v>115</c:v>
                      </c:pt>
                      <c:pt idx="30">
                        <c:v>113</c:v>
                      </c:pt>
                      <c:pt idx="31">
                        <c:v>110</c:v>
                      </c:pt>
                      <c:pt idx="32">
                        <c:v>112</c:v>
                      </c:pt>
                      <c:pt idx="33">
                        <c:v>124</c:v>
                      </c:pt>
                      <c:pt idx="34">
                        <c:v>120</c:v>
                      </c:pt>
                      <c:pt idx="35">
                        <c:v>148</c:v>
                      </c:pt>
                      <c:pt idx="36">
                        <c:v>158</c:v>
                      </c:pt>
                      <c:pt idx="37">
                        <c:v>169</c:v>
                      </c:pt>
                      <c:pt idx="38">
                        <c:v>159</c:v>
                      </c:pt>
                      <c:pt idx="39">
                        <c:v>165</c:v>
                      </c:pt>
                      <c:pt idx="40">
                        <c:v>160</c:v>
                      </c:pt>
                      <c:pt idx="41">
                        <c:v>264</c:v>
                      </c:pt>
                      <c:pt idx="42">
                        <c:v>258</c:v>
                      </c:pt>
                      <c:pt idx="43">
                        <c:v>253</c:v>
                      </c:pt>
                      <c:pt idx="44">
                        <c:v>246</c:v>
                      </c:pt>
                      <c:pt idx="45">
                        <c:v>246</c:v>
                      </c:pt>
                      <c:pt idx="46">
                        <c:v>281</c:v>
                      </c:pt>
                      <c:pt idx="47">
                        <c:v>302</c:v>
                      </c:pt>
                      <c:pt idx="48">
                        <c:v>283</c:v>
                      </c:pt>
                      <c:pt idx="49">
                        <c:v>276</c:v>
                      </c:pt>
                      <c:pt idx="50">
                        <c:v>313</c:v>
                      </c:pt>
                      <c:pt idx="51">
                        <c:v>303</c:v>
                      </c:pt>
                      <c:pt idx="52">
                        <c:v>252</c:v>
                      </c:pt>
                      <c:pt idx="53">
                        <c:v>241</c:v>
                      </c:pt>
                      <c:pt idx="54">
                        <c:v>273</c:v>
                      </c:pt>
                      <c:pt idx="55">
                        <c:v>267</c:v>
                      </c:pt>
                      <c:pt idx="56">
                        <c:v>271</c:v>
                      </c:pt>
                      <c:pt idx="57">
                        <c:v>337</c:v>
                      </c:pt>
                      <c:pt idx="58">
                        <c:v>323</c:v>
                      </c:pt>
                      <c:pt idx="59">
                        <c:v>318</c:v>
                      </c:pt>
                      <c:pt idx="60">
                        <c:v>330</c:v>
                      </c:pt>
                      <c:pt idx="61">
                        <c:v>333</c:v>
                      </c:pt>
                      <c:pt idx="62">
                        <c:v>315</c:v>
                      </c:pt>
                      <c:pt idx="63">
                        <c:v>322</c:v>
                      </c:pt>
                      <c:pt idx="64">
                        <c:v>290</c:v>
                      </c:pt>
                      <c:pt idx="65">
                        <c:v>284</c:v>
                      </c:pt>
                      <c:pt idx="66">
                        <c:v>329</c:v>
                      </c:pt>
                      <c:pt idx="67">
                        <c:v>305</c:v>
                      </c:pt>
                      <c:pt idx="68">
                        <c:v>306</c:v>
                      </c:pt>
                      <c:pt idx="69">
                        <c:v>346</c:v>
                      </c:pt>
                      <c:pt idx="70">
                        <c:v>442</c:v>
                      </c:pt>
                      <c:pt idx="71">
                        <c:v>316</c:v>
                      </c:pt>
                      <c:pt idx="72">
                        <c:v>319</c:v>
                      </c:pt>
                      <c:pt idx="73">
                        <c:v>331</c:v>
                      </c:pt>
                      <c:pt idx="74">
                        <c:v>322</c:v>
                      </c:pt>
                      <c:pt idx="75">
                        <c:v>307</c:v>
                      </c:pt>
                      <c:pt idx="76">
                        <c:v>284</c:v>
                      </c:pt>
                      <c:pt idx="77">
                        <c:v>297</c:v>
                      </c:pt>
                      <c:pt idx="78">
                        <c:v>303</c:v>
                      </c:pt>
                      <c:pt idx="79">
                        <c:v>310</c:v>
                      </c:pt>
                      <c:pt idx="80">
                        <c:v>248</c:v>
                      </c:pt>
                      <c:pt idx="81">
                        <c:v>265</c:v>
                      </c:pt>
                      <c:pt idx="82">
                        <c:v>273</c:v>
                      </c:pt>
                      <c:pt idx="83">
                        <c:v>313</c:v>
                      </c:pt>
                      <c:pt idx="84">
                        <c:v>281</c:v>
                      </c:pt>
                      <c:pt idx="85">
                        <c:v>265</c:v>
                      </c:pt>
                      <c:pt idx="86">
                        <c:v>292</c:v>
                      </c:pt>
                      <c:pt idx="87">
                        <c:v>296</c:v>
                      </c:pt>
                      <c:pt idx="88">
                        <c:v>279</c:v>
                      </c:pt>
                      <c:pt idx="89">
                        <c:v>241</c:v>
                      </c:pt>
                      <c:pt idx="90">
                        <c:v>181</c:v>
                      </c:pt>
                      <c:pt idx="91">
                        <c:v>126</c:v>
                      </c:pt>
                      <c:pt idx="92">
                        <c:v>78</c:v>
                      </c:pt>
                      <c:pt idx="93">
                        <c:v>92</c:v>
                      </c:pt>
                      <c:pt idx="94">
                        <c:v>59</c:v>
                      </c:pt>
                      <c:pt idx="95">
                        <c:v>62</c:v>
                      </c:pt>
                      <c:pt idx="96">
                        <c:v>74</c:v>
                      </c:pt>
                      <c:pt idx="97">
                        <c:v>24</c:v>
                      </c:pt>
                      <c:pt idx="98">
                        <c:v>24</c:v>
                      </c:pt>
                      <c:pt idx="99">
                        <c:v>16</c:v>
                      </c:pt>
                      <c:pt idx="100">
                        <c:v>19</c:v>
                      </c:pt>
                      <c:pt idx="101">
                        <c:v>4</c:v>
                      </c:pt>
                      <c:pt idx="102">
                        <c:v>10</c:v>
                      </c:pt>
                      <c:pt idx="103">
                        <c:v>6</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smooth val="0"/>
                <c:extLst xmlns:c15="http://schemas.microsoft.com/office/drawing/2012/char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4-7761-4262-8A27-3D2B50C360C2}"/>
                  </c:ext>
                </c:extLst>
              </c15:ser>
            </c15:filteredLineSeries>
            <c15:filteredLineSeries>
              <c15:ser>
                <c:idx val="2"/>
                <c:order val="2"/>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xmlns:c15="http://schemas.microsoft.com/office/drawing/2012/chart">
                      <c:ext xmlns:c15="http://schemas.microsoft.com/office/drawing/2012/chart" uri="{02D57815-91ED-43cb-92C2-25804820EDAC}">
                        <c15:formulaRef>
                          <c15:sqref>G1_Characteristics_WorkToGo!$H$11:$FT$11</c15:sqref>
                        </c15:formulaRef>
                      </c:ext>
                    </c:extLst>
                    <c:numCache>
                      <c:formatCode>General</c:formatCode>
                      <c:ptCount val="169"/>
                      <c:pt idx="0">
                        <c:v>363</c:v>
                      </c:pt>
                      <c:pt idx="1">
                        <c:v>0</c:v>
                      </c:pt>
                      <c:pt idx="2">
                        <c:v>0</c:v>
                      </c:pt>
                      <c:pt idx="3">
                        <c:v>0</c:v>
                      </c:pt>
                      <c:pt idx="4">
                        <c:v>0</c:v>
                      </c:pt>
                      <c:pt idx="5">
                        <c:v>0</c:v>
                      </c:pt>
                      <c:pt idx="6">
                        <c:v>0</c:v>
                      </c:pt>
                      <c:pt idx="7">
                        <c:v>0</c:v>
                      </c:pt>
                      <c:pt idx="8">
                        <c:v>0</c:v>
                      </c:pt>
                      <c:pt idx="9">
                        <c:v>0</c:v>
                      </c:pt>
                      <c:pt idx="10">
                        <c:v>0</c:v>
                      </c:pt>
                      <c:pt idx="11">
                        <c:v>0</c:v>
                      </c:pt>
                      <c:pt idx="12">
                        <c:v>2</c:v>
                      </c:pt>
                      <c:pt idx="13">
                        <c:v>0</c:v>
                      </c:pt>
                      <c:pt idx="14">
                        <c:v>0</c:v>
                      </c:pt>
                      <c:pt idx="15">
                        <c:v>0</c:v>
                      </c:pt>
                      <c:pt idx="16">
                        <c:v>0</c:v>
                      </c:pt>
                      <c:pt idx="17">
                        <c:v>0</c:v>
                      </c:pt>
                      <c:pt idx="18">
                        <c:v>1</c:v>
                      </c:pt>
                      <c:pt idx="19">
                        <c:v>0</c:v>
                      </c:pt>
                      <c:pt idx="20">
                        <c:v>1</c:v>
                      </c:pt>
                      <c:pt idx="21">
                        <c:v>0</c:v>
                      </c:pt>
                      <c:pt idx="22">
                        <c:v>1</c:v>
                      </c:pt>
                      <c:pt idx="23">
                        <c:v>1</c:v>
                      </c:pt>
                      <c:pt idx="24">
                        <c:v>0</c:v>
                      </c:pt>
                      <c:pt idx="25">
                        <c:v>1</c:v>
                      </c:pt>
                      <c:pt idx="26">
                        <c:v>2</c:v>
                      </c:pt>
                      <c:pt idx="27">
                        <c:v>0</c:v>
                      </c:pt>
                      <c:pt idx="28">
                        <c:v>0</c:v>
                      </c:pt>
                      <c:pt idx="29">
                        <c:v>0</c:v>
                      </c:pt>
                      <c:pt idx="30">
                        <c:v>2</c:v>
                      </c:pt>
                      <c:pt idx="31">
                        <c:v>0</c:v>
                      </c:pt>
                      <c:pt idx="32">
                        <c:v>0</c:v>
                      </c:pt>
                      <c:pt idx="33">
                        <c:v>1</c:v>
                      </c:pt>
                      <c:pt idx="34">
                        <c:v>0</c:v>
                      </c:pt>
                      <c:pt idx="35">
                        <c:v>2</c:v>
                      </c:pt>
                      <c:pt idx="36">
                        <c:v>4</c:v>
                      </c:pt>
                      <c:pt idx="37">
                        <c:v>9</c:v>
                      </c:pt>
                      <c:pt idx="38">
                        <c:v>0</c:v>
                      </c:pt>
                      <c:pt idx="39">
                        <c:v>3</c:v>
                      </c:pt>
                      <c:pt idx="40">
                        <c:v>2</c:v>
                      </c:pt>
                      <c:pt idx="41">
                        <c:v>30</c:v>
                      </c:pt>
                      <c:pt idx="42">
                        <c:v>8</c:v>
                      </c:pt>
                      <c:pt idx="43">
                        <c:v>1</c:v>
                      </c:pt>
                      <c:pt idx="44">
                        <c:v>2</c:v>
                      </c:pt>
                      <c:pt idx="45">
                        <c:v>5</c:v>
                      </c:pt>
                      <c:pt idx="46">
                        <c:v>8</c:v>
                      </c:pt>
                      <c:pt idx="47">
                        <c:v>13</c:v>
                      </c:pt>
                      <c:pt idx="48">
                        <c:v>10</c:v>
                      </c:pt>
                      <c:pt idx="49">
                        <c:v>8</c:v>
                      </c:pt>
                      <c:pt idx="50">
                        <c:v>6</c:v>
                      </c:pt>
                      <c:pt idx="51">
                        <c:v>10</c:v>
                      </c:pt>
                      <c:pt idx="52">
                        <c:v>6</c:v>
                      </c:pt>
                      <c:pt idx="53">
                        <c:v>3</c:v>
                      </c:pt>
                      <c:pt idx="54">
                        <c:v>8</c:v>
                      </c:pt>
                      <c:pt idx="55">
                        <c:v>3</c:v>
                      </c:pt>
                      <c:pt idx="56">
                        <c:v>2</c:v>
                      </c:pt>
                      <c:pt idx="57">
                        <c:v>7</c:v>
                      </c:pt>
                      <c:pt idx="58">
                        <c:v>9</c:v>
                      </c:pt>
                      <c:pt idx="59">
                        <c:v>10</c:v>
                      </c:pt>
                      <c:pt idx="60">
                        <c:v>12</c:v>
                      </c:pt>
                      <c:pt idx="61">
                        <c:v>24</c:v>
                      </c:pt>
                      <c:pt idx="62">
                        <c:v>16</c:v>
                      </c:pt>
                      <c:pt idx="63">
                        <c:v>27</c:v>
                      </c:pt>
                      <c:pt idx="64">
                        <c:v>9</c:v>
                      </c:pt>
                      <c:pt idx="65">
                        <c:v>12</c:v>
                      </c:pt>
                      <c:pt idx="66">
                        <c:v>45</c:v>
                      </c:pt>
                      <c:pt idx="67">
                        <c:v>17</c:v>
                      </c:pt>
                      <c:pt idx="68">
                        <c:v>9</c:v>
                      </c:pt>
                      <c:pt idx="69">
                        <c:v>17</c:v>
                      </c:pt>
                      <c:pt idx="70">
                        <c:v>107</c:v>
                      </c:pt>
                      <c:pt idx="71">
                        <c:v>7</c:v>
                      </c:pt>
                      <c:pt idx="72">
                        <c:v>12</c:v>
                      </c:pt>
                      <c:pt idx="73">
                        <c:v>10</c:v>
                      </c:pt>
                      <c:pt idx="74">
                        <c:v>15</c:v>
                      </c:pt>
                      <c:pt idx="75">
                        <c:v>14</c:v>
                      </c:pt>
                      <c:pt idx="76">
                        <c:v>11</c:v>
                      </c:pt>
                      <c:pt idx="77">
                        <c:v>15</c:v>
                      </c:pt>
                      <c:pt idx="78">
                        <c:v>11</c:v>
                      </c:pt>
                      <c:pt idx="79">
                        <c:v>24</c:v>
                      </c:pt>
                      <c:pt idx="80">
                        <c:v>7</c:v>
                      </c:pt>
                      <c:pt idx="81">
                        <c:v>7</c:v>
                      </c:pt>
                      <c:pt idx="82">
                        <c:v>12</c:v>
                      </c:pt>
                      <c:pt idx="83">
                        <c:v>24</c:v>
                      </c:pt>
                      <c:pt idx="84">
                        <c:v>17</c:v>
                      </c:pt>
                      <c:pt idx="85">
                        <c:v>18</c:v>
                      </c:pt>
                      <c:pt idx="86">
                        <c:v>30</c:v>
                      </c:pt>
                      <c:pt idx="87">
                        <c:v>35</c:v>
                      </c:pt>
                      <c:pt idx="88">
                        <c:v>51</c:v>
                      </c:pt>
                      <c:pt idx="89">
                        <c:v>33</c:v>
                      </c:pt>
                      <c:pt idx="90">
                        <c:v>26</c:v>
                      </c:pt>
                      <c:pt idx="91">
                        <c:v>16</c:v>
                      </c:pt>
                      <c:pt idx="92">
                        <c:v>5</c:v>
                      </c:pt>
                      <c:pt idx="93">
                        <c:v>9</c:v>
                      </c:pt>
                      <c:pt idx="94">
                        <c:v>3</c:v>
                      </c:pt>
                      <c:pt idx="95">
                        <c:v>6</c:v>
                      </c:pt>
                      <c:pt idx="96">
                        <c:v>15</c:v>
                      </c:pt>
                      <c:pt idx="97">
                        <c:v>0</c:v>
                      </c:pt>
                      <c:pt idx="98">
                        <c:v>3</c:v>
                      </c:pt>
                      <c:pt idx="99">
                        <c:v>1</c:v>
                      </c:pt>
                      <c:pt idx="100">
                        <c:v>5</c:v>
                      </c:pt>
                      <c:pt idx="101">
                        <c:v>0</c:v>
                      </c:pt>
                      <c:pt idx="102">
                        <c:v>4</c:v>
                      </c:pt>
                      <c:pt idx="103">
                        <c:v>2</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smooth val="0"/>
                <c:extLst xmlns:c15="http://schemas.microsoft.com/office/drawing/2012/char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1-7761-4262-8A27-3D2B50C360C2}"/>
                  </c:ext>
                </c:extLst>
              </c15:ser>
            </c15:filteredLineSeries>
            <c15:filteredLineSeries>
              <c15:ser>
                <c:idx val="4"/>
                <c:order val="4"/>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xmlns:c15="http://schemas.microsoft.com/office/drawing/2012/chart">
                      <c:ext xmlns:c15="http://schemas.microsoft.com/office/drawing/2012/chart" uri="{02D57815-91ED-43cb-92C2-25804820EDAC}">
                        <c15:formulaRef>
                          <c15:sqref>G1_Characteristics_WorkToGo!$H$13:$FT$13</c15:sqref>
                        </c15:formulaRef>
                      </c:ext>
                    </c:extLst>
                    <c:numCache>
                      <c:formatCode>General</c:formatCode>
                      <c:ptCount val="169"/>
                      <c:pt idx="0">
                        <c:v>103</c:v>
                      </c:pt>
                      <c:pt idx="1">
                        <c:v>81</c:v>
                      </c:pt>
                      <c:pt idx="2">
                        <c:v>81</c:v>
                      </c:pt>
                      <c:pt idx="3">
                        <c:v>84</c:v>
                      </c:pt>
                      <c:pt idx="4">
                        <c:v>84</c:v>
                      </c:pt>
                      <c:pt idx="5">
                        <c:v>84</c:v>
                      </c:pt>
                      <c:pt idx="6">
                        <c:v>84</c:v>
                      </c:pt>
                      <c:pt idx="7">
                        <c:v>84</c:v>
                      </c:pt>
                      <c:pt idx="8">
                        <c:v>84</c:v>
                      </c:pt>
                      <c:pt idx="9">
                        <c:v>84</c:v>
                      </c:pt>
                      <c:pt idx="10">
                        <c:v>84</c:v>
                      </c:pt>
                      <c:pt idx="11">
                        <c:v>84</c:v>
                      </c:pt>
                      <c:pt idx="12">
                        <c:v>88</c:v>
                      </c:pt>
                      <c:pt idx="13">
                        <c:v>88</c:v>
                      </c:pt>
                      <c:pt idx="14">
                        <c:v>89</c:v>
                      </c:pt>
                      <c:pt idx="15">
                        <c:v>89</c:v>
                      </c:pt>
                      <c:pt idx="16">
                        <c:v>89</c:v>
                      </c:pt>
                      <c:pt idx="17">
                        <c:v>91</c:v>
                      </c:pt>
                      <c:pt idx="18">
                        <c:v>90</c:v>
                      </c:pt>
                      <c:pt idx="19">
                        <c:v>91</c:v>
                      </c:pt>
                      <c:pt idx="20">
                        <c:v>92</c:v>
                      </c:pt>
                      <c:pt idx="21">
                        <c:v>93</c:v>
                      </c:pt>
                      <c:pt idx="22">
                        <c:v>96</c:v>
                      </c:pt>
                      <c:pt idx="23">
                        <c:v>97</c:v>
                      </c:pt>
                      <c:pt idx="24">
                        <c:v>100</c:v>
                      </c:pt>
                      <c:pt idx="25">
                        <c:v>101</c:v>
                      </c:pt>
                      <c:pt idx="26">
                        <c:v>101</c:v>
                      </c:pt>
                      <c:pt idx="27">
                        <c:v>100</c:v>
                      </c:pt>
                      <c:pt idx="28">
                        <c:v>101</c:v>
                      </c:pt>
                      <c:pt idx="29">
                        <c:v>101</c:v>
                      </c:pt>
                      <c:pt idx="30">
                        <c:v>101</c:v>
                      </c:pt>
                      <c:pt idx="31">
                        <c:v>101</c:v>
                      </c:pt>
                      <c:pt idx="32">
                        <c:v>101</c:v>
                      </c:pt>
                      <c:pt idx="33">
                        <c:v>104</c:v>
                      </c:pt>
                      <c:pt idx="34">
                        <c:v>103</c:v>
                      </c:pt>
                      <c:pt idx="35">
                        <c:v>111</c:v>
                      </c:pt>
                      <c:pt idx="36">
                        <c:v>111</c:v>
                      </c:pt>
                      <c:pt idx="37">
                        <c:v>117</c:v>
                      </c:pt>
                      <c:pt idx="38">
                        <c:v>120</c:v>
                      </c:pt>
                      <c:pt idx="39">
                        <c:v>115</c:v>
                      </c:pt>
                      <c:pt idx="40">
                        <c:v>115</c:v>
                      </c:pt>
                      <c:pt idx="41">
                        <c:v>152</c:v>
                      </c:pt>
                      <c:pt idx="42">
                        <c:v>156</c:v>
                      </c:pt>
                      <c:pt idx="43">
                        <c:v>157</c:v>
                      </c:pt>
                      <c:pt idx="44">
                        <c:v>154</c:v>
                      </c:pt>
                      <c:pt idx="45">
                        <c:v>158</c:v>
                      </c:pt>
                      <c:pt idx="46">
                        <c:v>177</c:v>
                      </c:pt>
                      <c:pt idx="47">
                        <c:v>180</c:v>
                      </c:pt>
                      <c:pt idx="48">
                        <c:v>173</c:v>
                      </c:pt>
                      <c:pt idx="49">
                        <c:v>174</c:v>
                      </c:pt>
                      <c:pt idx="50">
                        <c:v>182</c:v>
                      </c:pt>
                      <c:pt idx="51">
                        <c:v>173</c:v>
                      </c:pt>
                      <c:pt idx="52">
                        <c:v>160</c:v>
                      </c:pt>
                      <c:pt idx="53">
                        <c:v>162</c:v>
                      </c:pt>
                      <c:pt idx="54">
                        <c:v>165</c:v>
                      </c:pt>
                      <c:pt idx="55">
                        <c:v>163</c:v>
                      </c:pt>
                      <c:pt idx="56">
                        <c:v>167</c:v>
                      </c:pt>
                      <c:pt idx="57">
                        <c:v>182</c:v>
                      </c:pt>
                      <c:pt idx="58">
                        <c:v>188</c:v>
                      </c:pt>
                      <c:pt idx="59">
                        <c:v>186</c:v>
                      </c:pt>
                      <c:pt idx="60">
                        <c:v>195</c:v>
                      </c:pt>
                      <c:pt idx="61">
                        <c:v>192</c:v>
                      </c:pt>
                      <c:pt idx="62">
                        <c:v>184</c:v>
                      </c:pt>
                      <c:pt idx="63">
                        <c:v>184</c:v>
                      </c:pt>
                      <c:pt idx="64">
                        <c:v>178</c:v>
                      </c:pt>
                      <c:pt idx="65">
                        <c:v>178</c:v>
                      </c:pt>
                      <c:pt idx="66">
                        <c:v>171</c:v>
                      </c:pt>
                      <c:pt idx="67">
                        <c:v>170</c:v>
                      </c:pt>
                      <c:pt idx="68">
                        <c:v>172</c:v>
                      </c:pt>
                      <c:pt idx="69">
                        <c:v>183</c:v>
                      </c:pt>
                      <c:pt idx="70">
                        <c:v>178</c:v>
                      </c:pt>
                      <c:pt idx="71">
                        <c:v>177</c:v>
                      </c:pt>
                      <c:pt idx="72">
                        <c:v>177</c:v>
                      </c:pt>
                      <c:pt idx="73">
                        <c:v>177</c:v>
                      </c:pt>
                      <c:pt idx="74">
                        <c:v>179</c:v>
                      </c:pt>
                      <c:pt idx="75">
                        <c:v>176</c:v>
                      </c:pt>
                      <c:pt idx="76">
                        <c:v>172</c:v>
                      </c:pt>
                      <c:pt idx="77">
                        <c:v>175</c:v>
                      </c:pt>
                      <c:pt idx="78">
                        <c:v>180</c:v>
                      </c:pt>
                      <c:pt idx="79">
                        <c:v>180</c:v>
                      </c:pt>
                      <c:pt idx="80">
                        <c:v>168</c:v>
                      </c:pt>
                      <c:pt idx="81">
                        <c:v>174</c:v>
                      </c:pt>
                      <c:pt idx="82">
                        <c:v>175</c:v>
                      </c:pt>
                      <c:pt idx="83">
                        <c:v>177</c:v>
                      </c:pt>
                      <c:pt idx="84">
                        <c:v>170</c:v>
                      </c:pt>
                      <c:pt idx="85">
                        <c:v>164</c:v>
                      </c:pt>
                      <c:pt idx="86">
                        <c:v>161</c:v>
                      </c:pt>
                      <c:pt idx="87">
                        <c:v>139</c:v>
                      </c:pt>
                      <c:pt idx="88">
                        <c:v>131</c:v>
                      </c:pt>
                      <c:pt idx="89">
                        <c:v>119</c:v>
                      </c:pt>
                      <c:pt idx="90">
                        <c:v>86</c:v>
                      </c:pt>
                      <c:pt idx="91">
                        <c:v>65</c:v>
                      </c:pt>
                      <c:pt idx="92">
                        <c:v>49</c:v>
                      </c:pt>
                      <c:pt idx="93">
                        <c:v>50</c:v>
                      </c:pt>
                      <c:pt idx="94">
                        <c:v>35</c:v>
                      </c:pt>
                      <c:pt idx="95">
                        <c:v>33</c:v>
                      </c:pt>
                      <c:pt idx="96">
                        <c:v>27</c:v>
                      </c:pt>
                      <c:pt idx="97">
                        <c:v>13</c:v>
                      </c:pt>
                      <c:pt idx="98">
                        <c:v>14</c:v>
                      </c:pt>
                      <c:pt idx="99">
                        <c:v>10</c:v>
                      </c:pt>
                      <c:pt idx="100">
                        <c:v>10</c:v>
                      </c:pt>
                      <c:pt idx="101">
                        <c:v>3</c:v>
                      </c:pt>
                      <c:pt idx="102">
                        <c:v>3</c:v>
                      </c:pt>
                      <c:pt idx="103">
                        <c:v>3</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smooth val="0"/>
                <c:extLst xmlns:c15="http://schemas.microsoft.com/office/drawing/2012/char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6-7761-4262-8A27-3D2B50C360C2}"/>
                  </c:ext>
                </c:extLst>
              </c15:ser>
            </c15:filteredLineSeries>
            <c15:filteredLineSeries>
              <c15:ser>
                <c:idx val="5"/>
                <c:order val="5"/>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xmlns:c15="http://schemas.microsoft.com/office/drawing/2012/chart">
                      <c:ext xmlns:c15="http://schemas.microsoft.com/office/drawing/2012/chart" uri="{02D57815-91ED-43cb-92C2-25804820EDAC}">
                        <c15:formulaRef>
                          <c15:sqref>G1_Characteristics_WorkToGo!$H$14:$FT$14</c15:sqref>
                        </c15:formulaRef>
                      </c:ext>
                    </c:extLst>
                    <c:numCache>
                      <c:formatCode>General</c:formatCode>
                      <c:ptCount val="16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smooth val="0"/>
                <c:extLst xmlns:c15="http://schemas.microsoft.com/office/drawing/2012/char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7-7761-4262-8A27-3D2B50C360C2}"/>
                  </c:ext>
                </c:extLst>
              </c15:ser>
            </c15:filteredLineSeries>
            <c15:filteredLineSeries>
              <c15:ser>
                <c:idx val="6"/>
                <c:order val="6"/>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xmlns:c15="http://schemas.microsoft.com/office/drawing/2012/chart">
                      <c:ext xmlns:c15="http://schemas.microsoft.com/office/drawing/2012/chart" uri="{02D57815-91ED-43cb-92C2-25804820EDAC}">
                        <c15:formulaRef>
                          <c15:sqref>G1_Characteristics_WorkToGo!$H$15:$FT$15</c15:sqref>
                        </c15:formulaRef>
                      </c:ext>
                    </c:extLst>
                    <c:numCache>
                      <c:formatCode>General</c:formatCode>
                      <c:ptCount val="16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1</c:v>
                      </c:pt>
                      <c:pt idx="78">
                        <c:v>1</c:v>
                      </c:pt>
                      <c:pt idx="79">
                        <c:v>1</c:v>
                      </c:pt>
                      <c:pt idx="80">
                        <c:v>1</c:v>
                      </c:pt>
                      <c:pt idx="81">
                        <c:v>1</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smooth val="0"/>
                <c:extLst xmlns:c15="http://schemas.microsoft.com/office/drawing/2012/char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8-7761-4262-8A27-3D2B50C360C2}"/>
                  </c:ext>
                </c:extLst>
              </c15:ser>
            </c15:filteredLineSeries>
            <c15:filteredLineSeries>
              <c15:ser>
                <c:idx val="7"/>
                <c:order val="7"/>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xmlns:c15="http://schemas.microsoft.com/office/drawing/2012/chart">
                      <c:ext xmlns:c15="http://schemas.microsoft.com/office/drawing/2012/chart" uri="{02D57815-91ED-43cb-92C2-25804820EDAC}">
                        <c15:formulaRef>
                          <c15:sqref>G1_Characteristics_WorkToGo!$H$16:$FT$16</c15:sqref>
                        </c15:formulaRef>
                      </c:ext>
                    </c:extLst>
                    <c:numCache>
                      <c:formatCode>General</c:formatCode>
                      <c:ptCount val="169"/>
                      <c:pt idx="0">
                        <c:v>371</c:v>
                      </c:pt>
                      <c:pt idx="1">
                        <c:v>1</c:v>
                      </c:pt>
                      <c:pt idx="2">
                        <c:v>0</c:v>
                      </c:pt>
                      <c:pt idx="3">
                        <c:v>1</c:v>
                      </c:pt>
                      <c:pt idx="4">
                        <c:v>1</c:v>
                      </c:pt>
                      <c:pt idx="5">
                        <c:v>1</c:v>
                      </c:pt>
                      <c:pt idx="6">
                        <c:v>3</c:v>
                      </c:pt>
                      <c:pt idx="7">
                        <c:v>4</c:v>
                      </c:pt>
                      <c:pt idx="8">
                        <c:v>3</c:v>
                      </c:pt>
                      <c:pt idx="9">
                        <c:v>1</c:v>
                      </c:pt>
                      <c:pt idx="10">
                        <c:v>3</c:v>
                      </c:pt>
                      <c:pt idx="11">
                        <c:v>3</c:v>
                      </c:pt>
                      <c:pt idx="12">
                        <c:v>6</c:v>
                      </c:pt>
                      <c:pt idx="13">
                        <c:v>4</c:v>
                      </c:pt>
                      <c:pt idx="14">
                        <c:v>5</c:v>
                      </c:pt>
                      <c:pt idx="15">
                        <c:v>8</c:v>
                      </c:pt>
                      <c:pt idx="16">
                        <c:v>6</c:v>
                      </c:pt>
                      <c:pt idx="17">
                        <c:v>8</c:v>
                      </c:pt>
                      <c:pt idx="18">
                        <c:v>6</c:v>
                      </c:pt>
                      <c:pt idx="19">
                        <c:v>4</c:v>
                      </c:pt>
                      <c:pt idx="20">
                        <c:v>7</c:v>
                      </c:pt>
                      <c:pt idx="21">
                        <c:v>10</c:v>
                      </c:pt>
                      <c:pt idx="22">
                        <c:v>13</c:v>
                      </c:pt>
                      <c:pt idx="23">
                        <c:v>14</c:v>
                      </c:pt>
                      <c:pt idx="24">
                        <c:v>15</c:v>
                      </c:pt>
                      <c:pt idx="25">
                        <c:v>30</c:v>
                      </c:pt>
                      <c:pt idx="26">
                        <c:v>31</c:v>
                      </c:pt>
                      <c:pt idx="27">
                        <c:v>20</c:v>
                      </c:pt>
                      <c:pt idx="28">
                        <c:v>22</c:v>
                      </c:pt>
                      <c:pt idx="29">
                        <c:v>14</c:v>
                      </c:pt>
                      <c:pt idx="30">
                        <c:v>12</c:v>
                      </c:pt>
                      <c:pt idx="31">
                        <c:v>9</c:v>
                      </c:pt>
                      <c:pt idx="32">
                        <c:v>11</c:v>
                      </c:pt>
                      <c:pt idx="33">
                        <c:v>20</c:v>
                      </c:pt>
                      <c:pt idx="34">
                        <c:v>17</c:v>
                      </c:pt>
                      <c:pt idx="35">
                        <c:v>37</c:v>
                      </c:pt>
                      <c:pt idx="36">
                        <c:v>47</c:v>
                      </c:pt>
                      <c:pt idx="37">
                        <c:v>52</c:v>
                      </c:pt>
                      <c:pt idx="38">
                        <c:v>39</c:v>
                      </c:pt>
                      <c:pt idx="39">
                        <c:v>50</c:v>
                      </c:pt>
                      <c:pt idx="40">
                        <c:v>45</c:v>
                      </c:pt>
                      <c:pt idx="41">
                        <c:v>112</c:v>
                      </c:pt>
                      <c:pt idx="42">
                        <c:v>102</c:v>
                      </c:pt>
                      <c:pt idx="43">
                        <c:v>96</c:v>
                      </c:pt>
                      <c:pt idx="44">
                        <c:v>92</c:v>
                      </c:pt>
                      <c:pt idx="45">
                        <c:v>88</c:v>
                      </c:pt>
                      <c:pt idx="46">
                        <c:v>104</c:v>
                      </c:pt>
                      <c:pt idx="47">
                        <c:v>122</c:v>
                      </c:pt>
                      <c:pt idx="48">
                        <c:v>110</c:v>
                      </c:pt>
                      <c:pt idx="49">
                        <c:v>102</c:v>
                      </c:pt>
                      <c:pt idx="50">
                        <c:v>131</c:v>
                      </c:pt>
                      <c:pt idx="51">
                        <c:v>130</c:v>
                      </c:pt>
                      <c:pt idx="52">
                        <c:v>92</c:v>
                      </c:pt>
                      <c:pt idx="53">
                        <c:v>79</c:v>
                      </c:pt>
                      <c:pt idx="54">
                        <c:v>108</c:v>
                      </c:pt>
                      <c:pt idx="55">
                        <c:v>104</c:v>
                      </c:pt>
                      <c:pt idx="56">
                        <c:v>104</c:v>
                      </c:pt>
                      <c:pt idx="57">
                        <c:v>155</c:v>
                      </c:pt>
                      <c:pt idx="58">
                        <c:v>135</c:v>
                      </c:pt>
                      <c:pt idx="59">
                        <c:v>132</c:v>
                      </c:pt>
                      <c:pt idx="60">
                        <c:v>135</c:v>
                      </c:pt>
                      <c:pt idx="61">
                        <c:v>141</c:v>
                      </c:pt>
                      <c:pt idx="62">
                        <c:v>131</c:v>
                      </c:pt>
                      <c:pt idx="63">
                        <c:v>138</c:v>
                      </c:pt>
                      <c:pt idx="64">
                        <c:v>112</c:v>
                      </c:pt>
                      <c:pt idx="65">
                        <c:v>106</c:v>
                      </c:pt>
                      <c:pt idx="66">
                        <c:v>158</c:v>
                      </c:pt>
                      <c:pt idx="67">
                        <c:v>135</c:v>
                      </c:pt>
                      <c:pt idx="68">
                        <c:v>134</c:v>
                      </c:pt>
                      <c:pt idx="69">
                        <c:v>163</c:v>
                      </c:pt>
                      <c:pt idx="70">
                        <c:v>264</c:v>
                      </c:pt>
                      <c:pt idx="71">
                        <c:v>139</c:v>
                      </c:pt>
                      <c:pt idx="72">
                        <c:v>142</c:v>
                      </c:pt>
                      <c:pt idx="73">
                        <c:v>154</c:v>
                      </c:pt>
                      <c:pt idx="74">
                        <c:v>143</c:v>
                      </c:pt>
                      <c:pt idx="75">
                        <c:v>131</c:v>
                      </c:pt>
                      <c:pt idx="76">
                        <c:v>112</c:v>
                      </c:pt>
                      <c:pt idx="77">
                        <c:v>122</c:v>
                      </c:pt>
                      <c:pt idx="78">
                        <c:v>123</c:v>
                      </c:pt>
                      <c:pt idx="79">
                        <c:v>130</c:v>
                      </c:pt>
                      <c:pt idx="80">
                        <c:v>80</c:v>
                      </c:pt>
                      <c:pt idx="81">
                        <c:v>91</c:v>
                      </c:pt>
                      <c:pt idx="82">
                        <c:v>98</c:v>
                      </c:pt>
                      <c:pt idx="83">
                        <c:v>136</c:v>
                      </c:pt>
                      <c:pt idx="84">
                        <c:v>111</c:v>
                      </c:pt>
                      <c:pt idx="85">
                        <c:v>101</c:v>
                      </c:pt>
                      <c:pt idx="86">
                        <c:v>131</c:v>
                      </c:pt>
                      <c:pt idx="87">
                        <c:v>157</c:v>
                      </c:pt>
                      <c:pt idx="88">
                        <c:v>148</c:v>
                      </c:pt>
                      <c:pt idx="89">
                        <c:v>122</c:v>
                      </c:pt>
                      <c:pt idx="90">
                        <c:v>95</c:v>
                      </c:pt>
                      <c:pt idx="91">
                        <c:v>61</c:v>
                      </c:pt>
                      <c:pt idx="92">
                        <c:v>29</c:v>
                      </c:pt>
                      <c:pt idx="93">
                        <c:v>42</c:v>
                      </c:pt>
                      <c:pt idx="94">
                        <c:v>24</c:v>
                      </c:pt>
                      <c:pt idx="95">
                        <c:v>29</c:v>
                      </c:pt>
                      <c:pt idx="96">
                        <c:v>47</c:v>
                      </c:pt>
                      <c:pt idx="97">
                        <c:v>11</c:v>
                      </c:pt>
                      <c:pt idx="98">
                        <c:v>10</c:v>
                      </c:pt>
                      <c:pt idx="99">
                        <c:v>6</c:v>
                      </c:pt>
                      <c:pt idx="100">
                        <c:v>9</c:v>
                      </c:pt>
                      <c:pt idx="101">
                        <c:v>1</c:v>
                      </c:pt>
                      <c:pt idx="102">
                        <c:v>7</c:v>
                      </c:pt>
                      <c:pt idx="103">
                        <c:v>3</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smooth val="0"/>
                <c:extLst xmlns:c15="http://schemas.microsoft.com/office/drawing/2012/char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9-7761-4262-8A27-3D2B50C360C2}"/>
                  </c:ext>
                </c:extLst>
              </c15:ser>
            </c15:filteredLineSeries>
            <c15:filteredLineSeries>
              <c15:ser>
                <c:idx val="8"/>
                <c:order val="8"/>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xmlns:c15="http://schemas.microsoft.com/office/drawing/2012/chart">
                      <c:ext xmlns:c15="http://schemas.microsoft.com/office/drawing/2012/chart" uri="{02D57815-91ED-43cb-92C2-25804820EDAC}">
                        <c15:formulaRef>
                          <c15:sqref>G1_Characteristics_WorkToGo!$H$17:$FT$17</c15:sqref>
                        </c15:formulaRef>
                      </c:ext>
                    </c:extLst>
                    <c:numCache>
                      <c:formatCode>General</c:formatCode>
                      <c:ptCount val="169"/>
                      <c:pt idx="0">
                        <c:v>371</c:v>
                      </c:pt>
                      <c:pt idx="1">
                        <c:v>1</c:v>
                      </c:pt>
                      <c:pt idx="2">
                        <c:v>0</c:v>
                      </c:pt>
                      <c:pt idx="3">
                        <c:v>1</c:v>
                      </c:pt>
                      <c:pt idx="4">
                        <c:v>1</c:v>
                      </c:pt>
                      <c:pt idx="5">
                        <c:v>1</c:v>
                      </c:pt>
                      <c:pt idx="6">
                        <c:v>3</c:v>
                      </c:pt>
                      <c:pt idx="7">
                        <c:v>4</c:v>
                      </c:pt>
                      <c:pt idx="8">
                        <c:v>3</c:v>
                      </c:pt>
                      <c:pt idx="9">
                        <c:v>1</c:v>
                      </c:pt>
                      <c:pt idx="10">
                        <c:v>3</c:v>
                      </c:pt>
                      <c:pt idx="11">
                        <c:v>3</c:v>
                      </c:pt>
                      <c:pt idx="12">
                        <c:v>6</c:v>
                      </c:pt>
                      <c:pt idx="13">
                        <c:v>4</c:v>
                      </c:pt>
                      <c:pt idx="14">
                        <c:v>5</c:v>
                      </c:pt>
                      <c:pt idx="15">
                        <c:v>8</c:v>
                      </c:pt>
                      <c:pt idx="16">
                        <c:v>6</c:v>
                      </c:pt>
                      <c:pt idx="17">
                        <c:v>8</c:v>
                      </c:pt>
                      <c:pt idx="18">
                        <c:v>6</c:v>
                      </c:pt>
                      <c:pt idx="19">
                        <c:v>4</c:v>
                      </c:pt>
                      <c:pt idx="20">
                        <c:v>7</c:v>
                      </c:pt>
                      <c:pt idx="21">
                        <c:v>10</c:v>
                      </c:pt>
                      <c:pt idx="22">
                        <c:v>13</c:v>
                      </c:pt>
                      <c:pt idx="23">
                        <c:v>14</c:v>
                      </c:pt>
                      <c:pt idx="24">
                        <c:v>15</c:v>
                      </c:pt>
                      <c:pt idx="25">
                        <c:v>30</c:v>
                      </c:pt>
                      <c:pt idx="26">
                        <c:v>31</c:v>
                      </c:pt>
                      <c:pt idx="27">
                        <c:v>20</c:v>
                      </c:pt>
                      <c:pt idx="28">
                        <c:v>22</c:v>
                      </c:pt>
                      <c:pt idx="29">
                        <c:v>14</c:v>
                      </c:pt>
                      <c:pt idx="30">
                        <c:v>12</c:v>
                      </c:pt>
                      <c:pt idx="31">
                        <c:v>9</c:v>
                      </c:pt>
                      <c:pt idx="32">
                        <c:v>11</c:v>
                      </c:pt>
                      <c:pt idx="33">
                        <c:v>20</c:v>
                      </c:pt>
                      <c:pt idx="34">
                        <c:v>17</c:v>
                      </c:pt>
                      <c:pt idx="35">
                        <c:v>37</c:v>
                      </c:pt>
                      <c:pt idx="36">
                        <c:v>47</c:v>
                      </c:pt>
                      <c:pt idx="37">
                        <c:v>52</c:v>
                      </c:pt>
                      <c:pt idx="38">
                        <c:v>39</c:v>
                      </c:pt>
                      <c:pt idx="39">
                        <c:v>50</c:v>
                      </c:pt>
                      <c:pt idx="40">
                        <c:v>45</c:v>
                      </c:pt>
                      <c:pt idx="41">
                        <c:v>112</c:v>
                      </c:pt>
                      <c:pt idx="42">
                        <c:v>102</c:v>
                      </c:pt>
                      <c:pt idx="43">
                        <c:v>96</c:v>
                      </c:pt>
                      <c:pt idx="44">
                        <c:v>92</c:v>
                      </c:pt>
                      <c:pt idx="45">
                        <c:v>88</c:v>
                      </c:pt>
                      <c:pt idx="46">
                        <c:v>104</c:v>
                      </c:pt>
                      <c:pt idx="47">
                        <c:v>122</c:v>
                      </c:pt>
                      <c:pt idx="48">
                        <c:v>110</c:v>
                      </c:pt>
                      <c:pt idx="49">
                        <c:v>102</c:v>
                      </c:pt>
                      <c:pt idx="50">
                        <c:v>131</c:v>
                      </c:pt>
                      <c:pt idx="51">
                        <c:v>130</c:v>
                      </c:pt>
                      <c:pt idx="52">
                        <c:v>92</c:v>
                      </c:pt>
                      <c:pt idx="53">
                        <c:v>79</c:v>
                      </c:pt>
                      <c:pt idx="54">
                        <c:v>108</c:v>
                      </c:pt>
                      <c:pt idx="55">
                        <c:v>104</c:v>
                      </c:pt>
                      <c:pt idx="56">
                        <c:v>104</c:v>
                      </c:pt>
                      <c:pt idx="57">
                        <c:v>155</c:v>
                      </c:pt>
                      <c:pt idx="58">
                        <c:v>135</c:v>
                      </c:pt>
                      <c:pt idx="59">
                        <c:v>132</c:v>
                      </c:pt>
                      <c:pt idx="60">
                        <c:v>135</c:v>
                      </c:pt>
                      <c:pt idx="61">
                        <c:v>141</c:v>
                      </c:pt>
                      <c:pt idx="62">
                        <c:v>131</c:v>
                      </c:pt>
                      <c:pt idx="63">
                        <c:v>137</c:v>
                      </c:pt>
                      <c:pt idx="64">
                        <c:v>111</c:v>
                      </c:pt>
                      <c:pt idx="65">
                        <c:v>105</c:v>
                      </c:pt>
                      <c:pt idx="66">
                        <c:v>157</c:v>
                      </c:pt>
                      <c:pt idx="67">
                        <c:v>134</c:v>
                      </c:pt>
                      <c:pt idx="68">
                        <c:v>133</c:v>
                      </c:pt>
                      <c:pt idx="69">
                        <c:v>161</c:v>
                      </c:pt>
                      <c:pt idx="70">
                        <c:v>261</c:v>
                      </c:pt>
                      <c:pt idx="71">
                        <c:v>136</c:v>
                      </c:pt>
                      <c:pt idx="72">
                        <c:v>138</c:v>
                      </c:pt>
                      <c:pt idx="73">
                        <c:v>150</c:v>
                      </c:pt>
                      <c:pt idx="74">
                        <c:v>139</c:v>
                      </c:pt>
                      <c:pt idx="75">
                        <c:v>126</c:v>
                      </c:pt>
                      <c:pt idx="76">
                        <c:v>107</c:v>
                      </c:pt>
                      <c:pt idx="77">
                        <c:v>114</c:v>
                      </c:pt>
                      <c:pt idx="78">
                        <c:v>114</c:v>
                      </c:pt>
                      <c:pt idx="79">
                        <c:v>119</c:v>
                      </c:pt>
                      <c:pt idx="80">
                        <c:v>69</c:v>
                      </c:pt>
                      <c:pt idx="81">
                        <c:v>78</c:v>
                      </c:pt>
                      <c:pt idx="82">
                        <c:v>82</c:v>
                      </c:pt>
                      <c:pt idx="83">
                        <c:v>115</c:v>
                      </c:pt>
                      <c:pt idx="84">
                        <c:v>88</c:v>
                      </c:pt>
                      <c:pt idx="85">
                        <c:v>76</c:v>
                      </c:pt>
                      <c:pt idx="86">
                        <c:v>75</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smooth val="0"/>
                <c:extLst xmlns:c15="http://schemas.microsoft.com/office/drawing/2012/char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A-7761-4262-8A27-3D2B50C360C2}"/>
                  </c:ext>
                </c:extLst>
              </c15:ser>
            </c15:filteredLineSeries>
            <c15:filteredLineSeries>
              <c15:ser>
                <c:idx val="9"/>
                <c:order val="9"/>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xmlns:c15="http://schemas.microsoft.com/office/drawing/2012/chart">
                      <c:ext xmlns:c15="http://schemas.microsoft.com/office/drawing/2012/chart" uri="{02D57815-91ED-43cb-92C2-25804820EDAC}">
                        <c15:formulaRef>
                          <c15:sqref>G1_Characteristics_WorkToGo!$H$18:$FT$18</c15:sqref>
                        </c15:formulaRef>
                      </c:ext>
                    </c:extLst>
                    <c:numCache>
                      <c:formatCode>General</c:formatCode>
                      <c:ptCount val="169"/>
                      <c:pt idx="0">
                        <c:v>363</c:v>
                      </c:pt>
                      <c:pt idx="1">
                        <c:v>0</c:v>
                      </c:pt>
                      <c:pt idx="2">
                        <c:v>0</c:v>
                      </c:pt>
                      <c:pt idx="3">
                        <c:v>0</c:v>
                      </c:pt>
                      <c:pt idx="4">
                        <c:v>0</c:v>
                      </c:pt>
                      <c:pt idx="5">
                        <c:v>0</c:v>
                      </c:pt>
                      <c:pt idx="6">
                        <c:v>0</c:v>
                      </c:pt>
                      <c:pt idx="7">
                        <c:v>0</c:v>
                      </c:pt>
                      <c:pt idx="8">
                        <c:v>0</c:v>
                      </c:pt>
                      <c:pt idx="9">
                        <c:v>0</c:v>
                      </c:pt>
                      <c:pt idx="10">
                        <c:v>0</c:v>
                      </c:pt>
                      <c:pt idx="11">
                        <c:v>0</c:v>
                      </c:pt>
                      <c:pt idx="12">
                        <c:v>2</c:v>
                      </c:pt>
                      <c:pt idx="13">
                        <c:v>0</c:v>
                      </c:pt>
                      <c:pt idx="14">
                        <c:v>0</c:v>
                      </c:pt>
                      <c:pt idx="15">
                        <c:v>0</c:v>
                      </c:pt>
                      <c:pt idx="16">
                        <c:v>0</c:v>
                      </c:pt>
                      <c:pt idx="17">
                        <c:v>0</c:v>
                      </c:pt>
                      <c:pt idx="18">
                        <c:v>1</c:v>
                      </c:pt>
                      <c:pt idx="19">
                        <c:v>0</c:v>
                      </c:pt>
                      <c:pt idx="20">
                        <c:v>1</c:v>
                      </c:pt>
                      <c:pt idx="21">
                        <c:v>0</c:v>
                      </c:pt>
                      <c:pt idx="22">
                        <c:v>1</c:v>
                      </c:pt>
                      <c:pt idx="23">
                        <c:v>1</c:v>
                      </c:pt>
                      <c:pt idx="24">
                        <c:v>0</c:v>
                      </c:pt>
                      <c:pt idx="25">
                        <c:v>1</c:v>
                      </c:pt>
                      <c:pt idx="26">
                        <c:v>2</c:v>
                      </c:pt>
                      <c:pt idx="27">
                        <c:v>0</c:v>
                      </c:pt>
                      <c:pt idx="28">
                        <c:v>0</c:v>
                      </c:pt>
                      <c:pt idx="29">
                        <c:v>0</c:v>
                      </c:pt>
                      <c:pt idx="30">
                        <c:v>2</c:v>
                      </c:pt>
                      <c:pt idx="31">
                        <c:v>0</c:v>
                      </c:pt>
                      <c:pt idx="32">
                        <c:v>0</c:v>
                      </c:pt>
                      <c:pt idx="33">
                        <c:v>1</c:v>
                      </c:pt>
                      <c:pt idx="34">
                        <c:v>0</c:v>
                      </c:pt>
                      <c:pt idx="35">
                        <c:v>2</c:v>
                      </c:pt>
                      <c:pt idx="36">
                        <c:v>4</c:v>
                      </c:pt>
                      <c:pt idx="37">
                        <c:v>9</c:v>
                      </c:pt>
                      <c:pt idx="38">
                        <c:v>0</c:v>
                      </c:pt>
                      <c:pt idx="39">
                        <c:v>3</c:v>
                      </c:pt>
                      <c:pt idx="40">
                        <c:v>2</c:v>
                      </c:pt>
                      <c:pt idx="41">
                        <c:v>30</c:v>
                      </c:pt>
                      <c:pt idx="42">
                        <c:v>8</c:v>
                      </c:pt>
                      <c:pt idx="43">
                        <c:v>1</c:v>
                      </c:pt>
                      <c:pt idx="44">
                        <c:v>2</c:v>
                      </c:pt>
                      <c:pt idx="45">
                        <c:v>5</c:v>
                      </c:pt>
                      <c:pt idx="46">
                        <c:v>8</c:v>
                      </c:pt>
                      <c:pt idx="47">
                        <c:v>13</c:v>
                      </c:pt>
                      <c:pt idx="48">
                        <c:v>10</c:v>
                      </c:pt>
                      <c:pt idx="49">
                        <c:v>8</c:v>
                      </c:pt>
                      <c:pt idx="50">
                        <c:v>6</c:v>
                      </c:pt>
                      <c:pt idx="51">
                        <c:v>10</c:v>
                      </c:pt>
                      <c:pt idx="52">
                        <c:v>6</c:v>
                      </c:pt>
                      <c:pt idx="53">
                        <c:v>3</c:v>
                      </c:pt>
                      <c:pt idx="54">
                        <c:v>8</c:v>
                      </c:pt>
                      <c:pt idx="55">
                        <c:v>3</c:v>
                      </c:pt>
                      <c:pt idx="56">
                        <c:v>2</c:v>
                      </c:pt>
                      <c:pt idx="57">
                        <c:v>7</c:v>
                      </c:pt>
                      <c:pt idx="58">
                        <c:v>9</c:v>
                      </c:pt>
                      <c:pt idx="59">
                        <c:v>10</c:v>
                      </c:pt>
                      <c:pt idx="60">
                        <c:v>12</c:v>
                      </c:pt>
                      <c:pt idx="61">
                        <c:v>24</c:v>
                      </c:pt>
                      <c:pt idx="62">
                        <c:v>16</c:v>
                      </c:pt>
                      <c:pt idx="63">
                        <c:v>27</c:v>
                      </c:pt>
                      <c:pt idx="64">
                        <c:v>9</c:v>
                      </c:pt>
                      <c:pt idx="65">
                        <c:v>12</c:v>
                      </c:pt>
                      <c:pt idx="66">
                        <c:v>45</c:v>
                      </c:pt>
                      <c:pt idx="67">
                        <c:v>17</c:v>
                      </c:pt>
                      <c:pt idx="68">
                        <c:v>9</c:v>
                      </c:pt>
                      <c:pt idx="69">
                        <c:v>17</c:v>
                      </c:pt>
                      <c:pt idx="70">
                        <c:v>107</c:v>
                      </c:pt>
                      <c:pt idx="71">
                        <c:v>7</c:v>
                      </c:pt>
                      <c:pt idx="72">
                        <c:v>12</c:v>
                      </c:pt>
                      <c:pt idx="73">
                        <c:v>10</c:v>
                      </c:pt>
                      <c:pt idx="74">
                        <c:v>15</c:v>
                      </c:pt>
                      <c:pt idx="75">
                        <c:v>14</c:v>
                      </c:pt>
                      <c:pt idx="76">
                        <c:v>11</c:v>
                      </c:pt>
                      <c:pt idx="77">
                        <c:v>15</c:v>
                      </c:pt>
                      <c:pt idx="78">
                        <c:v>11</c:v>
                      </c:pt>
                      <c:pt idx="79">
                        <c:v>24</c:v>
                      </c:pt>
                      <c:pt idx="80">
                        <c:v>7</c:v>
                      </c:pt>
                      <c:pt idx="81">
                        <c:v>7</c:v>
                      </c:pt>
                      <c:pt idx="82">
                        <c:v>12</c:v>
                      </c:pt>
                      <c:pt idx="83">
                        <c:v>24</c:v>
                      </c:pt>
                      <c:pt idx="84">
                        <c:v>17</c:v>
                      </c:pt>
                      <c:pt idx="85">
                        <c:v>18</c:v>
                      </c:pt>
                      <c:pt idx="86">
                        <c:v>22</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smooth val="0"/>
                <c:extLst xmlns:c15="http://schemas.microsoft.com/office/drawing/2012/char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B-7761-4262-8A27-3D2B50C360C2}"/>
                  </c:ext>
                </c:extLst>
              </c15:ser>
            </c15:filteredLineSeries>
            <c15:filteredLineSeries>
              <c15:ser>
                <c:idx val="10"/>
                <c:order val="10"/>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xmlns:c15="http://schemas.microsoft.com/office/drawing/2012/chart">
                      <c:ext xmlns:c15="http://schemas.microsoft.com/office/drawing/2012/chart" uri="{02D57815-91ED-43cb-92C2-25804820EDAC}">
                        <c15:formulaRef>
                          <c15:sqref>G1_Characteristics_WorkToGo!$H$19:$FT$19</c15:sqref>
                        </c15:formulaRef>
                      </c:ext>
                    </c:extLst>
                    <c:numCache>
                      <c:formatCode>General</c:formatCode>
                      <c:ptCount val="169"/>
                      <c:pt idx="0">
                        <c:v>8</c:v>
                      </c:pt>
                      <c:pt idx="1">
                        <c:v>1</c:v>
                      </c:pt>
                      <c:pt idx="2">
                        <c:v>0</c:v>
                      </c:pt>
                      <c:pt idx="3">
                        <c:v>1</c:v>
                      </c:pt>
                      <c:pt idx="4">
                        <c:v>1</c:v>
                      </c:pt>
                      <c:pt idx="5">
                        <c:v>1</c:v>
                      </c:pt>
                      <c:pt idx="6">
                        <c:v>3</c:v>
                      </c:pt>
                      <c:pt idx="7">
                        <c:v>4</c:v>
                      </c:pt>
                      <c:pt idx="8">
                        <c:v>3</c:v>
                      </c:pt>
                      <c:pt idx="9">
                        <c:v>1</c:v>
                      </c:pt>
                      <c:pt idx="10">
                        <c:v>3</c:v>
                      </c:pt>
                      <c:pt idx="11">
                        <c:v>3</c:v>
                      </c:pt>
                      <c:pt idx="12">
                        <c:v>4</c:v>
                      </c:pt>
                      <c:pt idx="13">
                        <c:v>4</c:v>
                      </c:pt>
                      <c:pt idx="14">
                        <c:v>5</c:v>
                      </c:pt>
                      <c:pt idx="15">
                        <c:v>8</c:v>
                      </c:pt>
                      <c:pt idx="16">
                        <c:v>6</c:v>
                      </c:pt>
                      <c:pt idx="17">
                        <c:v>8</c:v>
                      </c:pt>
                      <c:pt idx="18">
                        <c:v>5</c:v>
                      </c:pt>
                      <c:pt idx="19">
                        <c:v>4</c:v>
                      </c:pt>
                      <c:pt idx="20">
                        <c:v>6</c:v>
                      </c:pt>
                      <c:pt idx="21">
                        <c:v>10</c:v>
                      </c:pt>
                      <c:pt idx="22">
                        <c:v>12</c:v>
                      </c:pt>
                      <c:pt idx="23">
                        <c:v>13</c:v>
                      </c:pt>
                      <c:pt idx="24">
                        <c:v>15</c:v>
                      </c:pt>
                      <c:pt idx="25">
                        <c:v>29</c:v>
                      </c:pt>
                      <c:pt idx="26">
                        <c:v>29</c:v>
                      </c:pt>
                      <c:pt idx="27">
                        <c:v>20</c:v>
                      </c:pt>
                      <c:pt idx="28">
                        <c:v>22</c:v>
                      </c:pt>
                      <c:pt idx="29">
                        <c:v>14</c:v>
                      </c:pt>
                      <c:pt idx="30">
                        <c:v>10</c:v>
                      </c:pt>
                      <c:pt idx="31">
                        <c:v>9</c:v>
                      </c:pt>
                      <c:pt idx="32">
                        <c:v>11</c:v>
                      </c:pt>
                      <c:pt idx="33">
                        <c:v>19</c:v>
                      </c:pt>
                      <c:pt idx="34">
                        <c:v>17</c:v>
                      </c:pt>
                      <c:pt idx="35">
                        <c:v>35</c:v>
                      </c:pt>
                      <c:pt idx="36">
                        <c:v>43</c:v>
                      </c:pt>
                      <c:pt idx="37">
                        <c:v>43</c:v>
                      </c:pt>
                      <c:pt idx="38">
                        <c:v>39</c:v>
                      </c:pt>
                      <c:pt idx="39">
                        <c:v>47</c:v>
                      </c:pt>
                      <c:pt idx="40">
                        <c:v>43</c:v>
                      </c:pt>
                      <c:pt idx="41">
                        <c:v>82</c:v>
                      </c:pt>
                      <c:pt idx="42">
                        <c:v>94</c:v>
                      </c:pt>
                      <c:pt idx="43">
                        <c:v>95</c:v>
                      </c:pt>
                      <c:pt idx="44">
                        <c:v>90</c:v>
                      </c:pt>
                      <c:pt idx="45">
                        <c:v>83</c:v>
                      </c:pt>
                      <c:pt idx="46">
                        <c:v>96</c:v>
                      </c:pt>
                      <c:pt idx="47">
                        <c:v>109</c:v>
                      </c:pt>
                      <c:pt idx="48">
                        <c:v>100</c:v>
                      </c:pt>
                      <c:pt idx="49">
                        <c:v>94</c:v>
                      </c:pt>
                      <c:pt idx="50">
                        <c:v>125</c:v>
                      </c:pt>
                      <c:pt idx="51">
                        <c:v>120</c:v>
                      </c:pt>
                      <c:pt idx="52">
                        <c:v>86</c:v>
                      </c:pt>
                      <c:pt idx="53">
                        <c:v>76</c:v>
                      </c:pt>
                      <c:pt idx="54">
                        <c:v>100</c:v>
                      </c:pt>
                      <c:pt idx="55">
                        <c:v>101</c:v>
                      </c:pt>
                      <c:pt idx="56">
                        <c:v>102</c:v>
                      </c:pt>
                      <c:pt idx="57">
                        <c:v>148</c:v>
                      </c:pt>
                      <c:pt idx="58">
                        <c:v>126</c:v>
                      </c:pt>
                      <c:pt idx="59">
                        <c:v>122</c:v>
                      </c:pt>
                      <c:pt idx="60">
                        <c:v>123</c:v>
                      </c:pt>
                      <c:pt idx="61">
                        <c:v>117</c:v>
                      </c:pt>
                      <c:pt idx="62">
                        <c:v>115</c:v>
                      </c:pt>
                      <c:pt idx="63">
                        <c:v>110</c:v>
                      </c:pt>
                      <c:pt idx="64">
                        <c:v>102</c:v>
                      </c:pt>
                      <c:pt idx="65">
                        <c:v>93</c:v>
                      </c:pt>
                      <c:pt idx="66">
                        <c:v>112</c:v>
                      </c:pt>
                      <c:pt idx="67">
                        <c:v>117</c:v>
                      </c:pt>
                      <c:pt idx="68">
                        <c:v>124</c:v>
                      </c:pt>
                      <c:pt idx="69">
                        <c:v>144</c:v>
                      </c:pt>
                      <c:pt idx="70">
                        <c:v>154</c:v>
                      </c:pt>
                      <c:pt idx="71">
                        <c:v>129</c:v>
                      </c:pt>
                      <c:pt idx="72">
                        <c:v>126</c:v>
                      </c:pt>
                      <c:pt idx="73">
                        <c:v>140</c:v>
                      </c:pt>
                      <c:pt idx="74">
                        <c:v>124</c:v>
                      </c:pt>
                      <c:pt idx="75">
                        <c:v>112</c:v>
                      </c:pt>
                      <c:pt idx="76">
                        <c:v>96</c:v>
                      </c:pt>
                      <c:pt idx="77">
                        <c:v>99</c:v>
                      </c:pt>
                      <c:pt idx="78">
                        <c:v>103</c:v>
                      </c:pt>
                      <c:pt idx="79">
                        <c:v>95</c:v>
                      </c:pt>
                      <c:pt idx="80">
                        <c:v>62</c:v>
                      </c:pt>
                      <c:pt idx="81">
                        <c:v>71</c:v>
                      </c:pt>
                      <c:pt idx="82">
                        <c:v>70</c:v>
                      </c:pt>
                      <c:pt idx="83">
                        <c:v>91</c:v>
                      </c:pt>
                      <c:pt idx="84">
                        <c:v>71</c:v>
                      </c:pt>
                      <c:pt idx="85">
                        <c:v>58</c:v>
                      </c:pt>
                      <c:pt idx="86">
                        <c:v>53</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smooth val="0"/>
                <c:extLst xmlns:c15="http://schemas.microsoft.com/office/drawing/2012/char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0-7761-4262-8A27-3D2B50C360C2}"/>
                  </c:ext>
                </c:extLst>
              </c15:ser>
            </c15:filteredLineSeries>
            <c15:filteredLineSeries>
              <c15:ser>
                <c:idx val="11"/>
                <c:order val="11"/>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xmlns:c15="http://schemas.microsoft.com/office/drawing/2012/chart">
                      <c:ext xmlns:c15="http://schemas.microsoft.com/office/drawing/2012/chart" uri="{02D57815-91ED-43cb-92C2-25804820EDAC}">
                        <c15:formulaRef>
                          <c15:sqref>G1_Characteristics_WorkToGo!$H$20:$FT$20</c15:sqref>
                        </c15:formulaRef>
                      </c:ext>
                    </c:extLst>
                    <c:numCache>
                      <c:formatCode>General</c:formatCode>
                      <c:ptCount val="169"/>
                      <c:pt idx="0">
                        <c:v>54</c:v>
                      </c:pt>
                      <c:pt idx="1">
                        <c:v>54</c:v>
                      </c:pt>
                      <c:pt idx="2">
                        <c:v>54</c:v>
                      </c:pt>
                      <c:pt idx="3">
                        <c:v>54</c:v>
                      </c:pt>
                      <c:pt idx="4">
                        <c:v>54</c:v>
                      </c:pt>
                      <c:pt idx="5">
                        <c:v>54</c:v>
                      </c:pt>
                      <c:pt idx="6">
                        <c:v>54</c:v>
                      </c:pt>
                      <c:pt idx="7">
                        <c:v>54</c:v>
                      </c:pt>
                      <c:pt idx="8">
                        <c:v>54</c:v>
                      </c:pt>
                      <c:pt idx="9">
                        <c:v>54</c:v>
                      </c:pt>
                      <c:pt idx="10">
                        <c:v>54</c:v>
                      </c:pt>
                      <c:pt idx="11">
                        <c:v>54</c:v>
                      </c:pt>
                      <c:pt idx="12">
                        <c:v>55</c:v>
                      </c:pt>
                      <c:pt idx="13">
                        <c:v>55</c:v>
                      </c:pt>
                      <c:pt idx="14">
                        <c:v>55</c:v>
                      </c:pt>
                      <c:pt idx="15">
                        <c:v>55</c:v>
                      </c:pt>
                      <c:pt idx="16">
                        <c:v>55</c:v>
                      </c:pt>
                      <c:pt idx="17">
                        <c:v>55</c:v>
                      </c:pt>
                      <c:pt idx="18">
                        <c:v>55</c:v>
                      </c:pt>
                      <c:pt idx="19">
                        <c:v>55</c:v>
                      </c:pt>
                      <c:pt idx="20">
                        <c:v>55</c:v>
                      </c:pt>
                      <c:pt idx="21">
                        <c:v>55</c:v>
                      </c:pt>
                      <c:pt idx="22">
                        <c:v>55</c:v>
                      </c:pt>
                      <c:pt idx="23">
                        <c:v>55</c:v>
                      </c:pt>
                      <c:pt idx="24">
                        <c:v>55</c:v>
                      </c:pt>
                      <c:pt idx="25">
                        <c:v>55</c:v>
                      </c:pt>
                      <c:pt idx="26">
                        <c:v>55</c:v>
                      </c:pt>
                      <c:pt idx="27">
                        <c:v>55</c:v>
                      </c:pt>
                      <c:pt idx="28">
                        <c:v>55</c:v>
                      </c:pt>
                      <c:pt idx="29">
                        <c:v>55</c:v>
                      </c:pt>
                      <c:pt idx="30">
                        <c:v>55</c:v>
                      </c:pt>
                      <c:pt idx="31">
                        <c:v>55</c:v>
                      </c:pt>
                      <c:pt idx="32">
                        <c:v>55</c:v>
                      </c:pt>
                      <c:pt idx="33">
                        <c:v>55</c:v>
                      </c:pt>
                      <c:pt idx="34">
                        <c:v>55</c:v>
                      </c:pt>
                      <c:pt idx="35">
                        <c:v>55</c:v>
                      </c:pt>
                      <c:pt idx="36">
                        <c:v>56</c:v>
                      </c:pt>
                      <c:pt idx="37">
                        <c:v>56</c:v>
                      </c:pt>
                      <c:pt idx="38">
                        <c:v>57</c:v>
                      </c:pt>
                      <c:pt idx="39">
                        <c:v>58</c:v>
                      </c:pt>
                      <c:pt idx="40">
                        <c:v>58</c:v>
                      </c:pt>
                      <c:pt idx="41">
                        <c:v>58</c:v>
                      </c:pt>
                      <c:pt idx="42">
                        <c:v>58</c:v>
                      </c:pt>
                      <c:pt idx="43">
                        <c:v>58</c:v>
                      </c:pt>
                      <c:pt idx="44">
                        <c:v>58</c:v>
                      </c:pt>
                      <c:pt idx="45">
                        <c:v>58</c:v>
                      </c:pt>
                      <c:pt idx="46">
                        <c:v>58</c:v>
                      </c:pt>
                      <c:pt idx="47">
                        <c:v>59</c:v>
                      </c:pt>
                      <c:pt idx="48">
                        <c:v>59</c:v>
                      </c:pt>
                      <c:pt idx="49">
                        <c:v>59</c:v>
                      </c:pt>
                      <c:pt idx="50">
                        <c:v>59</c:v>
                      </c:pt>
                      <c:pt idx="51">
                        <c:v>60</c:v>
                      </c:pt>
                      <c:pt idx="52">
                        <c:v>60</c:v>
                      </c:pt>
                      <c:pt idx="53">
                        <c:v>60</c:v>
                      </c:pt>
                      <c:pt idx="54">
                        <c:v>60</c:v>
                      </c:pt>
                      <c:pt idx="55">
                        <c:v>60</c:v>
                      </c:pt>
                      <c:pt idx="56">
                        <c:v>61</c:v>
                      </c:pt>
                      <c:pt idx="57">
                        <c:v>61</c:v>
                      </c:pt>
                      <c:pt idx="58">
                        <c:v>61</c:v>
                      </c:pt>
                      <c:pt idx="59">
                        <c:v>61</c:v>
                      </c:pt>
                      <c:pt idx="60">
                        <c:v>64</c:v>
                      </c:pt>
                      <c:pt idx="61">
                        <c:v>64</c:v>
                      </c:pt>
                      <c:pt idx="62">
                        <c:v>65</c:v>
                      </c:pt>
                      <c:pt idx="63">
                        <c:v>68</c:v>
                      </c:pt>
                      <c:pt idx="64">
                        <c:v>68</c:v>
                      </c:pt>
                      <c:pt idx="65">
                        <c:v>69</c:v>
                      </c:pt>
                      <c:pt idx="66">
                        <c:v>69</c:v>
                      </c:pt>
                      <c:pt idx="67">
                        <c:v>69</c:v>
                      </c:pt>
                      <c:pt idx="68">
                        <c:v>70</c:v>
                      </c:pt>
                      <c:pt idx="69">
                        <c:v>75</c:v>
                      </c:pt>
                      <c:pt idx="70">
                        <c:v>77</c:v>
                      </c:pt>
                      <c:pt idx="71">
                        <c:v>81</c:v>
                      </c:pt>
                      <c:pt idx="72">
                        <c:v>84</c:v>
                      </c:pt>
                      <c:pt idx="73">
                        <c:v>86</c:v>
                      </c:pt>
                      <c:pt idx="74">
                        <c:v>93</c:v>
                      </c:pt>
                      <c:pt idx="75">
                        <c:v>97</c:v>
                      </c:pt>
                      <c:pt idx="76">
                        <c:v>99</c:v>
                      </c:pt>
                      <c:pt idx="77">
                        <c:v>107</c:v>
                      </c:pt>
                      <c:pt idx="78">
                        <c:v>110</c:v>
                      </c:pt>
                      <c:pt idx="79">
                        <c:v>114</c:v>
                      </c:pt>
                      <c:pt idx="80">
                        <c:v>116</c:v>
                      </c:pt>
                      <c:pt idx="81">
                        <c:v>125</c:v>
                      </c:pt>
                      <c:pt idx="82">
                        <c:v>130</c:v>
                      </c:pt>
                      <c:pt idx="83">
                        <c:v>139</c:v>
                      </c:pt>
                      <c:pt idx="84">
                        <c:v>145</c:v>
                      </c:pt>
                      <c:pt idx="85">
                        <c:v>150</c:v>
                      </c:pt>
                      <c:pt idx="86">
                        <c:v>192</c:v>
                      </c:pt>
                      <c:pt idx="87">
                        <c:v>296</c:v>
                      </c:pt>
                      <c:pt idx="88">
                        <c:v>279</c:v>
                      </c:pt>
                      <c:pt idx="89">
                        <c:v>241</c:v>
                      </c:pt>
                      <c:pt idx="90">
                        <c:v>181</c:v>
                      </c:pt>
                      <c:pt idx="91">
                        <c:v>126</c:v>
                      </c:pt>
                      <c:pt idx="92">
                        <c:v>78</c:v>
                      </c:pt>
                      <c:pt idx="93">
                        <c:v>92</c:v>
                      </c:pt>
                      <c:pt idx="94">
                        <c:v>59</c:v>
                      </c:pt>
                      <c:pt idx="95">
                        <c:v>62</c:v>
                      </c:pt>
                      <c:pt idx="96">
                        <c:v>74</c:v>
                      </c:pt>
                      <c:pt idx="97">
                        <c:v>24</c:v>
                      </c:pt>
                      <c:pt idx="98">
                        <c:v>24</c:v>
                      </c:pt>
                      <c:pt idx="99">
                        <c:v>16</c:v>
                      </c:pt>
                      <c:pt idx="100">
                        <c:v>19</c:v>
                      </c:pt>
                      <c:pt idx="101">
                        <c:v>4</c:v>
                      </c:pt>
                      <c:pt idx="102">
                        <c:v>10</c:v>
                      </c:pt>
                      <c:pt idx="103">
                        <c:v>6</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smooth val="0"/>
                <c:extLst xmlns:c15="http://schemas.microsoft.com/office/drawing/2012/char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C-7761-4262-8A27-3D2B50C360C2}"/>
                  </c:ext>
                </c:extLst>
              </c15:ser>
            </c15:filteredLineSeries>
            <c15:filteredLineSeries>
              <c15:ser>
                <c:idx val="12"/>
                <c:order val="12"/>
                <c:spPr>
                  <a:ln w="28575" cap="rnd">
                    <a:solidFill>
                      <a:schemeClr val="accent1">
                        <a:lumMod val="80000"/>
                        <a:lumOff val="20000"/>
                      </a:schemeClr>
                    </a:solidFill>
                    <a:round/>
                  </a:ln>
                  <a:effectLst/>
                </c:spPr>
                <c:marker>
                  <c:symbol val="none"/>
                </c:marker>
                <c:cat>
                  <c:numRef>
                    <c:extLst xmlns:c15="http://schemas.microsoft.com/office/drawing/2012/chart">
                      <c:ext xmlns:c15="http://schemas.microsoft.com/office/drawing/2012/char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xmlns:c15="http://schemas.microsoft.com/office/drawing/2012/chart">
                      <c:ext xmlns:c15="http://schemas.microsoft.com/office/drawing/2012/chart" uri="{02D57815-91ED-43cb-92C2-25804820EDAC}">
                        <c15:formulaRef>
                          <c15:sqref>G1_Characteristics_WorkToGo!$H$21:$FT$21</c15:sqref>
                        </c15:formulaRef>
                      </c:ext>
                    </c:extLst>
                    <c:numCache>
                      <c:formatCode>General</c:formatCode>
                      <c:ptCount val="16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1</c:v>
                      </c:pt>
                      <c:pt idx="64">
                        <c:v>1</c:v>
                      </c:pt>
                      <c:pt idx="65">
                        <c:v>1</c:v>
                      </c:pt>
                      <c:pt idx="66">
                        <c:v>1</c:v>
                      </c:pt>
                      <c:pt idx="67">
                        <c:v>1</c:v>
                      </c:pt>
                      <c:pt idx="68">
                        <c:v>1</c:v>
                      </c:pt>
                      <c:pt idx="69">
                        <c:v>2</c:v>
                      </c:pt>
                      <c:pt idx="70">
                        <c:v>3</c:v>
                      </c:pt>
                      <c:pt idx="71">
                        <c:v>3</c:v>
                      </c:pt>
                      <c:pt idx="72">
                        <c:v>4</c:v>
                      </c:pt>
                      <c:pt idx="73">
                        <c:v>4</c:v>
                      </c:pt>
                      <c:pt idx="74">
                        <c:v>4</c:v>
                      </c:pt>
                      <c:pt idx="75">
                        <c:v>5</c:v>
                      </c:pt>
                      <c:pt idx="76">
                        <c:v>5</c:v>
                      </c:pt>
                      <c:pt idx="77">
                        <c:v>8</c:v>
                      </c:pt>
                      <c:pt idx="78">
                        <c:v>9</c:v>
                      </c:pt>
                      <c:pt idx="79">
                        <c:v>11</c:v>
                      </c:pt>
                      <c:pt idx="80">
                        <c:v>11</c:v>
                      </c:pt>
                      <c:pt idx="81">
                        <c:v>13</c:v>
                      </c:pt>
                      <c:pt idx="82">
                        <c:v>16</c:v>
                      </c:pt>
                      <c:pt idx="83">
                        <c:v>21</c:v>
                      </c:pt>
                      <c:pt idx="84">
                        <c:v>23</c:v>
                      </c:pt>
                      <c:pt idx="85">
                        <c:v>25</c:v>
                      </c:pt>
                      <c:pt idx="86">
                        <c:v>56</c:v>
                      </c:pt>
                      <c:pt idx="87">
                        <c:v>157</c:v>
                      </c:pt>
                      <c:pt idx="88">
                        <c:v>148</c:v>
                      </c:pt>
                      <c:pt idx="89">
                        <c:v>122</c:v>
                      </c:pt>
                      <c:pt idx="90">
                        <c:v>95</c:v>
                      </c:pt>
                      <c:pt idx="91">
                        <c:v>61</c:v>
                      </c:pt>
                      <c:pt idx="92">
                        <c:v>29</c:v>
                      </c:pt>
                      <c:pt idx="93">
                        <c:v>42</c:v>
                      </c:pt>
                      <c:pt idx="94">
                        <c:v>24</c:v>
                      </c:pt>
                      <c:pt idx="95">
                        <c:v>29</c:v>
                      </c:pt>
                      <c:pt idx="96">
                        <c:v>47</c:v>
                      </c:pt>
                      <c:pt idx="97">
                        <c:v>11</c:v>
                      </c:pt>
                      <c:pt idx="98">
                        <c:v>10</c:v>
                      </c:pt>
                      <c:pt idx="99">
                        <c:v>6</c:v>
                      </c:pt>
                      <c:pt idx="100">
                        <c:v>9</c:v>
                      </c:pt>
                      <c:pt idx="101">
                        <c:v>1</c:v>
                      </c:pt>
                      <c:pt idx="102">
                        <c:v>7</c:v>
                      </c:pt>
                      <c:pt idx="103">
                        <c:v>3</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smooth val="0"/>
                <c:extLst xmlns:c15="http://schemas.microsoft.com/office/drawing/2012/char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D-7761-4262-8A27-3D2B50C360C2}"/>
                  </c:ext>
                </c:extLst>
              </c15:ser>
            </c15:filteredLineSeries>
            <c15:filteredLineSeries>
              <c15:ser>
                <c:idx val="13"/>
                <c:order val="13"/>
                <c:spPr>
                  <a:ln w="28575" cap="rnd">
                    <a:solidFill>
                      <a:schemeClr val="accent2">
                        <a:lumMod val="80000"/>
                        <a:lumOff val="20000"/>
                      </a:schemeClr>
                    </a:solidFill>
                    <a:round/>
                  </a:ln>
                  <a:effectLst/>
                </c:spPr>
                <c:marker>
                  <c:symbol val="none"/>
                </c:marker>
                <c:cat>
                  <c:numRef>
                    <c:extLst xmlns:c15="http://schemas.microsoft.com/office/drawing/2012/chart">
                      <c:ext xmlns:c15="http://schemas.microsoft.com/office/drawing/2012/char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xmlns:c15="http://schemas.microsoft.com/office/drawing/2012/chart">
                      <c:ext xmlns:c15="http://schemas.microsoft.com/office/drawing/2012/chart" uri="{02D57815-91ED-43cb-92C2-25804820EDAC}">
                        <c15:formulaRef>
                          <c15:sqref>G1_Characteristics_WorkToGo!$H$22:$FT$22</c15:sqref>
                        </c15:formulaRef>
                      </c:ext>
                    </c:extLst>
                    <c:numCache>
                      <c:formatCode>General</c:formatCode>
                      <c:ptCount val="16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8</c:v>
                      </c:pt>
                      <c:pt idx="87">
                        <c:v>35</c:v>
                      </c:pt>
                      <c:pt idx="88">
                        <c:v>51</c:v>
                      </c:pt>
                      <c:pt idx="89">
                        <c:v>33</c:v>
                      </c:pt>
                      <c:pt idx="90">
                        <c:v>26</c:v>
                      </c:pt>
                      <c:pt idx="91">
                        <c:v>16</c:v>
                      </c:pt>
                      <c:pt idx="92">
                        <c:v>5</c:v>
                      </c:pt>
                      <c:pt idx="93">
                        <c:v>9</c:v>
                      </c:pt>
                      <c:pt idx="94">
                        <c:v>3</c:v>
                      </c:pt>
                      <c:pt idx="95">
                        <c:v>6</c:v>
                      </c:pt>
                      <c:pt idx="96">
                        <c:v>15</c:v>
                      </c:pt>
                      <c:pt idx="97">
                        <c:v>0</c:v>
                      </c:pt>
                      <c:pt idx="98">
                        <c:v>3</c:v>
                      </c:pt>
                      <c:pt idx="99">
                        <c:v>1</c:v>
                      </c:pt>
                      <c:pt idx="100">
                        <c:v>5</c:v>
                      </c:pt>
                      <c:pt idx="101">
                        <c:v>0</c:v>
                      </c:pt>
                      <c:pt idx="102">
                        <c:v>4</c:v>
                      </c:pt>
                      <c:pt idx="103">
                        <c:v>2</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smooth val="0"/>
                <c:extLst xmlns:c15="http://schemas.microsoft.com/office/drawing/2012/char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E-7761-4262-8A27-3D2B50C360C2}"/>
                  </c:ext>
                </c:extLst>
              </c15:ser>
            </c15:filteredLineSeries>
            <c15:filteredLineSeries>
              <c15:ser>
                <c:idx val="15"/>
                <c:order val="15"/>
                <c:spPr>
                  <a:ln w="28575" cap="rnd">
                    <a:solidFill>
                      <a:schemeClr val="accent4">
                        <a:lumMod val="80000"/>
                        <a:lumOff val="20000"/>
                      </a:schemeClr>
                    </a:solidFill>
                    <a:round/>
                  </a:ln>
                  <a:effectLst/>
                </c:spPr>
                <c:marker>
                  <c:symbol val="none"/>
                </c:marker>
                <c:cat>
                  <c:numRef>
                    <c:extLst xmlns:c15="http://schemas.microsoft.com/office/drawing/2012/chart">
                      <c:ext xmlns:c15="http://schemas.microsoft.com/office/drawing/2012/char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xmlns:c15="http://schemas.microsoft.com/office/drawing/2012/chart">
                      <c:ext xmlns:c15="http://schemas.microsoft.com/office/drawing/2012/chart" uri="{02D57815-91ED-43cb-92C2-25804820EDAC}">
                        <c15:formulaRef>
                          <c15:sqref>G1_Characteristics_WorkToGo!$H$24:$FT$24</c15:sqref>
                        </c15:formulaRef>
                      </c:ext>
                    </c:extLst>
                    <c:numCache>
                      <c:formatCode>General</c:formatCode>
                      <c:ptCount val="169"/>
                      <c:pt idx="0">
                        <c:v>54</c:v>
                      </c:pt>
                      <c:pt idx="1">
                        <c:v>54</c:v>
                      </c:pt>
                      <c:pt idx="2">
                        <c:v>54</c:v>
                      </c:pt>
                      <c:pt idx="3">
                        <c:v>54</c:v>
                      </c:pt>
                      <c:pt idx="4">
                        <c:v>54</c:v>
                      </c:pt>
                      <c:pt idx="5">
                        <c:v>54</c:v>
                      </c:pt>
                      <c:pt idx="6">
                        <c:v>54</c:v>
                      </c:pt>
                      <c:pt idx="7">
                        <c:v>54</c:v>
                      </c:pt>
                      <c:pt idx="8">
                        <c:v>54</c:v>
                      </c:pt>
                      <c:pt idx="9">
                        <c:v>54</c:v>
                      </c:pt>
                      <c:pt idx="10">
                        <c:v>54</c:v>
                      </c:pt>
                      <c:pt idx="11">
                        <c:v>54</c:v>
                      </c:pt>
                      <c:pt idx="12">
                        <c:v>55</c:v>
                      </c:pt>
                      <c:pt idx="13">
                        <c:v>55</c:v>
                      </c:pt>
                      <c:pt idx="14">
                        <c:v>55</c:v>
                      </c:pt>
                      <c:pt idx="15">
                        <c:v>55</c:v>
                      </c:pt>
                      <c:pt idx="16">
                        <c:v>55</c:v>
                      </c:pt>
                      <c:pt idx="17">
                        <c:v>55</c:v>
                      </c:pt>
                      <c:pt idx="18">
                        <c:v>55</c:v>
                      </c:pt>
                      <c:pt idx="19">
                        <c:v>55</c:v>
                      </c:pt>
                      <c:pt idx="20">
                        <c:v>55</c:v>
                      </c:pt>
                      <c:pt idx="21">
                        <c:v>55</c:v>
                      </c:pt>
                      <c:pt idx="22">
                        <c:v>55</c:v>
                      </c:pt>
                      <c:pt idx="23">
                        <c:v>55</c:v>
                      </c:pt>
                      <c:pt idx="24">
                        <c:v>55</c:v>
                      </c:pt>
                      <c:pt idx="25">
                        <c:v>55</c:v>
                      </c:pt>
                      <c:pt idx="26">
                        <c:v>55</c:v>
                      </c:pt>
                      <c:pt idx="27">
                        <c:v>55</c:v>
                      </c:pt>
                      <c:pt idx="28">
                        <c:v>55</c:v>
                      </c:pt>
                      <c:pt idx="29">
                        <c:v>55</c:v>
                      </c:pt>
                      <c:pt idx="30">
                        <c:v>55</c:v>
                      </c:pt>
                      <c:pt idx="31">
                        <c:v>55</c:v>
                      </c:pt>
                      <c:pt idx="32">
                        <c:v>55</c:v>
                      </c:pt>
                      <c:pt idx="33">
                        <c:v>55</c:v>
                      </c:pt>
                      <c:pt idx="34">
                        <c:v>55</c:v>
                      </c:pt>
                      <c:pt idx="35">
                        <c:v>55</c:v>
                      </c:pt>
                      <c:pt idx="36">
                        <c:v>56</c:v>
                      </c:pt>
                      <c:pt idx="37">
                        <c:v>56</c:v>
                      </c:pt>
                      <c:pt idx="38">
                        <c:v>57</c:v>
                      </c:pt>
                      <c:pt idx="39">
                        <c:v>58</c:v>
                      </c:pt>
                      <c:pt idx="40">
                        <c:v>58</c:v>
                      </c:pt>
                      <c:pt idx="41">
                        <c:v>58</c:v>
                      </c:pt>
                      <c:pt idx="42">
                        <c:v>58</c:v>
                      </c:pt>
                      <c:pt idx="43">
                        <c:v>58</c:v>
                      </c:pt>
                      <c:pt idx="44">
                        <c:v>58</c:v>
                      </c:pt>
                      <c:pt idx="45">
                        <c:v>58</c:v>
                      </c:pt>
                      <c:pt idx="46">
                        <c:v>58</c:v>
                      </c:pt>
                      <c:pt idx="47">
                        <c:v>59</c:v>
                      </c:pt>
                      <c:pt idx="48">
                        <c:v>59</c:v>
                      </c:pt>
                      <c:pt idx="49">
                        <c:v>59</c:v>
                      </c:pt>
                      <c:pt idx="50">
                        <c:v>59</c:v>
                      </c:pt>
                      <c:pt idx="51">
                        <c:v>60</c:v>
                      </c:pt>
                      <c:pt idx="52">
                        <c:v>60</c:v>
                      </c:pt>
                      <c:pt idx="53">
                        <c:v>60</c:v>
                      </c:pt>
                      <c:pt idx="54">
                        <c:v>60</c:v>
                      </c:pt>
                      <c:pt idx="55">
                        <c:v>60</c:v>
                      </c:pt>
                      <c:pt idx="56">
                        <c:v>61</c:v>
                      </c:pt>
                      <c:pt idx="57">
                        <c:v>61</c:v>
                      </c:pt>
                      <c:pt idx="58">
                        <c:v>61</c:v>
                      </c:pt>
                      <c:pt idx="59">
                        <c:v>61</c:v>
                      </c:pt>
                      <c:pt idx="60">
                        <c:v>64</c:v>
                      </c:pt>
                      <c:pt idx="61">
                        <c:v>64</c:v>
                      </c:pt>
                      <c:pt idx="62">
                        <c:v>65</c:v>
                      </c:pt>
                      <c:pt idx="63">
                        <c:v>67</c:v>
                      </c:pt>
                      <c:pt idx="64">
                        <c:v>67</c:v>
                      </c:pt>
                      <c:pt idx="65">
                        <c:v>68</c:v>
                      </c:pt>
                      <c:pt idx="66">
                        <c:v>68</c:v>
                      </c:pt>
                      <c:pt idx="67">
                        <c:v>68</c:v>
                      </c:pt>
                      <c:pt idx="68">
                        <c:v>69</c:v>
                      </c:pt>
                      <c:pt idx="69">
                        <c:v>73</c:v>
                      </c:pt>
                      <c:pt idx="70">
                        <c:v>74</c:v>
                      </c:pt>
                      <c:pt idx="71">
                        <c:v>78</c:v>
                      </c:pt>
                      <c:pt idx="72">
                        <c:v>80</c:v>
                      </c:pt>
                      <c:pt idx="73">
                        <c:v>82</c:v>
                      </c:pt>
                      <c:pt idx="74">
                        <c:v>89</c:v>
                      </c:pt>
                      <c:pt idx="75">
                        <c:v>92</c:v>
                      </c:pt>
                      <c:pt idx="76">
                        <c:v>94</c:v>
                      </c:pt>
                      <c:pt idx="77">
                        <c:v>99</c:v>
                      </c:pt>
                      <c:pt idx="78">
                        <c:v>101</c:v>
                      </c:pt>
                      <c:pt idx="79">
                        <c:v>103</c:v>
                      </c:pt>
                      <c:pt idx="80">
                        <c:v>105</c:v>
                      </c:pt>
                      <c:pt idx="81">
                        <c:v>112</c:v>
                      </c:pt>
                      <c:pt idx="82">
                        <c:v>114</c:v>
                      </c:pt>
                      <c:pt idx="83">
                        <c:v>118</c:v>
                      </c:pt>
                      <c:pt idx="84">
                        <c:v>122</c:v>
                      </c:pt>
                      <c:pt idx="85">
                        <c:v>125</c:v>
                      </c:pt>
                      <c:pt idx="86">
                        <c:v>136</c:v>
                      </c:pt>
                      <c:pt idx="87">
                        <c:v>139</c:v>
                      </c:pt>
                      <c:pt idx="88">
                        <c:v>131</c:v>
                      </c:pt>
                      <c:pt idx="89">
                        <c:v>119</c:v>
                      </c:pt>
                      <c:pt idx="90">
                        <c:v>86</c:v>
                      </c:pt>
                      <c:pt idx="91">
                        <c:v>65</c:v>
                      </c:pt>
                      <c:pt idx="92">
                        <c:v>49</c:v>
                      </c:pt>
                      <c:pt idx="93">
                        <c:v>50</c:v>
                      </c:pt>
                      <c:pt idx="94">
                        <c:v>35</c:v>
                      </c:pt>
                      <c:pt idx="95">
                        <c:v>33</c:v>
                      </c:pt>
                      <c:pt idx="96">
                        <c:v>27</c:v>
                      </c:pt>
                      <c:pt idx="97">
                        <c:v>13</c:v>
                      </c:pt>
                      <c:pt idx="98">
                        <c:v>14</c:v>
                      </c:pt>
                      <c:pt idx="99">
                        <c:v>10</c:v>
                      </c:pt>
                      <c:pt idx="100">
                        <c:v>10</c:v>
                      </c:pt>
                      <c:pt idx="101">
                        <c:v>3</c:v>
                      </c:pt>
                      <c:pt idx="102">
                        <c:v>3</c:v>
                      </c:pt>
                      <c:pt idx="103">
                        <c:v>3</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smooth val="0"/>
                <c:extLst xmlns:c15="http://schemas.microsoft.com/office/drawing/2012/char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F-7761-4262-8A27-3D2B50C360C2}"/>
                  </c:ext>
                </c:extLst>
              </c15:ser>
            </c15:filteredLineSeries>
            <c15:filteredLineSeries>
              <c15:ser>
                <c:idx val="16"/>
                <c:order val="16"/>
                <c:spPr>
                  <a:ln w="28575" cap="rnd">
                    <a:solidFill>
                      <a:schemeClr val="accent5">
                        <a:lumMod val="80000"/>
                        <a:lumOff val="20000"/>
                      </a:schemeClr>
                    </a:solidFill>
                    <a:round/>
                  </a:ln>
                  <a:effectLst/>
                </c:spPr>
                <c:marker>
                  <c:symbol val="none"/>
                </c:marker>
                <c:cat>
                  <c:numRef>
                    <c:extLst xmlns:c15="http://schemas.microsoft.com/office/drawing/2012/chart">
                      <c:ext xmlns:c15="http://schemas.microsoft.com/office/drawing/2012/char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xmlns:c15="http://schemas.microsoft.com/office/drawing/2012/chart">
                      <c:ext xmlns:c15="http://schemas.microsoft.com/office/drawing/2012/chart" uri="{02D57815-91ED-43cb-92C2-25804820EDAC}">
                        <c15:formulaRef>
                          <c15:sqref>G1_Characteristics_WorkToGo!$H$25:$FT$25</c15:sqref>
                        </c15:formulaRef>
                      </c:ext>
                    </c:extLst>
                    <c:numCache>
                      <c:formatCode>General</c:formatCode>
                      <c:ptCount val="16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smooth val="0"/>
                <c:extLst xmlns:c15="http://schemas.microsoft.com/office/drawing/2012/char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10-7761-4262-8A27-3D2B50C360C2}"/>
                  </c:ext>
                </c:extLst>
              </c15:ser>
            </c15:filteredLineSeries>
            <c15:filteredLineSeries>
              <c15:ser>
                <c:idx val="17"/>
                <c:order val="17"/>
                <c:spPr>
                  <a:ln w="28575" cap="rnd">
                    <a:solidFill>
                      <a:schemeClr val="accent6">
                        <a:lumMod val="80000"/>
                        <a:lumOff val="20000"/>
                      </a:schemeClr>
                    </a:solidFill>
                    <a:round/>
                  </a:ln>
                  <a:effectLst/>
                </c:spPr>
                <c:marker>
                  <c:symbol val="none"/>
                </c:marker>
                <c:cat>
                  <c:numRef>
                    <c:extLst xmlns:c15="http://schemas.microsoft.com/office/drawing/2012/chart">
                      <c:ext xmlns:c15="http://schemas.microsoft.com/office/drawing/2012/char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xmlns:c15="http://schemas.microsoft.com/office/drawing/2012/chart">
                      <c:ext xmlns:c15="http://schemas.microsoft.com/office/drawing/2012/chart" uri="{02D57815-91ED-43cb-92C2-25804820EDAC}">
                        <c15:formulaRef>
                          <c15:sqref>G1_Characteristics_WorkToGo!$H$26:$FT$26</c15:sqref>
                        </c15:formulaRef>
                      </c:ext>
                    </c:extLst>
                    <c:numCache>
                      <c:formatCode>General</c:formatCode>
                      <c:ptCount val="16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smooth val="0"/>
                <c:extLst xmlns:c15="http://schemas.microsoft.com/office/drawing/2012/char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11-7761-4262-8A27-3D2B50C360C2}"/>
                  </c:ext>
                </c:extLst>
              </c15:ser>
            </c15:filteredLineSeries>
            <c15:filteredLineSeries>
              <c15:ser>
                <c:idx val="18"/>
                <c:order val="18"/>
                <c:spPr>
                  <a:ln w="28575" cap="rnd">
                    <a:solidFill>
                      <a:schemeClr val="accent1">
                        <a:lumMod val="80000"/>
                      </a:schemeClr>
                    </a:solidFill>
                    <a:round/>
                  </a:ln>
                  <a:effectLst/>
                </c:spPr>
                <c:marker>
                  <c:symbol val="none"/>
                </c:marker>
                <c:cat>
                  <c:numRef>
                    <c:extLst xmlns:c15="http://schemas.microsoft.com/office/drawing/2012/chart">
                      <c:ext xmlns:c15="http://schemas.microsoft.com/office/drawing/2012/char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xmlns:c15="http://schemas.microsoft.com/office/drawing/2012/chart">
                      <c:ext xmlns:c15="http://schemas.microsoft.com/office/drawing/2012/chart" uri="{02D57815-91ED-43cb-92C2-25804820EDAC}">
                        <c15:formulaRef>
                          <c15:sqref>G1_Characteristics_WorkToGo!$H$27:$FT$27</c15:sqref>
                        </c15:formulaRef>
                      </c:ext>
                    </c:extLst>
                    <c:numCache>
                      <c:formatCode>General</c:formatCode>
                      <c:ptCount val="16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1</c:v>
                      </c:pt>
                      <c:pt idx="87">
                        <c:v>13</c:v>
                      </c:pt>
                      <c:pt idx="88">
                        <c:v>22</c:v>
                      </c:pt>
                      <c:pt idx="89">
                        <c:v>26</c:v>
                      </c:pt>
                      <c:pt idx="90">
                        <c:v>10</c:v>
                      </c:pt>
                      <c:pt idx="91">
                        <c:v>9</c:v>
                      </c:pt>
                      <c:pt idx="92">
                        <c:v>5</c:v>
                      </c:pt>
                      <c:pt idx="93">
                        <c:v>18</c:v>
                      </c:pt>
                      <c:pt idx="94">
                        <c:v>12</c:v>
                      </c:pt>
                      <c:pt idx="95">
                        <c:v>13</c:v>
                      </c:pt>
                      <c:pt idx="96">
                        <c:v>25</c:v>
                      </c:pt>
                      <c:pt idx="97">
                        <c:v>7</c:v>
                      </c:pt>
                      <c:pt idx="98">
                        <c:v>6</c:v>
                      </c:pt>
                      <c:pt idx="99">
                        <c:v>1</c:v>
                      </c:pt>
                      <c:pt idx="100">
                        <c:v>4</c:v>
                      </c:pt>
                      <c:pt idx="101">
                        <c:v>1</c:v>
                      </c:pt>
                      <c:pt idx="102">
                        <c:v>7</c:v>
                      </c:pt>
                      <c:pt idx="103">
                        <c:v>3</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smooth val="0"/>
                <c:extLst xmlns:c15="http://schemas.microsoft.com/office/drawing/2012/char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12-7761-4262-8A27-3D2B50C360C2}"/>
                  </c:ext>
                </c:extLst>
              </c15:ser>
            </c15:filteredLineSeries>
            <c15:filteredLineSeries>
              <c15:ser>
                <c:idx val="20"/>
                <c:order val="20"/>
                <c:spPr>
                  <a:ln w="28575" cap="rnd">
                    <a:solidFill>
                      <a:schemeClr val="accent3">
                        <a:lumMod val="80000"/>
                      </a:schemeClr>
                    </a:solidFill>
                    <a:round/>
                  </a:ln>
                  <a:effectLst/>
                </c:spPr>
                <c:marker>
                  <c:symbol val="none"/>
                </c:marker>
                <c:cat>
                  <c:numRef>
                    <c:extLst xmlns:c15="http://schemas.microsoft.com/office/drawing/2012/chart">
                      <c:ext xmlns:c15="http://schemas.microsoft.com/office/drawing/2012/char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xmlns:c15="http://schemas.microsoft.com/office/drawing/2012/chart">
                      <c:ext xmlns:c15="http://schemas.microsoft.com/office/drawing/2012/chart" uri="{02D57815-91ED-43cb-92C2-25804820EDAC}">
                        <c15:formulaRef>
                          <c15:sqref>G1_Characteristics_WorkToGo!$H$29:$FT$29</c15:sqref>
                        </c15:formulaRef>
                      </c:ext>
                    </c:extLst>
                    <c:numCache>
                      <c:formatCode>General</c:formatCode>
                      <c:ptCount val="16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1</c:v>
                      </c:pt>
                      <c:pt idx="88">
                        <c:v>6</c:v>
                      </c:pt>
                      <c:pt idx="89">
                        <c:v>11</c:v>
                      </c:pt>
                      <c:pt idx="90">
                        <c:v>1</c:v>
                      </c:pt>
                      <c:pt idx="91">
                        <c:v>3</c:v>
                      </c:pt>
                      <c:pt idx="92">
                        <c:v>0</c:v>
                      </c:pt>
                      <c:pt idx="93">
                        <c:v>1</c:v>
                      </c:pt>
                      <c:pt idx="94">
                        <c:v>2</c:v>
                      </c:pt>
                      <c:pt idx="95">
                        <c:v>2</c:v>
                      </c:pt>
                      <c:pt idx="96">
                        <c:v>4</c:v>
                      </c:pt>
                      <c:pt idx="97">
                        <c:v>0</c:v>
                      </c:pt>
                      <c:pt idx="98">
                        <c:v>2</c:v>
                      </c:pt>
                      <c:pt idx="99">
                        <c:v>0</c:v>
                      </c:pt>
                      <c:pt idx="100">
                        <c:v>1</c:v>
                      </c:pt>
                      <c:pt idx="101">
                        <c:v>0</c:v>
                      </c:pt>
                      <c:pt idx="102">
                        <c:v>4</c:v>
                      </c:pt>
                      <c:pt idx="103">
                        <c:v>2</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smooth val="0"/>
                <c:extLst xmlns:c15="http://schemas.microsoft.com/office/drawing/2012/char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14-7761-4262-8A27-3D2B50C360C2}"/>
                  </c:ext>
                </c:extLst>
              </c15:ser>
            </c15:filteredLineSeries>
            <c15:filteredLineSeries>
              <c15:ser>
                <c:idx val="21"/>
                <c:order val="21"/>
                <c:spPr>
                  <a:ln w="28575" cap="rnd">
                    <a:solidFill>
                      <a:schemeClr val="accent4">
                        <a:lumMod val="80000"/>
                      </a:schemeClr>
                    </a:solidFill>
                    <a:round/>
                  </a:ln>
                  <a:effectLst/>
                </c:spPr>
                <c:marker>
                  <c:symbol val="none"/>
                </c:marker>
                <c:cat>
                  <c:numRef>
                    <c:extLst xmlns:c15="http://schemas.microsoft.com/office/drawing/2012/chart">
                      <c:ext xmlns:c15="http://schemas.microsoft.com/office/drawing/2012/char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xmlns:c15="http://schemas.microsoft.com/office/drawing/2012/chart">
                      <c:ext xmlns:c15="http://schemas.microsoft.com/office/drawing/2012/chart" uri="{02D57815-91ED-43cb-92C2-25804820EDAC}">
                        <c15:formulaRef>
                          <c15:sqref>G1_Characteristics_WorkToGo!$H$32:$FT$32</c15:sqref>
                        </c15:formulaRef>
                      </c:ext>
                    </c:extLst>
                    <c:numCache>
                      <c:formatCode>General</c:formatCode>
                      <c:ptCount val="16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smooth val="0"/>
                <c:extLst xmlns:c15="http://schemas.microsoft.com/office/drawing/2012/char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15-7761-4262-8A27-3D2B50C360C2}"/>
                  </c:ext>
                </c:extLst>
              </c15:ser>
            </c15:filteredLineSeries>
            <c15:filteredLineSeries>
              <c15:ser>
                <c:idx val="22"/>
                <c:order val="22"/>
                <c:spPr>
                  <a:ln w="28575" cap="rnd">
                    <a:solidFill>
                      <a:schemeClr val="accent5">
                        <a:lumMod val="80000"/>
                      </a:schemeClr>
                    </a:solidFill>
                    <a:round/>
                  </a:ln>
                  <a:effectLst/>
                </c:spPr>
                <c:marker>
                  <c:symbol val="none"/>
                </c:marker>
                <c:cat>
                  <c:numRef>
                    <c:extLst xmlns:c15="http://schemas.microsoft.com/office/drawing/2012/chart">
                      <c:ext xmlns:c15="http://schemas.microsoft.com/office/drawing/2012/char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xmlns:c15="http://schemas.microsoft.com/office/drawing/2012/chart">
                      <c:ext xmlns:c15="http://schemas.microsoft.com/office/drawing/2012/chart" uri="{02D57815-91ED-43cb-92C2-25804820EDAC}">
                        <c15:formulaRef>
                          <c15:sqref>G1_Characteristics_WorkToGo!$H$33:$FT$33</c15:sqref>
                        </c15:formulaRef>
                      </c:ext>
                    </c:extLst>
                    <c:numCache>
                      <c:formatCode>General</c:formatCode>
                      <c:ptCount val="16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smooth val="0"/>
                <c:extLst xmlns:c15="http://schemas.microsoft.com/office/drawing/2012/char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16-7761-4262-8A27-3D2B50C360C2}"/>
                  </c:ext>
                </c:extLst>
              </c15:ser>
            </c15:filteredLineSeries>
          </c:ext>
        </c:extLst>
      </c:lineChart>
      <c:dateAx>
        <c:axId val="1413648640"/>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649056"/>
        <c:crosses val="autoZero"/>
        <c:auto val="1"/>
        <c:lblOffset val="100"/>
        <c:baseTimeUnit val="months"/>
      </c:dateAx>
      <c:valAx>
        <c:axId val="1413649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6486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Completed vs. Work-to-Go Tasks</a:t>
            </a:r>
            <a:r>
              <a:rPr lang="en-US" baseline="0"/>
              <a:t> (Normal Tasks &amp; Milestones)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ndard"/>
        <c:varyColors val="0"/>
        <c:ser>
          <c:idx val="7"/>
          <c:order val="7"/>
          <c:tx>
            <c:strRef>
              <c:f>G1_Characteristics_WorkToGo!$G$16</c:f>
              <c:strCache>
                <c:ptCount val="1"/>
                <c:pt idx="0">
                  <c:v>Total Tasks &amp; Milestones</c:v>
                </c:pt>
              </c:strCache>
            </c:strRef>
          </c:tx>
          <c:spPr>
            <a:solidFill>
              <a:schemeClr val="bg2">
                <a:lumMod val="75000"/>
              </a:schemeClr>
            </a:solidFill>
            <a:ln>
              <a:noFill/>
            </a:ln>
            <a:effectLst/>
          </c:spPr>
          <c:cat>
            <c:numRef>
              <c:f>G1_Characteristics_WorkToGo!$H$8:$FT$8</c:f>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f>G1_Characteristics_WorkToGo!$H$16:$FT$16</c:f>
              <c:numCache>
                <c:formatCode>General</c:formatCode>
                <c:ptCount val="169"/>
                <c:pt idx="0">
                  <c:v>371</c:v>
                </c:pt>
                <c:pt idx="1">
                  <c:v>1</c:v>
                </c:pt>
                <c:pt idx="2">
                  <c:v>0</c:v>
                </c:pt>
                <c:pt idx="3">
                  <c:v>1</c:v>
                </c:pt>
                <c:pt idx="4">
                  <c:v>1</c:v>
                </c:pt>
                <c:pt idx="5">
                  <c:v>1</c:v>
                </c:pt>
                <c:pt idx="6">
                  <c:v>3</c:v>
                </c:pt>
                <c:pt idx="7">
                  <c:v>4</c:v>
                </c:pt>
                <c:pt idx="8">
                  <c:v>3</c:v>
                </c:pt>
                <c:pt idx="9">
                  <c:v>1</c:v>
                </c:pt>
                <c:pt idx="10">
                  <c:v>3</c:v>
                </c:pt>
                <c:pt idx="11">
                  <c:v>3</c:v>
                </c:pt>
                <c:pt idx="12">
                  <c:v>6</c:v>
                </c:pt>
                <c:pt idx="13">
                  <c:v>4</c:v>
                </c:pt>
                <c:pt idx="14">
                  <c:v>5</c:v>
                </c:pt>
                <c:pt idx="15">
                  <c:v>8</c:v>
                </c:pt>
                <c:pt idx="16">
                  <c:v>6</c:v>
                </c:pt>
                <c:pt idx="17">
                  <c:v>8</c:v>
                </c:pt>
                <c:pt idx="18">
                  <c:v>6</c:v>
                </c:pt>
                <c:pt idx="19">
                  <c:v>4</c:v>
                </c:pt>
                <c:pt idx="20">
                  <c:v>7</c:v>
                </c:pt>
                <c:pt idx="21">
                  <c:v>10</c:v>
                </c:pt>
                <c:pt idx="22">
                  <c:v>13</c:v>
                </c:pt>
                <c:pt idx="23">
                  <c:v>14</c:v>
                </c:pt>
                <c:pt idx="24">
                  <c:v>15</c:v>
                </c:pt>
                <c:pt idx="25">
                  <c:v>30</c:v>
                </c:pt>
                <c:pt idx="26">
                  <c:v>31</c:v>
                </c:pt>
                <c:pt idx="27">
                  <c:v>20</c:v>
                </c:pt>
                <c:pt idx="28">
                  <c:v>22</c:v>
                </c:pt>
                <c:pt idx="29">
                  <c:v>14</c:v>
                </c:pt>
                <c:pt idx="30">
                  <c:v>12</c:v>
                </c:pt>
                <c:pt idx="31">
                  <c:v>9</c:v>
                </c:pt>
                <c:pt idx="32">
                  <c:v>11</c:v>
                </c:pt>
                <c:pt idx="33">
                  <c:v>20</c:v>
                </c:pt>
                <c:pt idx="34">
                  <c:v>17</c:v>
                </c:pt>
                <c:pt idx="35">
                  <c:v>37</c:v>
                </c:pt>
                <c:pt idx="36">
                  <c:v>47</c:v>
                </c:pt>
                <c:pt idx="37">
                  <c:v>52</c:v>
                </c:pt>
                <c:pt idx="38">
                  <c:v>39</c:v>
                </c:pt>
                <c:pt idx="39">
                  <c:v>50</c:v>
                </c:pt>
                <c:pt idx="40">
                  <c:v>45</c:v>
                </c:pt>
                <c:pt idx="41">
                  <c:v>112</c:v>
                </c:pt>
                <c:pt idx="42">
                  <c:v>102</c:v>
                </c:pt>
                <c:pt idx="43">
                  <c:v>96</c:v>
                </c:pt>
                <c:pt idx="44">
                  <c:v>92</c:v>
                </c:pt>
                <c:pt idx="45">
                  <c:v>88</c:v>
                </c:pt>
                <c:pt idx="46">
                  <c:v>104</c:v>
                </c:pt>
                <c:pt idx="47">
                  <c:v>122</c:v>
                </c:pt>
                <c:pt idx="48">
                  <c:v>110</c:v>
                </c:pt>
                <c:pt idx="49">
                  <c:v>102</c:v>
                </c:pt>
                <c:pt idx="50">
                  <c:v>131</c:v>
                </c:pt>
                <c:pt idx="51">
                  <c:v>130</c:v>
                </c:pt>
                <c:pt idx="52">
                  <c:v>92</c:v>
                </c:pt>
                <c:pt idx="53">
                  <c:v>79</c:v>
                </c:pt>
                <c:pt idx="54">
                  <c:v>108</c:v>
                </c:pt>
                <c:pt idx="55">
                  <c:v>104</c:v>
                </c:pt>
                <c:pt idx="56">
                  <c:v>104</c:v>
                </c:pt>
                <c:pt idx="57">
                  <c:v>155</c:v>
                </c:pt>
                <c:pt idx="58">
                  <c:v>135</c:v>
                </c:pt>
                <c:pt idx="59">
                  <c:v>132</c:v>
                </c:pt>
                <c:pt idx="60">
                  <c:v>135</c:v>
                </c:pt>
                <c:pt idx="61">
                  <c:v>141</c:v>
                </c:pt>
                <c:pt idx="62">
                  <c:v>131</c:v>
                </c:pt>
                <c:pt idx="63">
                  <c:v>138</c:v>
                </c:pt>
                <c:pt idx="64">
                  <c:v>112</c:v>
                </c:pt>
                <c:pt idx="65">
                  <c:v>106</c:v>
                </c:pt>
                <c:pt idx="66">
                  <c:v>158</c:v>
                </c:pt>
                <c:pt idx="67">
                  <c:v>135</c:v>
                </c:pt>
                <c:pt idx="68">
                  <c:v>134</c:v>
                </c:pt>
                <c:pt idx="69">
                  <c:v>163</c:v>
                </c:pt>
                <c:pt idx="70">
                  <c:v>264</c:v>
                </c:pt>
                <c:pt idx="71">
                  <c:v>139</c:v>
                </c:pt>
                <c:pt idx="72">
                  <c:v>142</c:v>
                </c:pt>
                <c:pt idx="73">
                  <c:v>154</c:v>
                </c:pt>
                <c:pt idx="74">
                  <c:v>143</c:v>
                </c:pt>
                <c:pt idx="75">
                  <c:v>131</c:v>
                </c:pt>
                <c:pt idx="76">
                  <c:v>112</c:v>
                </c:pt>
                <c:pt idx="77">
                  <c:v>122</c:v>
                </c:pt>
                <c:pt idx="78">
                  <c:v>123</c:v>
                </c:pt>
                <c:pt idx="79">
                  <c:v>130</c:v>
                </c:pt>
                <c:pt idx="80">
                  <c:v>80</c:v>
                </c:pt>
                <c:pt idx="81">
                  <c:v>91</c:v>
                </c:pt>
                <c:pt idx="82">
                  <c:v>98</c:v>
                </c:pt>
                <c:pt idx="83">
                  <c:v>136</c:v>
                </c:pt>
                <c:pt idx="84">
                  <c:v>111</c:v>
                </c:pt>
                <c:pt idx="85">
                  <c:v>101</c:v>
                </c:pt>
                <c:pt idx="86">
                  <c:v>131</c:v>
                </c:pt>
                <c:pt idx="87">
                  <c:v>157</c:v>
                </c:pt>
                <c:pt idx="88">
                  <c:v>148</c:v>
                </c:pt>
                <c:pt idx="89">
                  <c:v>122</c:v>
                </c:pt>
                <c:pt idx="90">
                  <c:v>95</c:v>
                </c:pt>
                <c:pt idx="91">
                  <c:v>61</c:v>
                </c:pt>
                <c:pt idx="92">
                  <c:v>29</c:v>
                </c:pt>
                <c:pt idx="93">
                  <c:v>42</c:v>
                </c:pt>
                <c:pt idx="94">
                  <c:v>24</c:v>
                </c:pt>
                <c:pt idx="95">
                  <c:v>29</c:v>
                </c:pt>
                <c:pt idx="96">
                  <c:v>47</c:v>
                </c:pt>
                <c:pt idx="97">
                  <c:v>11</c:v>
                </c:pt>
                <c:pt idx="98">
                  <c:v>10</c:v>
                </c:pt>
                <c:pt idx="99">
                  <c:v>6</c:v>
                </c:pt>
                <c:pt idx="100">
                  <c:v>9</c:v>
                </c:pt>
                <c:pt idx="101">
                  <c:v>1</c:v>
                </c:pt>
                <c:pt idx="102">
                  <c:v>7</c:v>
                </c:pt>
                <c:pt idx="103">
                  <c:v>3</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extLst xmlns:c15="http://schemas.microsoft.com/office/drawing/2012/chart">
            <c:ext xmlns:c16="http://schemas.microsoft.com/office/drawing/2014/chart" uri="{C3380CC4-5D6E-409C-BE32-E72D297353CC}">
              <c16:uniqueId val="{00000009-59EC-4B9E-A744-04C251BD2B69}"/>
            </c:ext>
          </c:extLst>
        </c:ser>
        <c:dLbls>
          <c:showLegendKey val="0"/>
          <c:showVal val="0"/>
          <c:showCatName val="0"/>
          <c:showSerName val="0"/>
          <c:showPercent val="0"/>
          <c:showBubbleSize val="0"/>
        </c:dLbls>
        <c:axId val="1413648640"/>
        <c:axId val="1413649056"/>
        <c:extLst>
          <c:ext xmlns:c15="http://schemas.microsoft.com/office/drawing/2012/chart" uri="{02D57815-91ED-43cb-92C2-25804820EDAC}">
            <c15:filteredAreaSeries>
              <c15:ser>
                <c:idx val="2"/>
                <c:order val="2"/>
                <c:tx>
                  <c:strRef>
                    <c:extLst>
                      <c:ext uri="{02D57815-91ED-43cb-92C2-25804820EDAC}">
                        <c15:formulaRef>
                          <c15:sqref>G1_Characteristics_WorkToGo!$G$11</c15:sqref>
                        </c15:formulaRef>
                      </c:ext>
                    </c:extLst>
                    <c:strCache>
                      <c:ptCount val="1"/>
                      <c:pt idx="0">
                        <c:v>Milestones</c:v>
                      </c:pt>
                    </c:strCache>
                  </c:strRef>
                </c:tx>
                <c:spPr>
                  <a:solidFill>
                    <a:schemeClr val="accent3"/>
                  </a:solidFill>
                  <a:ln>
                    <a:noFill/>
                  </a:ln>
                  <a:effectLst/>
                </c:spPr>
                <c:cat>
                  <c:numRef>
                    <c:extLst>
                      <c:ex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c:ext uri="{02D57815-91ED-43cb-92C2-25804820EDAC}">
                        <c15:formulaRef>
                          <c15:sqref>G1_Characteristics_WorkToGo!$H$11:$FT$11</c15:sqref>
                        </c15:formulaRef>
                      </c:ext>
                    </c:extLst>
                    <c:numCache>
                      <c:formatCode>General</c:formatCode>
                      <c:ptCount val="169"/>
                      <c:pt idx="0">
                        <c:v>363</c:v>
                      </c:pt>
                      <c:pt idx="1">
                        <c:v>0</c:v>
                      </c:pt>
                      <c:pt idx="2">
                        <c:v>0</c:v>
                      </c:pt>
                      <c:pt idx="3">
                        <c:v>0</c:v>
                      </c:pt>
                      <c:pt idx="4">
                        <c:v>0</c:v>
                      </c:pt>
                      <c:pt idx="5">
                        <c:v>0</c:v>
                      </c:pt>
                      <c:pt idx="6">
                        <c:v>0</c:v>
                      </c:pt>
                      <c:pt idx="7">
                        <c:v>0</c:v>
                      </c:pt>
                      <c:pt idx="8">
                        <c:v>0</c:v>
                      </c:pt>
                      <c:pt idx="9">
                        <c:v>0</c:v>
                      </c:pt>
                      <c:pt idx="10">
                        <c:v>0</c:v>
                      </c:pt>
                      <c:pt idx="11">
                        <c:v>0</c:v>
                      </c:pt>
                      <c:pt idx="12">
                        <c:v>2</c:v>
                      </c:pt>
                      <c:pt idx="13">
                        <c:v>0</c:v>
                      </c:pt>
                      <c:pt idx="14">
                        <c:v>0</c:v>
                      </c:pt>
                      <c:pt idx="15">
                        <c:v>0</c:v>
                      </c:pt>
                      <c:pt idx="16">
                        <c:v>0</c:v>
                      </c:pt>
                      <c:pt idx="17">
                        <c:v>0</c:v>
                      </c:pt>
                      <c:pt idx="18">
                        <c:v>1</c:v>
                      </c:pt>
                      <c:pt idx="19">
                        <c:v>0</c:v>
                      </c:pt>
                      <c:pt idx="20">
                        <c:v>1</c:v>
                      </c:pt>
                      <c:pt idx="21">
                        <c:v>0</c:v>
                      </c:pt>
                      <c:pt idx="22">
                        <c:v>1</c:v>
                      </c:pt>
                      <c:pt idx="23">
                        <c:v>1</c:v>
                      </c:pt>
                      <c:pt idx="24">
                        <c:v>0</c:v>
                      </c:pt>
                      <c:pt idx="25">
                        <c:v>1</c:v>
                      </c:pt>
                      <c:pt idx="26">
                        <c:v>2</c:v>
                      </c:pt>
                      <c:pt idx="27">
                        <c:v>0</c:v>
                      </c:pt>
                      <c:pt idx="28">
                        <c:v>0</c:v>
                      </c:pt>
                      <c:pt idx="29">
                        <c:v>0</c:v>
                      </c:pt>
                      <c:pt idx="30">
                        <c:v>2</c:v>
                      </c:pt>
                      <c:pt idx="31">
                        <c:v>0</c:v>
                      </c:pt>
                      <c:pt idx="32">
                        <c:v>0</c:v>
                      </c:pt>
                      <c:pt idx="33">
                        <c:v>1</c:v>
                      </c:pt>
                      <c:pt idx="34">
                        <c:v>0</c:v>
                      </c:pt>
                      <c:pt idx="35">
                        <c:v>2</c:v>
                      </c:pt>
                      <c:pt idx="36">
                        <c:v>4</c:v>
                      </c:pt>
                      <c:pt idx="37">
                        <c:v>9</c:v>
                      </c:pt>
                      <c:pt idx="38">
                        <c:v>0</c:v>
                      </c:pt>
                      <c:pt idx="39">
                        <c:v>3</c:v>
                      </c:pt>
                      <c:pt idx="40">
                        <c:v>2</c:v>
                      </c:pt>
                      <c:pt idx="41">
                        <c:v>30</c:v>
                      </c:pt>
                      <c:pt idx="42">
                        <c:v>8</c:v>
                      </c:pt>
                      <c:pt idx="43">
                        <c:v>1</c:v>
                      </c:pt>
                      <c:pt idx="44">
                        <c:v>2</c:v>
                      </c:pt>
                      <c:pt idx="45">
                        <c:v>5</c:v>
                      </c:pt>
                      <c:pt idx="46">
                        <c:v>8</c:v>
                      </c:pt>
                      <c:pt idx="47">
                        <c:v>13</c:v>
                      </c:pt>
                      <c:pt idx="48">
                        <c:v>10</c:v>
                      </c:pt>
                      <c:pt idx="49">
                        <c:v>8</c:v>
                      </c:pt>
                      <c:pt idx="50">
                        <c:v>6</c:v>
                      </c:pt>
                      <c:pt idx="51">
                        <c:v>10</c:v>
                      </c:pt>
                      <c:pt idx="52">
                        <c:v>6</c:v>
                      </c:pt>
                      <c:pt idx="53">
                        <c:v>3</c:v>
                      </c:pt>
                      <c:pt idx="54">
                        <c:v>8</c:v>
                      </c:pt>
                      <c:pt idx="55">
                        <c:v>3</c:v>
                      </c:pt>
                      <c:pt idx="56">
                        <c:v>2</c:v>
                      </c:pt>
                      <c:pt idx="57">
                        <c:v>7</c:v>
                      </c:pt>
                      <c:pt idx="58">
                        <c:v>9</c:v>
                      </c:pt>
                      <c:pt idx="59">
                        <c:v>10</c:v>
                      </c:pt>
                      <c:pt idx="60">
                        <c:v>12</c:v>
                      </c:pt>
                      <c:pt idx="61">
                        <c:v>24</c:v>
                      </c:pt>
                      <c:pt idx="62">
                        <c:v>16</c:v>
                      </c:pt>
                      <c:pt idx="63">
                        <c:v>27</c:v>
                      </c:pt>
                      <c:pt idx="64">
                        <c:v>9</c:v>
                      </c:pt>
                      <c:pt idx="65">
                        <c:v>12</c:v>
                      </c:pt>
                      <c:pt idx="66">
                        <c:v>45</c:v>
                      </c:pt>
                      <c:pt idx="67">
                        <c:v>17</c:v>
                      </c:pt>
                      <c:pt idx="68">
                        <c:v>9</c:v>
                      </c:pt>
                      <c:pt idx="69">
                        <c:v>17</c:v>
                      </c:pt>
                      <c:pt idx="70">
                        <c:v>107</c:v>
                      </c:pt>
                      <c:pt idx="71">
                        <c:v>7</c:v>
                      </c:pt>
                      <c:pt idx="72">
                        <c:v>12</c:v>
                      </c:pt>
                      <c:pt idx="73">
                        <c:v>10</c:v>
                      </c:pt>
                      <c:pt idx="74">
                        <c:v>15</c:v>
                      </c:pt>
                      <c:pt idx="75">
                        <c:v>14</c:v>
                      </c:pt>
                      <c:pt idx="76">
                        <c:v>11</c:v>
                      </c:pt>
                      <c:pt idx="77">
                        <c:v>15</c:v>
                      </c:pt>
                      <c:pt idx="78">
                        <c:v>11</c:v>
                      </c:pt>
                      <c:pt idx="79">
                        <c:v>24</c:v>
                      </c:pt>
                      <c:pt idx="80">
                        <c:v>7</c:v>
                      </c:pt>
                      <c:pt idx="81">
                        <c:v>7</c:v>
                      </c:pt>
                      <c:pt idx="82">
                        <c:v>12</c:v>
                      </c:pt>
                      <c:pt idx="83">
                        <c:v>24</c:v>
                      </c:pt>
                      <c:pt idx="84">
                        <c:v>17</c:v>
                      </c:pt>
                      <c:pt idx="85">
                        <c:v>18</c:v>
                      </c:pt>
                      <c:pt idx="86">
                        <c:v>30</c:v>
                      </c:pt>
                      <c:pt idx="87">
                        <c:v>35</c:v>
                      </c:pt>
                      <c:pt idx="88">
                        <c:v>51</c:v>
                      </c:pt>
                      <c:pt idx="89">
                        <c:v>33</c:v>
                      </c:pt>
                      <c:pt idx="90">
                        <c:v>26</c:v>
                      </c:pt>
                      <c:pt idx="91">
                        <c:v>16</c:v>
                      </c:pt>
                      <c:pt idx="92">
                        <c:v>5</c:v>
                      </c:pt>
                      <c:pt idx="93">
                        <c:v>9</c:v>
                      </c:pt>
                      <c:pt idx="94">
                        <c:v>3</c:v>
                      </c:pt>
                      <c:pt idx="95">
                        <c:v>6</c:v>
                      </c:pt>
                      <c:pt idx="96">
                        <c:v>15</c:v>
                      </c:pt>
                      <c:pt idx="97">
                        <c:v>0</c:v>
                      </c:pt>
                      <c:pt idx="98">
                        <c:v>3</c:v>
                      </c:pt>
                      <c:pt idx="99">
                        <c:v>1</c:v>
                      </c:pt>
                      <c:pt idx="100">
                        <c:v>5</c:v>
                      </c:pt>
                      <c:pt idx="101">
                        <c:v>0</c:v>
                      </c:pt>
                      <c:pt idx="102">
                        <c:v>4</c:v>
                      </c:pt>
                      <c:pt idx="103">
                        <c:v>2</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extLst>
                  <c:ext xmlns:c16="http://schemas.microsoft.com/office/drawing/2014/chart" uri="{C3380CC4-5D6E-409C-BE32-E72D297353CC}">
                    <c16:uniqueId val="{00000006-59EC-4B9E-A744-04C251BD2B69}"/>
                  </c:ext>
                </c:extLst>
              </c15:ser>
            </c15:filteredAreaSeries>
            <c15:filteredAreaSeries>
              <c15:ser>
                <c:idx val="5"/>
                <c:order val="5"/>
                <c:tx>
                  <c:strRef>
                    <c:extLst xmlns:c15="http://schemas.microsoft.com/office/drawing/2012/chart">
                      <c:ext xmlns:c15="http://schemas.microsoft.com/office/drawing/2012/chart" uri="{02D57815-91ED-43cb-92C2-25804820EDAC}">
                        <c15:formulaRef>
                          <c15:sqref>G1_Characteristics_WorkToGo!$G$14</c15:sqref>
                        </c15:formulaRef>
                      </c:ext>
                    </c:extLst>
                    <c:strCache>
                      <c:ptCount val="1"/>
                      <c:pt idx="0">
                        <c:v>Hammocks</c:v>
                      </c:pt>
                    </c:strCache>
                  </c:strRef>
                </c:tx>
                <c:spPr>
                  <a:solidFill>
                    <a:schemeClr val="bg1">
                      <a:lumMod val="75000"/>
                    </a:schemeClr>
                  </a:solidFill>
                  <a:ln>
                    <a:noFill/>
                  </a:ln>
                  <a:effectLst/>
                </c:spPr>
                <c:cat>
                  <c:numRef>
                    <c:extLst xmlns:c15="http://schemas.microsoft.com/office/drawing/2012/chart">
                      <c:ext xmlns:c15="http://schemas.microsoft.com/office/drawing/2012/char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xmlns:c15="http://schemas.microsoft.com/office/drawing/2012/chart">
                      <c:ext xmlns:c15="http://schemas.microsoft.com/office/drawing/2012/chart" uri="{02D57815-91ED-43cb-92C2-25804820EDAC}">
                        <c15:formulaRef>
                          <c15:sqref>G1_Characteristics_WorkToGo!$H$14:$FT$14</c15:sqref>
                        </c15:formulaRef>
                      </c:ext>
                    </c:extLst>
                    <c:numCache>
                      <c:formatCode>General</c:formatCode>
                      <c:ptCount val="16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extLst xmlns:c15="http://schemas.microsoft.com/office/drawing/2012/chart">
                  <c:ext xmlns:c16="http://schemas.microsoft.com/office/drawing/2014/chart" uri="{C3380CC4-5D6E-409C-BE32-E72D297353CC}">
                    <c16:uniqueId val="{00000000-59EC-4B9E-A744-04C251BD2B69}"/>
                  </c:ext>
                </c:extLst>
              </c15:ser>
            </c15:filteredAreaSeries>
          </c:ext>
        </c:extLst>
      </c:areaChart>
      <c:barChart>
        <c:barDir val="col"/>
        <c:grouping val="stacked"/>
        <c:varyColors val="0"/>
        <c:ser>
          <c:idx val="8"/>
          <c:order val="8"/>
          <c:tx>
            <c:strRef>
              <c:f>G1_Characteristics_WorkToGo!$G$17</c:f>
              <c:strCache>
                <c:ptCount val="1"/>
                <c:pt idx="0">
                  <c:v>Completed Tasks &amp; Milestones</c:v>
                </c:pt>
              </c:strCache>
            </c:strRef>
          </c:tx>
          <c:spPr>
            <a:solidFill>
              <a:schemeClr val="accent6">
                <a:lumMod val="75000"/>
              </a:schemeClr>
            </a:solidFill>
            <a:ln>
              <a:noFill/>
            </a:ln>
            <a:effectLst/>
          </c:spPr>
          <c:invertIfNegative val="0"/>
          <c:cat>
            <c:numRef>
              <c:f>G1_Characteristics_WorkToGo!$H$8:$FT$8</c:f>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f>G1_Characteristics_WorkToGo!$H$17:$FT$17</c:f>
              <c:numCache>
                <c:formatCode>General</c:formatCode>
                <c:ptCount val="169"/>
                <c:pt idx="0">
                  <c:v>371</c:v>
                </c:pt>
                <c:pt idx="1">
                  <c:v>1</c:v>
                </c:pt>
                <c:pt idx="2">
                  <c:v>0</c:v>
                </c:pt>
                <c:pt idx="3">
                  <c:v>1</c:v>
                </c:pt>
                <c:pt idx="4">
                  <c:v>1</c:v>
                </c:pt>
                <c:pt idx="5">
                  <c:v>1</c:v>
                </c:pt>
                <c:pt idx="6">
                  <c:v>3</c:v>
                </c:pt>
                <c:pt idx="7">
                  <c:v>4</c:v>
                </c:pt>
                <c:pt idx="8">
                  <c:v>3</c:v>
                </c:pt>
                <c:pt idx="9">
                  <c:v>1</c:v>
                </c:pt>
                <c:pt idx="10">
                  <c:v>3</c:v>
                </c:pt>
                <c:pt idx="11">
                  <c:v>3</c:v>
                </c:pt>
                <c:pt idx="12">
                  <c:v>6</c:v>
                </c:pt>
                <c:pt idx="13">
                  <c:v>4</c:v>
                </c:pt>
                <c:pt idx="14">
                  <c:v>5</c:v>
                </c:pt>
                <c:pt idx="15">
                  <c:v>8</c:v>
                </c:pt>
                <c:pt idx="16">
                  <c:v>6</c:v>
                </c:pt>
                <c:pt idx="17">
                  <c:v>8</c:v>
                </c:pt>
                <c:pt idx="18">
                  <c:v>6</c:v>
                </c:pt>
                <c:pt idx="19">
                  <c:v>4</c:v>
                </c:pt>
                <c:pt idx="20">
                  <c:v>7</c:v>
                </c:pt>
                <c:pt idx="21">
                  <c:v>10</c:v>
                </c:pt>
                <c:pt idx="22">
                  <c:v>13</c:v>
                </c:pt>
                <c:pt idx="23">
                  <c:v>14</c:v>
                </c:pt>
                <c:pt idx="24">
                  <c:v>15</c:v>
                </c:pt>
                <c:pt idx="25">
                  <c:v>30</c:v>
                </c:pt>
                <c:pt idx="26">
                  <c:v>31</c:v>
                </c:pt>
                <c:pt idx="27">
                  <c:v>20</c:v>
                </c:pt>
                <c:pt idx="28">
                  <c:v>22</c:v>
                </c:pt>
                <c:pt idx="29">
                  <c:v>14</c:v>
                </c:pt>
                <c:pt idx="30">
                  <c:v>12</c:v>
                </c:pt>
                <c:pt idx="31">
                  <c:v>9</c:v>
                </c:pt>
                <c:pt idx="32">
                  <c:v>11</c:v>
                </c:pt>
                <c:pt idx="33">
                  <c:v>20</c:v>
                </c:pt>
                <c:pt idx="34">
                  <c:v>17</c:v>
                </c:pt>
                <c:pt idx="35">
                  <c:v>37</c:v>
                </c:pt>
                <c:pt idx="36">
                  <c:v>47</c:v>
                </c:pt>
                <c:pt idx="37">
                  <c:v>52</c:v>
                </c:pt>
                <c:pt idx="38">
                  <c:v>39</c:v>
                </c:pt>
                <c:pt idx="39">
                  <c:v>50</c:v>
                </c:pt>
                <c:pt idx="40">
                  <c:v>45</c:v>
                </c:pt>
                <c:pt idx="41">
                  <c:v>112</c:v>
                </c:pt>
                <c:pt idx="42">
                  <c:v>102</c:v>
                </c:pt>
                <c:pt idx="43">
                  <c:v>96</c:v>
                </c:pt>
                <c:pt idx="44">
                  <c:v>92</c:v>
                </c:pt>
                <c:pt idx="45">
                  <c:v>88</c:v>
                </c:pt>
                <c:pt idx="46">
                  <c:v>104</c:v>
                </c:pt>
                <c:pt idx="47">
                  <c:v>122</c:v>
                </c:pt>
                <c:pt idx="48">
                  <c:v>110</c:v>
                </c:pt>
                <c:pt idx="49">
                  <c:v>102</c:v>
                </c:pt>
                <c:pt idx="50">
                  <c:v>131</c:v>
                </c:pt>
                <c:pt idx="51">
                  <c:v>130</c:v>
                </c:pt>
                <c:pt idx="52">
                  <c:v>92</c:v>
                </c:pt>
                <c:pt idx="53">
                  <c:v>79</c:v>
                </c:pt>
                <c:pt idx="54">
                  <c:v>108</c:v>
                </c:pt>
                <c:pt idx="55">
                  <c:v>104</c:v>
                </c:pt>
                <c:pt idx="56">
                  <c:v>104</c:v>
                </c:pt>
                <c:pt idx="57">
                  <c:v>155</c:v>
                </c:pt>
                <c:pt idx="58">
                  <c:v>135</c:v>
                </c:pt>
                <c:pt idx="59">
                  <c:v>132</c:v>
                </c:pt>
                <c:pt idx="60">
                  <c:v>135</c:v>
                </c:pt>
                <c:pt idx="61">
                  <c:v>141</c:v>
                </c:pt>
                <c:pt idx="62">
                  <c:v>131</c:v>
                </c:pt>
                <c:pt idx="63">
                  <c:v>137</c:v>
                </c:pt>
                <c:pt idx="64">
                  <c:v>111</c:v>
                </c:pt>
                <c:pt idx="65">
                  <c:v>105</c:v>
                </c:pt>
                <c:pt idx="66">
                  <c:v>157</c:v>
                </c:pt>
                <c:pt idx="67">
                  <c:v>134</c:v>
                </c:pt>
                <c:pt idx="68">
                  <c:v>133</c:v>
                </c:pt>
                <c:pt idx="69">
                  <c:v>161</c:v>
                </c:pt>
                <c:pt idx="70">
                  <c:v>261</c:v>
                </c:pt>
                <c:pt idx="71">
                  <c:v>136</c:v>
                </c:pt>
                <c:pt idx="72">
                  <c:v>138</c:v>
                </c:pt>
                <c:pt idx="73">
                  <c:v>150</c:v>
                </c:pt>
                <c:pt idx="74">
                  <c:v>139</c:v>
                </c:pt>
                <c:pt idx="75">
                  <c:v>126</c:v>
                </c:pt>
                <c:pt idx="76">
                  <c:v>107</c:v>
                </c:pt>
                <c:pt idx="77">
                  <c:v>114</c:v>
                </c:pt>
                <c:pt idx="78">
                  <c:v>114</c:v>
                </c:pt>
                <c:pt idx="79">
                  <c:v>119</c:v>
                </c:pt>
                <c:pt idx="80">
                  <c:v>69</c:v>
                </c:pt>
                <c:pt idx="81">
                  <c:v>78</c:v>
                </c:pt>
                <c:pt idx="82">
                  <c:v>82</c:v>
                </c:pt>
                <c:pt idx="83">
                  <c:v>115</c:v>
                </c:pt>
                <c:pt idx="84">
                  <c:v>88</c:v>
                </c:pt>
                <c:pt idx="85">
                  <c:v>76</c:v>
                </c:pt>
                <c:pt idx="86">
                  <c:v>75</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extLst xmlns:c15="http://schemas.microsoft.com/office/drawing/2012/chart">
            <c:ext xmlns:c16="http://schemas.microsoft.com/office/drawing/2014/chart" uri="{C3380CC4-5D6E-409C-BE32-E72D297353CC}">
              <c16:uniqueId val="{00000002-59EC-4B9E-A744-04C251BD2B69}"/>
            </c:ext>
          </c:extLst>
        </c:ser>
        <c:ser>
          <c:idx val="12"/>
          <c:order val="12"/>
          <c:tx>
            <c:strRef>
              <c:f>G1_Characteristics_WorkToGo!$G$21</c:f>
              <c:strCache>
                <c:ptCount val="1"/>
                <c:pt idx="0">
                  <c:v>Tasks &amp; Milestones (To-Go) - % of Total To-Go</c:v>
                </c:pt>
              </c:strCache>
            </c:strRef>
          </c:tx>
          <c:spPr>
            <a:solidFill>
              <a:schemeClr val="accent1">
                <a:lumMod val="75000"/>
              </a:schemeClr>
            </a:solidFill>
            <a:ln>
              <a:noFill/>
            </a:ln>
            <a:effectLst/>
          </c:spPr>
          <c:invertIfNegative val="0"/>
          <c:cat>
            <c:numRef>
              <c:f>G1_Characteristics_WorkToGo!$H$8:$FT$8</c:f>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f>G1_Characteristics_WorkToGo!$H$21:$FT$21</c:f>
              <c:numCache>
                <c:formatCode>General</c:formatCode>
                <c:ptCount val="16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1</c:v>
                </c:pt>
                <c:pt idx="64">
                  <c:v>1</c:v>
                </c:pt>
                <c:pt idx="65">
                  <c:v>1</c:v>
                </c:pt>
                <c:pt idx="66">
                  <c:v>1</c:v>
                </c:pt>
                <c:pt idx="67">
                  <c:v>1</c:v>
                </c:pt>
                <c:pt idx="68">
                  <c:v>1</c:v>
                </c:pt>
                <c:pt idx="69">
                  <c:v>2</c:v>
                </c:pt>
                <c:pt idx="70">
                  <c:v>3</c:v>
                </c:pt>
                <c:pt idx="71">
                  <c:v>3</c:v>
                </c:pt>
                <c:pt idx="72">
                  <c:v>4</c:v>
                </c:pt>
                <c:pt idx="73">
                  <c:v>4</c:v>
                </c:pt>
                <c:pt idx="74">
                  <c:v>4</c:v>
                </c:pt>
                <c:pt idx="75">
                  <c:v>5</c:v>
                </c:pt>
                <c:pt idx="76">
                  <c:v>5</c:v>
                </c:pt>
                <c:pt idx="77">
                  <c:v>8</c:v>
                </c:pt>
                <c:pt idx="78">
                  <c:v>9</c:v>
                </c:pt>
                <c:pt idx="79">
                  <c:v>11</c:v>
                </c:pt>
                <c:pt idx="80">
                  <c:v>11</c:v>
                </c:pt>
                <c:pt idx="81">
                  <c:v>13</c:v>
                </c:pt>
                <c:pt idx="82">
                  <c:v>16</c:v>
                </c:pt>
                <c:pt idx="83">
                  <c:v>21</c:v>
                </c:pt>
                <c:pt idx="84">
                  <c:v>23</c:v>
                </c:pt>
                <c:pt idx="85">
                  <c:v>25</c:v>
                </c:pt>
                <c:pt idx="86">
                  <c:v>56</c:v>
                </c:pt>
                <c:pt idx="87">
                  <c:v>157</c:v>
                </c:pt>
                <c:pt idx="88">
                  <c:v>148</c:v>
                </c:pt>
                <c:pt idx="89">
                  <c:v>122</c:v>
                </c:pt>
                <c:pt idx="90">
                  <c:v>95</c:v>
                </c:pt>
                <c:pt idx="91">
                  <c:v>61</c:v>
                </c:pt>
                <c:pt idx="92">
                  <c:v>29</c:v>
                </c:pt>
                <c:pt idx="93">
                  <c:v>42</c:v>
                </c:pt>
                <c:pt idx="94">
                  <c:v>24</c:v>
                </c:pt>
                <c:pt idx="95">
                  <c:v>29</c:v>
                </c:pt>
                <c:pt idx="96">
                  <c:v>47</c:v>
                </c:pt>
                <c:pt idx="97">
                  <c:v>11</c:v>
                </c:pt>
                <c:pt idx="98">
                  <c:v>10</c:v>
                </c:pt>
                <c:pt idx="99">
                  <c:v>6</c:v>
                </c:pt>
                <c:pt idx="100">
                  <c:v>9</c:v>
                </c:pt>
                <c:pt idx="101">
                  <c:v>1</c:v>
                </c:pt>
                <c:pt idx="102">
                  <c:v>7</c:v>
                </c:pt>
                <c:pt idx="103">
                  <c:v>3</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extLst xmlns:c15="http://schemas.microsoft.com/office/drawing/2012/chart">
            <c:ext xmlns:c16="http://schemas.microsoft.com/office/drawing/2014/chart" uri="{C3380CC4-5D6E-409C-BE32-E72D297353CC}">
              <c16:uniqueId val="{0000000D-59EC-4B9E-A744-04C251BD2B69}"/>
            </c:ext>
          </c:extLst>
        </c:ser>
        <c:dLbls>
          <c:showLegendKey val="0"/>
          <c:showVal val="0"/>
          <c:showCatName val="0"/>
          <c:showSerName val="0"/>
          <c:showPercent val="0"/>
          <c:showBubbleSize val="0"/>
        </c:dLbls>
        <c:gapWidth val="150"/>
        <c:overlap val="100"/>
        <c:axId val="1413648640"/>
        <c:axId val="1413649056"/>
        <c:extLst>
          <c:ext xmlns:c15="http://schemas.microsoft.com/office/drawing/2012/chart" uri="{02D57815-91ED-43cb-92C2-25804820EDAC}">
            <c15:filteredBarSeries>
              <c15:ser>
                <c:idx val="0"/>
                <c:order val="0"/>
                <c:tx>
                  <c:strRef>
                    <c:extLst>
                      <c:ext uri="{02D57815-91ED-43cb-92C2-25804820EDAC}">
                        <c15:formulaRef>
                          <c15:sqref>G1_Characteristics_WorkToGo!$G$9</c15:sqref>
                        </c15:formulaRef>
                      </c:ext>
                    </c:extLst>
                    <c:strCache>
                      <c:ptCount val="1"/>
                      <c:pt idx="0">
                        <c:v>Status Date</c:v>
                      </c:pt>
                    </c:strCache>
                  </c:strRef>
                </c:tx>
                <c:spPr>
                  <a:solidFill>
                    <a:schemeClr val="accent1"/>
                  </a:solidFill>
                  <a:ln>
                    <a:noFill/>
                  </a:ln>
                  <a:effectLst/>
                </c:spPr>
                <c:invertIfNegative val="0"/>
                <c:cat>
                  <c:numRef>
                    <c:extLst>
                      <c:ex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c:ext uri="{02D57815-91ED-43cb-92C2-25804820EDAC}">
                        <c15:formulaRef>
                          <c15:sqref>G1_Characteristics_WorkToGo!$H$9:$FT$9</c15:sqref>
                        </c15:formulaRef>
                      </c:ext>
                    </c:extLst>
                    <c:numCache>
                      <c:formatCode>m/d/yyyy</c:formatCode>
                      <c:ptCount val="169"/>
                      <c:pt idx="0">
                        <c:v>45746</c:v>
                      </c:pt>
                      <c:pt idx="1">
                        <c:v>45746</c:v>
                      </c:pt>
                      <c:pt idx="2">
                        <c:v>45746</c:v>
                      </c:pt>
                      <c:pt idx="3">
                        <c:v>45746</c:v>
                      </c:pt>
                      <c:pt idx="4">
                        <c:v>45746</c:v>
                      </c:pt>
                      <c:pt idx="5">
                        <c:v>45746</c:v>
                      </c:pt>
                      <c:pt idx="6">
                        <c:v>45746</c:v>
                      </c:pt>
                      <c:pt idx="7">
                        <c:v>45746</c:v>
                      </c:pt>
                      <c:pt idx="8">
                        <c:v>45746</c:v>
                      </c:pt>
                      <c:pt idx="9">
                        <c:v>45746</c:v>
                      </c:pt>
                      <c:pt idx="10">
                        <c:v>45746</c:v>
                      </c:pt>
                      <c:pt idx="11">
                        <c:v>45746</c:v>
                      </c:pt>
                      <c:pt idx="12">
                        <c:v>45746</c:v>
                      </c:pt>
                      <c:pt idx="13">
                        <c:v>45746</c:v>
                      </c:pt>
                      <c:pt idx="14">
                        <c:v>45746</c:v>
                      </c:pt>
                      <c:pt idx="15">
                        <c:v>45746</c:v>
                      </c:pt>
                      <c:pt idx="16">
                        <c:v>45746</c:v>
                      </c:pt>
                      <c:pt idx="17">
                        <c:v>45746</c:v>
                      </c:pt>
                      <c:pt idx="18">
                        <c:v>45746</c:v>
                      </c:pt>
                      <c:pt idx="19">
                        <c:v>45746</c:v>
                      </c:pt>
                      <c:pt idx="20">
                        <c:v>45746</c:v>
                      </c:pt>
                      <c:pt idx="21">
                        <c:v>45746</c:v>
                      </c:pt>
                      <c:pt idx="22">
                        <c:v>45746</c:v>
                      </c:pt>
                      <c:pt idx="23">
                        <c:v>45746</c:v>
                      </c:pt>
                      <c:pt idx="24">
                        <c:v>45746</c:v>
                      </c:pt>
                      <c:pt idx="25">
                        <c:v>45746</c:v>
                      </c:pt>
                      <c:pt idx="26">
                        <c:v>45746</c:v>
                      </c:pt>
                      <c:pt idx="27">
                        <c:v>45746</c:v>
                      </c:pt>
                      <c:pt idx="28">
                        <c:v>45746</c:v>
                      </c:pt>
                      <c:pt idx="29">
                        <c:v>45746</c:v>
                      </c:pt>
                      <c:pt idx="30">
                        <c:v>45746</c:v>
                      </c:pt>
                      <c:pt idx="31">
                        <c:v>45746</c:v>
                      </c:pt>
                      <c:pt idx="32">
                        <c:v>45746</c:v>
                      </c:pt>
                      <c:pt idx="33">
                        <c:v>45746</c:v>
                      </c:pt>
                      <c:pt idx="34">
                        <c:v>45746</c:v>
                      </c:pt>
                      <c:pt idx="35">
                        <c:v>45746</c:v>
                      </c:pt>
                      <c:pt idx="36">
                        <c:v>45746</c:v>
                      </c:pt>
                      <c:pt idx="37">
                        <c:v>45746</c:v>
                      </c:pt>
                      <c:pt idx="38">
                        <c:v>45746</c:v>
                      </c:pt>
                      <c:pt idx="39">
                        <c:v>45746</c:v>
                      </c:pt>
                      <c:pt idx="40">
                        <c:v>45746</c:v>
                      </c:pt>
                      <c:pt idx="41">
                        <c:v>45746</c:v>
                      </c:pt>
                      <c:pt idx="42">
                        <c:v>45746</c:v>
                      </c:pt>
                      <c:pt idx="43">
                        <c:v>45746</c:v>
                      </c:pt>
                      <c:pt idx="44">
                        <c:v>45746</c:v>
                      </c:pt>
                      <c:pt idx="45">
                        <c:v>45746</c:v>
                      </c:pt>
                      <c:pt idx="46">
                        <c:v>45746</c:v>
                      </c:pt>
                      <c:pt idx="47">
                        <c:v>45746</c:v>
                      </c:pt>
                      <c:pt idx="48">
                        <c:v>45746</c:v>
                      </c:pt>
                      <c:pt idx="49">
                        <c:v>45746</c:v>
                      </c:pt>
                      <c:pt idx="50">
                        <c:v>45746</c:v>
                      </c:pt>
                      <c:pt idx="51">
                        <c:v>45746</c:v>
                      </c:pt>
                      <c:pt idx="52">
                        <c:v>45746</c:v>
                      </c:pt>
                      <c:pt idx="53">
                        <c:v>45746</c:v>
                      </c:pt>
                      <c:pt idx="54">
                        <c:v>45746</c:v>
                      </c:pt>
                      <c:pt idx="55">
                        <c:v>45746</c:v>
                      </c:pt>
                      <c:pt idx="56">
                        <c:v>45746</c:v>
                      </c:pt>
                      <c:pt idx="57">
                        <c:v>45746</c:v>
                      </c:pt>
                      <c:pt idx="58">
                        <c:v>45746</c:v>
                      </c:pt>
                      <c:pt idx="59">
                        <c:v>45746</c:v>
                      </c:pt>
                      <c:pt idx="60">
                        <c:v>45746</c:v>
                      </c:pt>
                      <c:pt idx="61">
                        <c:v>45746</c:v>
                      </c:pt>
                      <c:pt idx="62">
                        <c:v>45746</c:v>
                      </c:pt>
                      <c:pt idx="63">
                        <c:v>45746</c:v>
                      </c:pt>
                      <c:pt idx="64">
                        <c:v>45746</c:v>
                      </c:pt>
                      <c:pt idx="65">
                        <c:v>45746</c:v>
                      </c:pt>
                      <c:pt idx="66">
                        <c:v>45746</c:v>
                      </c:pt>
                      <c:pt idx="67">
                        <c:v>45746</c:v>
                      </c:pt>
                      <c:pt idx="68">
                        <c:v>45746</c:v>
                      </c:pt>
                      <c:pt idx="69">
                        <c:v>45746</c:v>
                      </c:pt>
                      <c:pt idx="70">
                        <c:v>45746</c:v>
                      </c:pt>
                      <c:pt idx="71">
                        <c:v>45746</c:v>
                      </c:pt>
                      <c:pt idx="72">
                        <c:v>45746</c:v>
                      </c:pt>
                      <c:pt idx="73">
                        <c:v>45746</c:v>
                      </c:pt>
                      <c:pt idx="74">
                        <c:v>45746</c:v>
                      </c:pt>
                      <c:pt idx="75">
                        <c:v>45746</c:v>
                      </c:pt>
                      <c:pt idx="76">
                        <c:v>45746</c:v>
                      </c:pt>
                      <c:pt idx="77">
                        <c:v>45746</c:v>
                      </c:pt>
                      <c:pt idx="78">
                        <c:v>45746</c:v>
                      </c:pt>
                      <c:pt idx="79">
                        <c:v>45746</c:v>
                      </c:pt>
                      <c:pt idx="80">
                        <c:v>45746</c:v>
                      </c:pt>
                      <c:pt idx="81">
                        <c:v>45746</c:v>
                      </c:pt>
                      <c:pt idx="82">
                        <c:v>45746</c:v>
                      </c:pt>
                      <c:pt idx="83">
                        <c:v>45746</c:v>
                      </c:pt>
                      <c:pt idx="84">
                        <c:v>45746</c:v>
                      </c:pt>
                      <c:pt idx="85">
                        <c:v>45746</c:v>
                      </c:pt>
                      <c:pt idx="86">
                        <c:v>45746</c:v>
                      </c:pt>
                      <c:pt idx="87">
                        <c:v>45746</c:v>
                      </c:pt>
                      <c:pt idx="88">
                        <c:v>45746</c:v>
                      </c:pt>
                      <c:pt idx="89">
                        <c:v>45746</c:v>
                      </c:pt>
                      <c:pt idx="90">
                        <c:v>45746</c:v>
                      </c:pt>
                      <c:pt idx="91">
                        <c:v>45746</c:v>
                      </c:pt>
                      <c:pt idx="92">
                        <c:v>45746</c:v>
                      </c:pt>
                      <c:pt idx="93">
                        <c:v>45746</c:v>
                      </c:pt>
                      <c:pt idx="94">
                        <c:v>45746</c:v>
                      </c:pt>
                      <c:pt idx="95">
                        <c:v>45746</c:v>
                      </c:pt>
                      <c:pt idx="96">
                        <c:v>45746</c:v>
                      </c:pt>
                      <c:pt idx="97">
                        <c:v>45746</c:v>
                      </c:pt>
                      <c:pt idx="98">
                        <c:v>45746</c:v>
                      </c:pt>
                      <c:pt idx="99">
                        <c:v>45746</c:v>
                      </c:pt>
                      <c:pt idx="100">
                        <c:v>45746</c:v>
                      </c:pt>
                      <c:pt idx="101">
                        <c:v>45746</c:v>
                      </c:pt>
                      <c:pt idx="102">
                        <c:v>45746</c:v>
                      </c:pt>
                      <c:pt idx="103">
                        <c:v>45746</c:v>
                      </c:pt>
                      <c:pt idx="104" formatCode="General">
                        <c:v>0</c:v>
                      </c:pt>
                      <c:pt idx="105" formatCode="General">
                        <c:v>0</c:v>
                      </c:pt>
                      <c:pt idx="106" formatCode="General">
                        <c:v>0</c:v>
                      </c:pt>
                      <c:pt idx="107" formatCode="General">
                        <c:v>0</c:v>
                      </c:pt>
                      <c:pt idx="108" formatCode="General">
                        <c:v>0</c:v>
                      </c:pt>
                      <c:pt idx="109" formatCode="General">
                        <c:v>0</c:v>
                      </c:pt>
                      <c:pt idx="110" formatCode="General">
                        <c:v>0</c:v>
                      </c:pt>
                      <c:pt idx="111" formatCode="General">
                        <c:v>0</c:v>
                      </c:pt>
                      <c:pt idx="112" formatCode="General">
                        <c:v>0</c:v>
                      </c:pt>
                      <c:pt idx="113" formatCode="General">
                        <c:v>0</c:v>
                      </c:pt>
                      <c:pt idx="114" formatCode="General">
                        <c:v>0</c:v>
                      </c:pt>
                      <c:pt idx="115" formatCode="General">
                        <c:v>0</c:v>
                      </c:pt>
                      <c:pt idx="116" formatCode="General">
                        <c:v>0</c:v>
                      </c:pt>
                      <c:pt idx="117" formatCode="General">
                        <c:v>0</c:v>
                      </c:pt>
                      <c:pt idx="118" formatCode="General">
                        <c:v>0</c:v>
                      </c:pt>
                      <c:pt idx="119" formatCode="General">
                        <c:v>0</c:v>
                      </c:pt>
                      <c:pt idx="120" formatCode="General">
                        <c:v>0</c:v>
                      </c:pt>
                      <c:pt idx="121" formatCode="General">
                        <c:v>0</c:v>
                      </c:pt>
                      <c:pt idx="122" formatCode="General">
                        <c:v>0</c:v>
                      </c:pt>
                      <c:pt idx="123" formatCode="General">
                        <c:v>0</c:v>
                      </c:pt>
                      <c:pt idx="124" formatCode="General">
                        <c:v>0</c:v>
                      </c:pt>
                      <c:pt idx="125" formatCode="General">
                        <c:v>0</c:v>
                      </c:pt>
                      <c:pt idx="126" formatCode="General">
                        <c:v>0</c:v>
                      </c:pt>
                      <c:pt idx="127" formatCode="General">
                        <c:v>0</c:v>
                      </c:pt>
                      <c:pt idx="128" formatCode="General">
                        <c:v>0</c:v>
                      </c:pt>
                      <c:pt idx="129" formatCode="General">
                        <c:v>0</c:v>
                      </c:pt>
                      <c:pt idx="130" formatCode="General">
                        <c:v>0</c:v>
                      </c:pt>
                      <c:pt idx="131" formatCode="General">
                        <c:v>0</c:v>
                      </c:pt>
                      <c:pt idx="132" formatCode="General">
                        <c:v>0</c:v>
                      </c:pt>
                      <c:pt idx="133" formatCode="General">
                        <c:v>0</c:v>
                      </c:pt>
                      <c:pt idx="134" formatCode="General">
                        <c:v>0</c:v>
                      </c:pt>
                      <c:pt idx="135" formatCode="General">
                        <c:v>0</c:v>
                      </c:pt>
                      <c:pt idx="136" formatCode="General">
                        <c:v>0</c:v>
                      </c:pt>
                      <c:pt idx="137" formatCode="General">
                        <c:v>0</c:v>
                      </c:pt>
                      <c:pt idx="138" formatCode="General">
                        <c:v>0</c:v>
                      </c:pt>
                      <c:pt idx="139" formatCode="General">
                        <c:v>0</c:v>
                      </c:pt>
                      <c:pt idx="140" formatCode="General">
                        <c:v>0</c:v>
                      </c:pt>
                      <c:pt idx="141" formatCode="General">
                        <c:v>0</c:v>
                      </c:pt>
                      <c:pt idx="142" formatCode="General">
                        <c:v>0</c:v>
                      </c:pt>
                      <c:pt idx="143" formatCode="General">
                        <c:v>0</c:v>
                      </c:pt>
                      <c:pt idx="144" formatCode="General">
                        <c:v>0</c:v>
                      </c:pt>
                      <c:pt idx="145" formatCode="General">
                        <c:v>0</c:v>
                      </c:pt>
                      <c:pt idx="146" formatCode="General">
                        <c:v>0</c:v>
                      </c:pt>
                      <c:pt idx="147" formatCode="General">
                        <c:v>0</c:v>
                      </c:pt>
                      <c:pt idx="148" formatCode="General">
                        <c:v>0</c:v>
                      </c:pt>
                      <c:pt idx="149" formatCode="General">
                        <c:v>0</c:v>
                      </c:pt>
                      <c:pt idx="150" formatCode="General">
                        <c:v>0</c:v>
                      </c:pt>
                      <c:pt idx="151" formatCode="General">
                        <c:v>0</c:v>
                      </c:pt>
                      <c:pt idx="152" formatCode="General">
                        <c:v>0</c:v>
                      </c:pt>
                      <c:pt idx="153" formatCode="General">
                        <c:v>0</c:v>
                      </c:pt>
                      <c:pt idx="154" formatCode="General">
                        <c:v>0</c:v>
                      </c:pt>
                      <c:pt idx="155" formatCode="General">
                        <c:v>0</c:v>
                      </c:pt>
                      <c:pt idx="156" formatCode="General">
                        <c:v>0</c:v>
                      </c:pt>
                      <c:pt idx="157" formatCode="General">
                        <c:v>0</c:v>
                      </c:pt>
                      <c:pt idx="158" formatCode="General">
                        <c:v>0</c:v>
                      </c:pt>
                      <c:pt idx="159" formatCode="General">
                        <c:v>0</c:v>
                      </c:pt>
                      <c:pt idx="160" formatCode="General">
                        <c:v>0</c:v>
                      </c:pt>
                      <c:pt idx="161" formatCode="General">
                        <c:v>0</c:v>
                      </c:pt>
                      <c:pt idx="162" formatCode="General">
                        <c:v>0</c:v>
                      </c:pt>
                      <c:pt idx="163" formatCode="General">
                        <c:v>0</c:v>
                      </c:pt>
                      <c:pt idx="164" formatCode="General">
                        <c:v>0</c:v>
                      </c:pt>
                      <c:pt idx="165" formatCode="General">
                        <c:v>0</c:v>
                      </c:pt>
                      <c:pt idx="166" formatCode="General">
                        <c:v>0</c:v>
                      </c:pt>
                      <c:pt idx="167" formatCode="General">
                        <c:v>0</c:v>
                      </c:pt>
                      <c:pt idx="168" formatCode="General">
                        <c:v>0</c:v>
                      </c:pt>
                    </c:numCache>
                  </c:numRef>
                </c:val>
                <c:extLst>
                  <c:ext xmlns:c16="http://schemas.microsoft.com/office/drawing/2014/chart" uri="{C3380CC4-5D6E-409C-BE32-E72D297353CC}">
                    <c16:uniqueId val="{00000004-59EC-4B9E-A744-04C251BD2B69}"/>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G1_Characteristics_WorkToGo!$G$10</c15:sqref>
                        </c15:formulaRef>
                      </c:ext>
                    </c:extLst>
                    <c:strCache>
                      <c:ptCount val="1"/>
                      <c:pt idx="0">
                        <c:v>Total Activities</c:v>
                      </c:pt>
                    </c:strCache>
                  </c:strRef>
                </c:tx>
                <c:spPr>
                  <a:solidFill>
                    <a:schemeClr val="accent2"/>
                  </a:solidFill>
                  <a:ln>
                    <a:noFill/>
                  </a:ln>
                  <a:effectLst/>
                </c:spPr>
                <c:invertIfNegative val="0"/>
                <c:cat>
                  <c:numRef>
                    <c:extLst xmlns:c15="http://schemas.microsoft.com/office/drawing/2012/chart">
                      <c:ext xmlns:c15="http://schemas.microsoft.com/office/drawing/2012/char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xmlns:c15="http://schemas.microsoft.com/office/drawing/2012/chart">
                      <c:ext xmlns:c15="http://schemas.microsoft.com/office/drawing/2012/chart" uri="{02D57815-91ED-43cb-92C2-25804820EDAC}">
                        <c15:formulaRef>
                          <c15:sqref>G1_Characteristics_WorkToGo!$H$10:$FT$10</c15:sqref>
                        </c15:formulaRef>
                      </c:ext>
                    </c:extLst>
                    <c:numCache>
                      <c:formatCode>General</c:formatCode>
                      <c:ptCount val="169"/>
                      <c:pt idx="0">
                        <c:v>474</c:v>
                      </c:pt>
                      <c:pt idx="1">
                        <c:v>82</c:v>
                      </c:pt>
                      <c:pt idx="2">
                        <c:v>81</c:v>
                      </c:pt>
                      <c:pt idx="3">
                        <c:v>85</c:v>
                      </c:pt>
                      <c:pt idx="4">
                        <c:v>85</c:v>
                      </c:pt>
                      <c:pt idx="5">
                        <c:v>85</c:v>
                      </c:pt>
                      <c:pt idx="6">
                        <c:v>87</c:v>
                      </c:pt>
                      <c:pt idx="7">
                        <c:v>88</c:v>
                      </c:pt>
                      <c:pt idx="8">
                        <c:v>87</c:v>
                      </c:pt>
                      <c:pt idx="9">
                        <c:v>85</c:v>
                      </c:pt>
                      <c:pt idx="10">
                        <c:v>87</c:v>
                      </c:pt>
                      <c:pt idx="11">
                        <c:v>87</c:v>
                      </c:pt>
                      <c:pt idx="12">
                        <c:v>94</c:v>
                      </c:pt>
                      <c:pt idx="13">
                        <c:v>92</c:v>
                      </c:pt>
                      <c:pt idx="14">
                        <c:v>94</c:v>
                      </c:pt>
                      <c:pt idx="15">
                        <c:v>97</c:v>
                      </c:pt>
                      <c:pt idx="16">
                        <c:v>95</c:v>
                      </c:pt>
                      <c:pt idx="17">
                        <c:v>99</c:v>
                      </c:pt>
                      <c:pt idx="18">
                        <c:v>96</c:v>
                      </c:pt>
                      <c:pt idx="19">
                        <c:v>95</c:v>
                      </c:pt>
                      <c:pt idx="20">
                        <c:v>99</c:v>
                      </c:pt>
                      <c:pt idx="21">
                        <c:v>103</c:v>
                      </c:pt>
                      <c:pt idx="22">
                        <c:v>109</c:v>
                      </c:pt>
                      <c:pt idx="23">
                        <c:v>111</c:v>
                      </c:pt>
                      <c:pt idx="24">
                        <c:v>115</c:v>
                      </c:pt>
                      <c:pt idx="25">
                        <c:v>131</c:v>
                      </c:pt>
                      <c:pt idx="26">
                        <c:v>132</c:v>
                      </c:pt>
                      <c:pt idx="27">
                        <c:v>120</c:v>
                      </c:pt>
                      <c:pt idx="28">
                        <c:v>123</c:v>
                      </c:pt>
                      <c:pt idx="29">
                        <c:v>115</c:v>
                      </c:pt>
                      <c:pt idx="30">
                        <c:v>113</c:v>
                      </c:pt>
                      <c:pt idx="31">
                        <c:v>110</c:v>
                      </c:pt>
                      <c:pt idx="32">
                        <c:v>112</c:v>
                      </c:pt>
                      <c:pt idx="33">
                        <c:v>124</c:v>
                      </c:pt>
                      <c:pt idx="34">
                        <c:v>120</c:v>
                      </c:pt>
                      <c:pt idx="35">
                        <c:v>148</c:v>
                      </c:pt>
                      <c:pt idx="36">
                        <c:v>158</c:v>
                      </c:pt>
                      <c:pt idx="37">
                        <c:v>169</c:v>
                      </c:pt>
                      <c:pt idx="38">
                        <c:v>159</c:v>
                      </c:pt>
                      <c:pt idx="39">
                        <c:v>165</c:v>
                      </c:pt>
                      <c:pt idx="40">
                        <c:v>160</c:v>
                      </c:pt>
                      <c:pt idx="41">
                        <c:v>264</c:v>
                      </c:pt>
                      <c:pt idx="42">
                        <c:v>258</c:v>
                      </c:pt>
                      <c:pt idx="43">
                        <c:v>253</c:v>
                      </c:pt>
                      <c:pt idx="44">
                        <c:v>246</c:v>
                      </c:pt>
                      <c:pt idx="45">
                        <c:v>246</c:v>
                      </c:pt>
                      <c:pt idx="46">
                        <c:v>281</c:v>
                      </c:pt>
                      <c:pt idx="47">
                        <c:v>302</c:v>
                      </c:pt>
                      <c:pt idx="48">
                        <c:v>283</c:v>
                      </c:pt>
                      <c:pt idx="49">
                        <c:v>276</c:v>
                      </c:pt>
                      <c:pt idx="50">
                        <c:v>313</c:v>
                      </c:pt>
                      <c:pt idx="51">
                        <c:v>303</c:v>
                      </c:pt>
                      <c:pt idx="52">
                        <c:v>252</c:v>
                      </c:pt>
                      <c:pt idx="53">
                        <c:v>241</c:v>
                      </c:pt>
                      <c:pt idx="54">
                        <c:v>273</c:v>
                      </c:pt>
                      <c:pt idx="55">
                        <c:v>267</c:v>
                      </c:pt>
                      <c:pt idx="56">
                        <c:v>271</c:v>
                      </c:pt>
                      <c:pt idx="57">
                        <c:v>337</c:v>
                      </c:pt>
                      <c:pt idx="58">
                        <c:v>323</c:v>
                      </c:pt>
                      <c:pt idx="59">
                        <c:v>318</c:v>
                      </c:pt>
                      <c:pt idx="60">
                        <c:v>330</c:v>
                      </c:pt>
                      <c:pt idx="61">
                        <c:v>333</c:v>
                      </c:pt>
                      <c:pt idx="62">
                        <c:v>315</c:v>
                      </c:pt>
                      <c:pt idx="63">
                        <c:v>322</c:v>
                      </c:pt>
                      <c:pt idx="64">
                        <c:v>290</c:v>
                      </c:pt>
                      <c:pt idx="65">
                        <c:v>284</c:v>
                      </c:pt>
                      <c:pt idx="66">
                        <c:v>329</c:v>
                      </c:pt>
                      <c:pt idx="67">
                        <c:v>305</c:v>
                      </c:pt>
                      <c:pt idx="68">
                        <c:v>306</c:v>
                      </c:pt>
                      <c:pt idx="69">
                        <c:v>346</c:v>
                      </c:pt>
                      <c:pt idx="70">
                        <c:v>442</c:v>
                      </c:pt>
                      <c:pt idx="71">
                        <c:v>316</c:v>
                      </c:pt>
                      <c:pt idx="72">
                        <c:v>319</c:v>
                      </c:pt>
                      <c:pt idx="73">
                        <c:v>331</c:v>
                      </c:pt>
                      <c:pt idx="74">
                        <c:v>322</c:v>
                      </c:pt>
                      <c:pt idx="75">
                        <c:v>307</c:v>
                      </c:pt>
                      <c:pt idx="76">
                        <c:v>284</c:v>
                      </c:pt>
                      <c:pt idx="77">
                        <c:v>297</c:v>
                      </c:pt>
                      <c:pt idx="78">
                        <c:v>303</c:v>
                      </c:pt>
                      <c:pt idx="79">
                        <c:v>310</c:v>
                      </c:pt>
                      <c:pt idx="80">
                        <c:v>248</c:v>
                      </c:pt>
                      <c:pt idx="81">
                        <c:v>265</c:v>
                      </c:pt>
                      <c:pt idx="82">
                        <c:v>273</c:v>
                      </c:pt>
                      <c:pt idx="83">
                        <c:v>313</c:v>
                      </c:pt>
                      <c:pt idx="84">
                        <c:v>281</c:v>
                      </c:pt>
                      <c:pt idx="85">
                        <c:v>265</c:v>
                      </c:pt>
                      <c:pt idx="86">
                        <c:v>292</c:v>
                      </c:pt>
                      <c:pt idx="87">
                        <c:v>296</c:v>
                      </c:pt>
                      <c:pt idx="88">
                        <c:v>279</c:v>
                      </c:pt>
                      <c:pt idx="89">
                        <c:v>241</c:v>
                      </c:pt>
                      <c:pt idx="90">
                        <c:v>181</c:v>
                      </c:pt>
                      <c:pt idx="91">
                        <c:v>126</c:v>
                      </c:pt>
                      <c:pt idx="92">
                        <c:v>78</c:v>
                      </c:pt>
                      <c:pt idx="93">
                        <c:v>92</c:v>
                      </c:pt>
                      <c:pt idx="94">
                        <c:v>59</c:v>
                      </c:pt>
                      <c:pt idx="95">
                        <c:v>62</c:v>
                      </c:pt>
                      <c:pt idx="96">
                        <c:v>74</c:v>
                      </c:pt>
                      <c:pt idx="97">
                        <c:v>24</c:v>
                      </c:pt>
                      <c:pt idx="98">
                        <c:v>24</c:v>
                      </c:pt>
                      <c:pt idx="99">
                        <c:v>16</c:v>
                      </c:pt>
                      <c:pt idx="100">
                        <c:v>19</c:v>
                      </c:pt>
                      <c:pt idx="101">
                        <c:v>4</c:v>
                      </c:pt>
                      <c:pt idx="102">
                        <c:v>10</c:v>
                      </c:pt>
                      <c:pt idx="103">
                        <c:v>6</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extLst xmlns:c15="http://schemas.microsoft.com/office/drawing/2012/chart">
                  <c:ext xmlns:c16="http://schemas.microsoft.com/office/drawing/2014/chart" uri="{C3380CC4-5D6E-409C-BE32-E72D297353CC}">
                    <c16:uniqueId val="{00000005-59EC-4B9E-A744-04C251BD2B69}"/>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G1_Characteristics_WorkToGo!$G$12</c15:sqref>
                        </c15:formulaRef>
                      </c:ext>
                    </c:extLst>
                    <c:strCache>
                      <c:ptCount val="1"/>
                      <c:pt idx="0">
                        <c:v>Normal Tasks</c:v>
                      </c:pt>
                    </c:strCache>
                  </c:strRef>
                </c:tx>
                <c:spPr>
                  <a:solidFill>
                    <a:schemeClr val="accent4"/>
                  </a:solidFill>
                  <a:ln>
                    <a:noFill/>
                  </a:ln>
                  <a:effectLst/>
                </c:spPr>
                <c:invertIfNegative val="0"/>
                <c:cat>
                  <c:numRef>
                    <c:extLst xmlns:c15="http://schemas.microsoft.com/office/drawing/2012/chart">
                      <c:ext xmlns:c15="http://schemas.microsoft.com/office/drawing/2012/char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xmlns:c15="http://schemas.microsoft.com/office/drawing/2012/chart">
                      <c:ext xmlns:c15="http://schemas.microsoft.com/office/drawing/2012/chart" uri="{02D57815-91ED-43cb-92C2-25804820EDAC}">
                        <c15:formulaRef>
                          <c15:sqref>G1_Characteristics_WorkToGo!$H$12:$FT$12</c15:sqref>
                        </c15:formulaRef>
                      </c:ext>
                    </c:extLst>
                    <c:numCache>
                      <c:formatCode>General</c:formatCode>
                      <c:ptCount val="169"/>
                      <c:pt idx="0">
                        <c:v>8</c:v>
                      </c:pt>
                      <c:pt idx="1">
                        <c:v>1</c:v>
                      </c:pt>
                      <c:pt idx="2">
                        <c:v>0</c:v>
                      </c:pt>
                      <c:pt idx="3">
                        <c:v>1</c:v>
                      </c:pt>
                      <c:pt idx="4">
                        <c:v>1</c:v>
                      </c:pt>
                      <c:pt idx="5">
                        <c:v>1</c:v>
                      </c:pt>
                      <c:pt idx="6">
                        <c:v>3</c:v>
                      </c:pt>
                      <c:pt idx="7">
                        <c:v>4</c:v>
                      </c:pt>
                      <c:pt idx="8">
                        <c:v>3</c:v>
                      </c:pt>
                      <c:pt idx="9">
                        <c:v>1</c:v>
                      </c:pt>
                      <c:pt idx="10">
                        <c:v>3</c:v>
                      </c:pt>
                      <c:pt idx="11">
                        <c:v>3</c:v>
                      </c:pt>
                      <c:pt idx="12">
                        <c:v>4</c:v>
                      </c:pt>
                      <c:pt idx="13">
                        <c:v>4</c:v>
                      </c:pt>
                      <c:pt idx="14">
                        <c:v>5</c:v>
                      </c:pt>
                      <c:pt idx="15">
                        <c:v>8</c:v>
                      </c:pt>
                      <c:pt idx="16">
                        <c:v>6</c:v>
                      </c:pt>
                      <c:pt idx="17">
                        <c:v>8</c:v>
                      </c:pt>
                      <c:pt idx="18">
                        <c:v>5</c:v>
                      </c:pt>
                      <c:pt idx="19">
                        <c:v>4</c:v>
                      </c:pt>
                      <c:pt idx="20">
                        <c:v>6</c:v>
                      </c:pt>
                      <c:pt idx="21">
                        <c:v>10</c:v>
                      </c:pt>
                      <c:pt idx="22">
                        <c:v>12</c:v>
                      </c:pt>
                      <c:pt idx="23">
                        <c:v>13</c:v>
                      </c:pt>
                      <c:pt idx="24">
                        <c:v>15</c:v>
                      </c:pt>
                      <c:pt idx="25">
                        <c:v>29</c:v>
                      </c:pt>
                      <c:pt idx="26">
                        <c:v>29</c:v>
                      </c:pt>
                      <c:pt idx="27">
                        <c:v>20</c:v>
                      </c:pt>
                      <c:pt idx="28">
                        <c:v>22</c:v>
                      </c:pt>
                      <c:pt idx="29">
                        <c:v>14</c:v>
                      </c:pt>
                      <c:pt idx="30">
                        <c:v>10</c:v>
                      </c:pt>
                      <c:pt idx="31">
                        <c:v>9</c:v>
                      </c:pt>
                      <c:pt idx="32">
                        <c:v>11</c:v>
                      </c:pt>
                      <c:pt idx="33">
                        <c:v>19</c:v>
                      </c:pt>
                      <c:pt idx="34">
                        <c:v>17</c:v>
                      </c:pt>
                      <c:pt idx="35">
                        <c:v>35</c:v>
                      </c:pt>
                      <c:pt idx="36">
                        <c:v>43</c:v>
                      </c:pt>
                      <c:pt idx="37">
                        <c:v>43</c:v>
                      </c:pt>
                      <c:pt idx="38">
                        <c:v>39</c:v>
                      </c:pt>
                      <c:pt idx="39">
                        <c:v>47</c:v>
                      </c:pt>
                      <c:pt idx="40">
                        <c:v>43</c:v>
                      </c:pt>
                      <c:pt idx="41">
                        <c:v>82</c:v>
                      </c:pt>
                      <c:pt idx="42">
                        <c:v>94</c:v>
                      </c:pt>
                      <c:pt idx="43">
                        <c:v>95</c:v>
                      </c:pt>
                      <c:pt idx="44">
                        <c:v>90</c:v>
                      </c:pt>
                      <c:pt idx="45">
                        <c:v>83</c:v>
                      </c:pt>
                      <c:pt idx="46">
                        <c:v>96</c:v>
                      </c:pt>
                      <c:pt idx="47">
                        <c:v>109</c:v>
                      </c:pt>
                      <c:pt idx="48">
                        <c:v>100</c:v>
                      </c:pt>
                      <c:pt idx="49">
                        <c:v>94</c:v>
                      </c:pt>
                      <c:pt idx="50">
                        <c:v>125</c:v>
                      </c:pt>
                      <c:pt idx="51">
                        <c:v>120</c:v>
                      </c:pt>
                      <c:pt idx="52">
                        <c:v>86</c:v>
                      </c:pt>
                      <c:pt idx="53">
                        <c:v>76</c:v>
                      </c:pt>
                      <c:pt idx="54">
                        <c:v>100</c:v>
                      </c:pt>
                      <c:pt idx="55">
                        <c:v>101</c:v>
                      </c:pt>
                      <c:pt idx="56">
                        <c:v>102</c:v>
                      </c:pt>
                      <c:pt idx="57">
                        <c:v>148</c:v>
                      </c:pt>
                      <c:pt idx="58">
                        <c:v>126</c:v>
                      </c:pt>
                      <c:pt idx="59">
                        <c:v>122</c:v>
                      </c:pt>
                      <c:pt idx="60">
                        <c:v>123</c:v>
                      </c:pt>
                      <c:pt idx="61">
                        <c:v>117</c:v>
                      </c:pt>
                      <c:pt idx="62">
                        <c:v>115</c:v>
                      </c:pt>
                      <c:pt idx="63">
                        <c:v>111</c:v>
                      </c:pt>
                      <c:pt idx="64">
                        <c:v>103</c:v>
                      </c:pt>
                      <c:pt idx="65">
                        <c:v>94</c:v>
                      </c:pt>
                      <c:pt idx="66">
                        <c:v>113</c:v>
                      </c:pt>
                      <c:pt idx="67">
                        <c:v>118</c:v>
                      </c:pt>
                      <c:pt idx="68">
                        <c:v>125</c:v>
                      </c:pt>
                      <c:pt idx="69">
                        <c:v>146</c:v>
                      </c:pt>
                      <c:pt idx="70">
                        <c:v>157</c:v>
                      </c:pt>
                      <c:pt idx="71">
                        <c:v>132</c:v>
                      </c:pt>
                      <c:pt idx="72">
                        <c:v>130</c:v>
                      </c:pt>
                      <c:pt idx="73">
                        <c:v>144</c:v>
                      </c:pt>
                      <c:pt idx="74">
                        <c:v>128</c:v>
                      </c:pt>
                      <c:pt idx="75">
                        <c:v>117</c:v>
                      </c:pt>
                      <c:pt idx="76">
                        <c:v>101</c:v>
                      </c:pt>
                      <c:pt idx="77">
                        <c:v>107</c:v>
                      </c:pt>
                      <c:pt idx="78">
                        <c:v>112</c:v>
                      </c:pt>
                      <c:pt idx="79">
                        <c:v>106</c:v>
                      </c:pt>
                      <c:pt idx="80">
                        <c:v>73</c:v>
                      </c:pt>
                      <c:pt idx="81">
                        <c:v>84</c:v>
                      </c:pt>
                      <c:pt idx="82">
                        <c:v>86</c:v>
                      </c:pt>
                      <c:pt idx="83">
                        <c:v>112</c:v>
                      </c:pt>
                      <c:pt idx="84">
                        <c:v>94</c:v>
                      </c:pt>
                      <c:pt idx="85">
                        <c:v>83</c:v>
                      </c:pt>
                      <c:pt idx="86">
                        <c:v>101</c:v>
                      </c:pt>
                      <c:pt idx="87">
                        <c:v>122</c:v>
                      </c:pt>
                      <c:pt idx="88">
                        <c:v>97</c:v>
                      </c:pt>
                      <c:pt idx="89">
                        <c:v>89</c:v>
                      </c:pt>
                      <c:pt idx="90">
                        <c:v>69</c:v>
                      </c:pt>
                      <c:pt idx="91">
                        <c:v>45</c:v>
                      </c:pt>
                      <c:pt idx="92">
                        <c:v>24</c:v>
                      </c:pt>
                      <c:pt idx="93">
                        <c:v>33</c:v>
                      </c:pt>
                      <c:pt idx="94">
                        <c:v>21</c:v>
                      </c:pt>
                      <c:pt idx="95">
                        <c:v>23</c:v>
                      </c:pt>
                      <c:pt idx="96">
                        <c:v>32</c:v>
                      </c:pt>
                      <c:pt idx="97">
                        <c:v>11</c:v>
                      </c:pt>
                      <c:pt idx="98">
                        <c:v>7</c:v>
                      </c:pt>
                      <c:pt idx="99">
                        <c:v>5</c:v>
                      </c:pt>
                      <c:pt idx="100">
                        <c:v>4</c:v>
                      </c:pt>
                      <c:pt idx="101">
                        <c:v>1</c:v>
                      </c:pt>
                      <c:pt idx="102">
                        <c:v>3</c:v>
                      </c:pt>
                      <c:pt idx="103">
                        <c:v>1</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extLst xmlns:c15="http://schemas.microsoft.com/office/drawing/2012/chart">
                  <c:ext xmlns:c16="http://schemas.microsoft.com/office/drawing/2014/chart" uri="{C3380CC4-5D6E-409C-BE32-E72D297353CC}">
                    <c16:uniqueId val="{00000007-59EC-4B9E-A744-04C251BD2B69}"/>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G1_Characteristics_WorkToGo!$G$13</c15:sqref>
                        </c15:formulaRef>
                      </c:ext>
                    </c:extLst>
                    <c:strCache>
                      <c:ptCount val="1"/>
                      <c:pt idx="0">
                        <c:v>Summaries</c:v>
                      </c:pt>
                    </c:strCache>
                  </c:strRef>
                </c:tx>
                <c:spPr>
                  <a:solidFill>
                    <a:schemeClr val="accent5"/>
                  </a:solidFill>
                  <a:ln>
                    <a:noFill/>
                  </a:ln>
                  <a:effectLst/>
                </c:spPr>
                <c:invertIfNegative val="0"/>
                <c:cat>
                  <c:numRef>
                    <c:extLst xmlns:c15="http://schemas.microsoft.com/office/drawing/2012/chart">
                      <c:ext xmlns:c15="http://schemas.microsoft.com/office/drawing/2012/char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xmlns:c15="http://schemas.microsoft.com/office/drawing/2012/chart">
                      <c:ext xmlns:c15="http://schemas.microsoft.com/office/drawing/2012/chart" uri="{02D57815-91ED-43cb-92C2-25804820EDAC}">
                        <c15:formulaRef>
                          <c15:sqref>G1_Characteristics_WorkToGo!$H$13:$FT$13</c15:sqref>
                        </c15:formulaRef>
                      </c:ext>
                    </c:extLst>
                    <c:numCache>
                      <c:formatCode>General</c:formatCode>
                      <c:ptCount val="169"/>
                      <c:pt idx="0">
                        <c:v>103</c:v>
                      </c:pt>
                      <c:pt idx="1">
                        <c:v>81</c:v>
                      </c:pt>
                      <c:pt idx="2">
                        <c:v>81</c:v>
                      </c:pt>
                      <c:pt idx="3">
                        <c:v>84</c:v>
                      </c:pt>
                      <c:pt idx="4">
                        <c:v>84</c:v>
                      </c:pt>
                      <c:pt idx="5">
                        <c:v>84</c:v>
                      </c:pt>
                      <c:pt idx="6">
                        <c:v>84</c:v>
                      </c:pt>
                      <c:pt idx="7">
                        <c:v>84</c:v>
                      </c:pt>
                      <c:pt idx="8">
                        <c:v>84</c:v>
                      </c:pt>
                      <c:pt idx="9">
                        <c:v>84</c:v>
                      </c:pt>
                      <c:pt idx="10">
                        <c:v>84</c:v>
                      </c:pt>
                      <c:pt idx="11">
                        <c:v>84</c:v>
                      </c:pt>
                      <c:pt idx="12">
                        <c:v>88</c:v>
                      </c:pt>
                      <c:pt idx="13">
                        <c:v>88</c:v>
                      </c:pt>
                      <c:pt idx="14">
                        <c:v>89</c:v>
                      </c:pt>
                      <c:pt idx="15">
                        <c:v>89</c:v>
                      </c:pt>
                      <c:pt idx="16">
                        <c:v>89</c:v>
                      </c:pt>
                      <c:pt idx="17">
                        <c:v>91</c:v>
                      </c:pt>
                      <c:pt idx="18">
                        <c:v>90</c:v>
                      </c:pt>
                      <c:pt idx="19">
                        <c:v>91</c:v>
                      </c:pt>
                      <c:pt idx="20">
                        <c:v>92</c:v>
                      </c:pt>
                      <c:pt idx="21">
                        <c:v>93</c:v>
                      </c:pt>
                      <c:pt idx="22">
                        <c:v>96</c:v>
                      </c:pt>
                      <c:pt idx="23">
                        <c:v>97</c:v>
                      </c:pt>
                      <c:pt idx="24">
                        <c:v>100</c:v>
                      </c:pt>
                      <c:pt idx="25">
                        <c:v>101</c:v>
                      </c:pt>
                      <c:pt idx="26">
                        <c:v>101</c:v>
                      </c:pt>
                      <c:pt idx="27">
                        <c:v>100</c:v>
                      </c:pt>
                      <c:pt idx="28">
                        <c:v>101</c:v>
                      </c:pt>
                      <c:pt idx="29">
                        <c:v>101</c:v>
                      </c:pt>
                      <c:pt idx="30">
                        <c:v>101</c:v>
                      </c:pt>
                      <c:pt idx="31">
                        <c:v>101</c:v>
                      </c:pt>
                      <c:pt idx="32">
                        <c:v>101</c:v>
                      </c:pt>
                      <c:pt idx="33">
                        <c:v>104</c:v>
                      </c:pt>
                      <c:pt idx="34">
                        <c:v>103</c:v>
                      </c:pt>
                      <c:pt idx="35">
                        <c:v>111</c:v>
                      </c:pt>
                      <c:pt idx="36">
                        <c:v>111</c:v>
                      </c:pt>
                      <c:pt idx="37">
                        <c:v>117</c:v>
                      </c:pt>
                      <c:pt idx="38">
                        <c:v>120</c:v>
                      </c:pt>
                      <c:pt idx="39">
                        <c:v>115</c:v>
                      </c:pt>
                      <c:pt idx="40">
                        <c:v>115</c:v>
                      </c:pt>
                      <c:pt idx="41">
                        <c:v>152</c:v>
                      </c:pt>
                      <c:pt idx="42">
                        <c:v>156</c:v>
                      </c:pt>
                      <c:pt idx="43">
                        <c:v>157</c:v>
                      </c:pt>
                      <c:pt idx="44">
                        <c:v>154</c:v>
                      </c:pt>
                      <c:pt idx="45">
                        <c:v>158</c:v>
                      </c:pt>
                      <c:pt idx="46">
                        <c:v>177</c:v>
                      </c:pt>
                      <c:pt idx="47">
                        <c:v>180</c:v>
                      </c:pt>
                      <c:pt idx="48">
                        <c:v>173</c:v>
                      </c:pt>
                      <c:pt idx="49">
                        <c:v>174</c:v>
                      </c:pt>
                      <c:pt idx="50">
                        <c:v>182</c:v>
                      </c:pt>
                      <c:pt idx="51">
                        <c:v>173</c:v>
                      </c:pt>
                      <c:pt idx="52">
                        <c:v>160</c:v>
                      </c:pt>
                      <c:pt idx="53">
                        <c:v>162</c:v>
                      </c:pt>
                      <c:pt idx="54">
                        <c:v>165</c:v>
                      </c:pt>
                      <c:pt idx="55">
                        <c:v>163</c:v>
                      </c:pt>
                      <c:pt idx="56">
                        <c:v>167</c:v>
                      </c:pt>
                      <c:pt idx="57">
                        <c:v>182</c:v>
                      </c:pt>
                      <c:pt idx="58">
                        <c:v>188</c:v>
                      </c:pt>
                      <c:pt idx="59">
                        <c:v>186</c:v>
                      </c:pt>
                      <c:pt idx="60">
                        <c:v>195</c:v>
                      </c:pt>
                      <c:pt idx="61">
                        <c:v>192</c:v>
                      </c:pt>
                      <c:pt idx="62">
                        <c:v>184</c:v>
                      </c:pt>
                      <c:pt idx="63">
                        <c:v>184</c:v>
                      </c:pt>
                      <c:pt idx="64">
                        <c:v>178</c:v>
                      </c:pt>
                      <c:pt idx="65">
                        <c:v>178</c:v>
                      </c:pt>
                      <c:pt idx="66">
                        <c:v>171</c:v>
                      </c:pt>
                      <c:pt idx="67">
                        <c:v>170</c:v>
                      </c:pt>
                      <c:pt idx="68">
                        <c:v>172</c:v>
                      </c:pt>
                      <c:pt idx="69">
                        <c:v>183</c:v>
                      </c:pt>
                      <c:pt idx="70">
                        <c:v>178</c:v>
                      </c:pt>
                      <c:pt idx="71">
                        <c:v>177</c:v>
                      </c:pt>
                      <c:pt idx="72">
                        <c:v>177</c:v>
                      </c:pt>
                      <c:pt idx="73">
                        <c:v>177</c:v>
                      </c:pt>
                      <c:pt idx="74">
                        <c:v>179</c:v>
                      </c:pt>
                      <c:pt idx="75">
                        <c:v>176</c:v>
                      </c:pt>
                      <c:pt idx="76">
                        <c:v>172</c:v>
                      </c:pt>
                      <c:pt idx="77">
                        <c:v>175</c:v>
                      </c:pt>
                      <c:pt idx="78">
                        <c:v>180</c:v>
                      </c:pt>
                      <c:pt idx="79">
                        <c:v>180</c:v>
                      </c:pt>
                      <c:pt idx="80">
                        <c:v>168</c:v>
                      </c:pt>
                      <c:pt idx="81">
                        <c:v>174</c:v>
                      </c:pt>
                      <c:pt idx="82">
                        <c:v>175</c:v>
                      </c:pt>
                      <c:pt idx="83">
                        <c:v>177</c:v>
                      </c:pt>
                      <c:pt idx="84">
                        <c:v>170</c:v>
                      </c:pt>
                      <c:pt idx="85">
                        <c:v>164</c:v>
                      </c:pt>
                      <c:pt idx="86">
                        <c:v>161</c:v>
                      </c:pt>
                      <c:pt idx="87">
                        <c:v>139</c:v>
                      </c:pt>
                      <c:pt idx="88">
                        <c:v>131</c:v>
                      </c:pt>
                      <c:pt idx="89">
                        <c:v>119</c:v>
                      </c:pt>
                      <c:pt idx="90">
                        <c:v>86</c:v>
                      </c:pt>
                      <c:pt idx="91">
                        <c:v>65</c:v>
                      </c:pt>
                      <c:pt idx="92">
                        <c:v>49</c:v>
                      </c:pt>
                      <c:pt idx="93">
                        <c:v>50</c:v>
                      </c:pt>
                      <c:pt idx="94">
                        <c:v>35</c:v>
                      </c:pt>
                      <c:pt idx="95">
                        <c:v>33</c:v>
                      </c:pt>
                      <c:pt idx="96">
                        <c:v>27</c:v>
                      </c:pt>
                      <c:pt idx="97">
                        <c:v>13</c:v>
                      </c:pt>
                      <c:pt idx="98">
                        <c:v>14</c:v>
                      </c:pt>
                      <c:pt idx="99">
                        <c:v>10</c:v>
                      </c:pt>
                      <c:pt idx="100">
                        <c:v>10</c:v>
                      </c:pt>
                      <c:pt idx="101">
                        <c:v>3</c:v>
                      </c:pt>
                      <c:pt idx="102">
                        <c:v>3</c:v>
                      </c:pt>
                      <c:pt idx="103">
                        <c:v>3</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extLst xmlns:c15="http://schemas.microsoft.com/office/drawing/2012/chart">
                  <c:ext xmlns:c16="http://schemas.microsoft.com/office/drawing/2014/chart" uri="{C3380CC4-5D6E-409C-BE32-E72D297353CC}">
                    <c16:uniqueId val="{00000008-59EC-4B9E-A744-04C251BD2B69}"/>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G1_Characteristics_WorkToGo!$G$15</c15:sqref>
                        </c15:formulaRef>
                      </c:ext>
                    </c:extLst>
                    <c:strCache>
                      <c:ptCount val="1"/>
                      <c:pt idx="0">
                        <c:v>Recurring Normal Tasks</c:v>
                      </c:pt>
                    </c:strCache>
                  </c:strRef>
                </c:tx>
                <c:spPr>
                  <a:solidFill>
                    <a:schemeClr val="accent6"/>
                  </a:solidFill>
                  <a:ln>
                    <a:noFill/>
                  </a:ln>
                  <a:effectLst/>
                </c:spPr>
                <c:invertIfNegative val="0"/>
                <c:cat>
                  <c:numRef>
                    <c:extLst xmlns:c15="http://schemas.microsoft.com/office/drawing/2012/chart">
                      <c:ext xmlns:c15="http://schemas.microsoft.com/office/drawing/2012/char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xmlns:c15="http://schemas.microsoft.com/office/drawing/2012/chart">
                      <c:ext xmlns:c15="http://schemas.microsoft.com/office/drawing/2012/chart" uri="{02D57815-91ED-43cb-92C2-25804820EDAC}">
                        <c15:formulaRef>
                          <c15:sqref>G1_Characteristics_WorkToGo!$H$15:$FT$15</c15:sqref>
                        </c15:formulaRef>
                      </c:ext>
                    </c:extLst>
                    <c:numCache>
                      <c:formatCode>General</c:formatCode>
                      <c:ptCount val="16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1</c:v>
                      </c:pt>
                      <c:pt idx="78">
                        <c:v>1</c:v>
                      </c:pt>
                      <c:pt idx="79">
                        <c:v>1</c:v>
                      </c:pt>
                      <c:pt idx="80">
                        <c:v>1</c:v>
                      </c:pt>
                      <c:pt idx="81">
                        <c:v>1</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extLst xmlns:c15="http://schemas.microsoft.com/office/drawing/2012/chart">
                  <c:ext xmlns:c16="http://schemas.microsoft.com/office/drawing/2014/chart" uri="{C3380CC4-5D6E-409C-BE32-E72D297353CC}">
                    <c16:uniqueId val="{00000001-59EC-4B9E-A744-04C251BD2B69}"/>
                  </c:ext>
                </c:extLst>
              </c15:ser>
            </c15:filteredBarSeries>
            <c15:filteredBarSeries>
              <c15:ser>
                <c:idx val="9"/>
                <c:order val="9"/>
                <c:tx>
                  <c:strRef>
                    <c:extLst xmlns:c15="http://schemas.microsoft.com/office/drawing/2012/chart">
                      <c:ext xmlns:c15="http://schemas.microsoft.com/office/drawing/2012/chart" uri="{02D57815-91ED-43cb-92C2-25804820EDAC}">
                        <c15:formulaRef>
                          <c15:sqref>G1_Characteristics_WorkToGo!$G$18</c15:sqref>
                        </c15:formulaRef>
                      </c:ext>
                    </c:extLst>
                    <c:strCache>
                      <c:ptCount val="1"/>
                      <c:pt idx="0">
                        <c:v>Completed Milestones</c:v>
                      </c:pt>
                    </c:strCache>
                  </c:strRef>
                </c:tx>
                <c:spPr>
                  <a:solidFill>
                    <a:schemeClr val="accent4">
                      <a:lumMod val="60000"/>
                    </a:schemeClr>
                  </a:solidFill>
                  <a:ln>
                    <a:noFill/>
                  </a:ln>
                  <a:effectLst/>
                </c:spPr>
                <c:invertIfNegative val="0"/>
                <c:cat>
                  <c:numRef>
                    <c:extLst xmlns:c15="http://schemas.microsoft.com/office/drawing/2012/chart">
                      <c:ext xmlns:c15="http://schemas.microsoft.com/office/drawing/2012/char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xmlns:c15="http://schemas.microsoft.com/office/drawing/2012/chart">
                      <c:ext xmlns:c15="http://schemas.microsoft.com/office/drawing/2012/chart" uri="{02D57815-91ED-43cb-92C2-25804820EDAC}">
                        <c15:formulaRef>
                          <c15:sqref>G1_Characteristics_WorkToGo!$H$18:$FT$18</c15:sqref>
                        </c15:formulaRef>
                      </c:ext>
                    </c:extLst>
                    <c:numCache>
                      <c:formatCode>General</c:formatCode>
                      <c:ptCount val="169"/>
                      <c:pt idx="0">
                        <c:v>363</c:v>
                      </c:pt>
                      <c:pt idx="1">
                        <c:v>0</c:v>
                      </c:pt>
                      <c:pt idx="2">
                        <c:v>0</c:v>
                      </c:pt>
                      <c:pt idx="3">
                        <c:v>0</c:v>
                      </c:pt>
                      <c:pt idx="4">
                        <c:v>0</c:v>
                      </c:pt>
                      <c:pt idx="5">
                        <c:v>0</c:v>
                      </c:pt>
                      <c:pt idx="6">
                        <c:v>0</c:v>
                      </c:pt>
                      <c:pt idx="7">
                        <c:v>0</c:v>
                      </c:pt>
                      <c:pt idx="8">
                        <c:v>0</c:v>
                      </c:pt>
                      <c:pt idx="9">
                        <c:v>0</c:v>
                      </c:pt>
                      <c:pt idx="10">
                        <c:v>0</c:v>
                      </c:pt>
                      <c:pt idx="11">
                        <c:v>0</c:v>
                      </c:pt>
                      <c:pt idx="12">
                        <c:v>2</c:v>
                      </c:pt>
                      <c:pt idx="13">
                        <c:v>0</c:v>
                      </c:pt>
                      <c:pt idx="14">
                        <c:v>0</c:v>
                      </c:pt>
                      <c:pt idx="15">
                        <c:v>0</c:v>
                      </c:pt>
                      <c:pt idx="16">
                        <c:v>0</c:v>
                      </c:pt>
                      <c:pt idx="17">
                        <c:v>0</c:v>
                      </c:pt>
                      <c:pt idx="18">
                        <c:v>1</c:v>
                      </c:pt>
                      <c:pt idx="19">
                        <c:v>0</c:v>
                      </c:pt>
                      <c:pt idx="20">
                        <c:v>1</c:v>
                      </c:pt>
                      <c:pt idx="21">
                        <c:v>0</c:v>
                      </c:pt>
                      <c:pt idx="22">
                        <c:v>1</c:v>
                      </c:pt>
                      <c:pt idx="23">
                        <c:v>1</c:v>
                      </c:pt>
                      <c:pt idx="24">
                        <c:v>0</c:v>
                      </c:pt>
                      <c:pt idx="25">
                        <c:v>1</c:v>
                      </c:pt>
                      <c:pt idx="26">
                        <c:v>2</c:v>
                      </c:pt>
                      <c:pt idx="27">
                        <c:v>0</c:v>
                      </c:pt>
                      <c:pt idx="28">
                        <c:v>0</c:v>
                      </c:pt>
                      <c:pt idx="29">
                        <c:v>0</c:v>
                      </c:pt>
                      <c:pt idx="30">
                        <c:v>2</c:v>
                      </c:pt>
                      <c:pt idx="31">
                        <c:v>0</c:v>
                      </c:pt>
                      <c:pt idx="32">
                        <c:v>0</c:v>
                      </c:pt>
                      <c:pt idx="33">
                        <c:v>1</c:v>
                      </c:pt>
                      <c:pt idx="34">
                        <c:v>0</c:v>
                      </c:pt>
                      <c:pt idx="35">
                        <c:v>2</c:v>
                      </c:pt>
                      <c:pt idx="36">
                        <c:v>4</c:v>
                      </c:pt>
                      <c:pt idx="37">
                        <c:v>9</c:v>
                      </c:pt>
                      <c:pt idx="38">
                        <c:v>0</c:v>
                      </c:pt>
                      <c:pt idx="39">
                        <c:v>3</c:v>
                      </c:pt>
                      <c:pt idx="40">
                        <c:v>2</c:v>
                      </c:pt>
                      <c:pt idx="41">
                        <c:v>30</c:v>
                      </c:pt>
                      <c:pt idx="42">
                        <c:v>8</c:v>
                      </c:pt>
                      <c:pt idx="43">
                        <c:v>1</c:v>
                      </c:pt>
                      <c:pt idx="44">
                        <c:v>2</c:v>
                      </c:pt>
                      <c:pt idx="45">
                        <c:v>5</c:v>
                      </c:pt>
                      <c:pt idx="46">
                        <c:v>8</c:v>
                      </c:pt>
                      <c:pt idx="47">
                        <c:v>13</c:v>
                      </c:pt>
                      <c:pt idx="48">
                        <c:v>10</c:v>
                      </c:pt>
                      <c:pt idx="49">
                        <c:v>8</c:v>
                      </c:pt>
                      <c:pt idx="50">
                        <c:v>6</c:v>
                      </c:pt>
                      <c:pt idx="51">
                        <c:v>10</c:v>
                      </c:pt>
                      <c:pt idx="52">
                        <c:v>6</c:v>
                      </c:pt>
                      <c:pt idx="53">
                        <c:v>3</c:v>
                      </c:pt>
                      <c:pt idx="54">
                        <c:v>8</c:v>
                      </c:pt>
                      <c:pt idx="55">
                        <c:v>3</c:v>
                      </c:pt>
                      <c:pt idx="56">
                        <c:v>2</c:v>
                      </c:pt>
                      <c:pt idx="57">
                        <c:v>7</c:v>
                      </c:pt>
                      <c:pt idx="58">
                        <c:v>9</c:v>
                      </c:pt>
                      <c:pt idx="59">
                        <c:v>10</c:v>
                      </c:pt>
                      <c:pt idx="60">
                        <c:v>12</c:v>
                      </c:pt>
                      <c:pt idx="61">
                        <c:v>24</c:v>
                      </c:pt>
                      <c:pt idx="62">
                        <c:v>16</c:v>
                      </c:pt>
                      <c:pt idx="63">
                        <c:v>27</c:v>
                      </c:pt>
                      <c:pt idx="64">
                        <c:v>9</c:v>
                      </c:pt>
                      <c:pt idx="65">
                        <c:v>12</c:v>
                      </c:pt>
                      <c:pt idx="66">
                        <c:v>45</c:v>
                      </c:pt>
                      <c:pt idx="67">
                        <c:v>17</c:v>
                      </c:pt>
                      <c:pt idx="68">
                        <c:v>9</c:v>
                      </c:pt>
                      <c:pt idx="69">
                        <c:v>17</c:v>
                      </c:pt>
                      <c:pt idx="70">
                        <c:v>107</c:v>
                      </c:pt>
                      <c:pt idx="71">
                        <c:v>7</c:v>
                      </c:pt>
                      <c:pt idx="72">
                        <c:v>12</c:v>
                      </c:pt>
                      <c:pt idx="73">
                        <c:v>10</c:v>
                      </c:pt>
                      <c:pt idx="74">
                        <c:v>15</c:v>
                      </c:pt>
                      <c:pt idx="75">
                        <c:v>14</c:v>
                      </c:pt>
                      <c:pt idx="76">
                        <c:v>11</c:v>
                      </c:pt>
                      <c:pt idx="77">
                        <c:v>15</c:v>
                      </c:pt>
                      <c:pt idx="78">
                        <c:v>11</c:v>
                      </c:pt>
                      <c:pt idx="79">
                        <c:v>24</c:v>
                      </c:pt>
                      <c:pt idx="80">
                        <c:v>7</c:v>
                      </c:pt>
                      <c:pt idx="81">
                        <c:v>7</c:v>
                      </c:pt>
                      <c:pt idx="82">
                        <c:v>12</c:v>
                      </c:pt>
                      <c:pt idx="83">
                        <c:v>24</c:v>
                      </c:pt>
                      <c:pt idx="84">
                        <c:v>17</c:v>
                      </c:pt>
                      <c:pt idx="85">
                        <c:v>18</c:v>
                      </c:pt>
                      <c:pt idx="86">
                        <c:v>22</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extLst xmlns:c15="http://schemas.microsoft.com/office/drawing/2012/chart">
                  <c:ext xmlns:c16="http://schemas.microsoft.com/office/drawing/2014/chart" uri="{C3380CC4-5D6E-409C-BE32-E72D297353CC}">
                    <c16:uniqueId val="{0000000A-59EC-4B9E-A744-04C251BD2B69}"/>
                  </c:ext>
                </c:extLst>
              </c15:ser>
            </c15:filteredBarSeries>
            <c15:filteredBarSeries>
              <c15:ser>
                <c:idx val="10"/>
                <c:order val="10"/>
                <c:tx>
                  <c:strRef>
                    <c:extLst xmlns:c15="http://schemas.microsoft.com/office/drawing/2012/chart">
                      <c:ext xmlns:c15="http://schemas.microsoft.com/office/drawing/2012/chart" uri="{02D57815-91ED-43cb-92C2-25804820EDAC}">
                        <c15:formulaRef>
                          <c15:sqref>G1_Characteristics_WorkToGo!$G$19</c15:sqref>
                        </c15:formulaRef>
                      </c:ext>
                    </c:extLst>
                    <c:strCache>
                      <c:ptCount val="1"/>
                      <c:pt idx="0">
                        <c:v>Completed Tasks</c:v>
                      </c:pt>
                    </c:strCache>
                  </c:strRef>
                </c:tx>
                <c:spPr>
                  <a:solidFill>
                    <a:schemeClr val="accent5">
                      <a:lumMod val="60000"/>
                    </a:schemeClr>
                  </a:solidFill>
                  <a:ln>
                    <a:noFill/>
                  </a:ln>
                  <a:effectLst/>
                </c:spPr>
                <c:invertIfNegative val="0"/>
                <c:cat>
                  <c:numRef>
                    <c:extLst xmlns:c15="http://schemas.microsoft.com/office/drawing/2012/chart">
                      <c:ext xmlns:c15="http://schemas.microsoft.com/office/drawing/2012/char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xmlns:c15="http://schemas.microsoft.com/office/drawing/2012/chart">
                      <c:ext xmlns:c15="http://schemas.microsoft.com/office/drawing/2012/chart" uri="{02D57815-91ED-43cb-92C2-25804820EDAC}">
                        <c15:formulaRef>
                          <c15:sqref>G1_Characteristics_WorkToGo!$H$19:$FT$19</c15:sqref>
                        </c15:formulaRef>
                      </c:ext>
                    </c:extLst>
                    <c:numCache>
                      <c:formatCode>General</c:formatCode>
                      <c:ptCount val="169"/>
                      <c:pt idx="0">
                        <c:v>8</c:v>
                      </c:pt>
                      <c:pt idx="1">
                        <c:v>1</c:v>
                      </c:pt>
                      <c:pt idx="2">
                        <c:v>0</c:v>
                      </c:pt>
                      <c:pt idx="3">
                        <c:v>1</c:v>
                      </c:pt>
                      <c:pt idx="4">
                        <c:v>1</c:v>
                      </c:pt>
                      <c:pt idx="5">
                        <c:v>1</c:v>
                      </c:pt>
                      <c:pt idx="6">
                        <c:v>3</c:v>
                      </c:pt>
                      <c:pt idx="7">
                        <c:v>4</c:v>
                      </c:pt>
                      <c:pt idx="8">
                        <c:v>3</c:v>
                      </c:pt>
                      <c:pt idx="9">
                        <c:v>1</c:v>
                      </c:pt>
                      <c:pt idx="10">
                        <c:v>3</c:v>
                      </c:pt>
                      <c:pt idx="11">
                        <c:v>3</c:v>
                      </c:pt>
                      <c:pt idx="12">
                        <c:v>4</c:v>
                      </c:pt>
                      <c:pt idx="13">
                        <c:v>4</c:v>
                      </c:pt>
                      <c:pt idx="14">
                        <c:v>5</c:v>
                      </c:pt>
                      <c:pt idx="15">
                        <c:v>8</c:v>
                      </c:pt>
                      <c:pt idx="16">
                        <c:v>6</c:v>
                      </c:pt>
                      <c:pt idx="17">
                        <c:v>8</c:v>
                      </c:pt>
                      <c:pt idx="18">
                        <c:v>5</c:v>
                      </c:pt>
                      <c:pt idx="19">
                        <c:v>4</c:v>
                      </c:pt>
                      <c:pt idx="20">
                        <c:v>6</c:v>
                      </c:pt>
                      <c:pt idx="21">
                        <c:v>10</c:v>
                      </c:pt>
                      <c:pt idx="22">
                        <c:v>12</c:v>
                      </c:pt>
                      <c:pt idx="23">
                        <c:v>13</c:v>
                      </c:pt>
                      <c:pt idx="24">
                        <c:v>15</c:v>
                      </c:pt>
                      <c:pt idx="25">
                        <c:v>29</c:v>
                      </c:pt>
                      <c:pt idx="26">
                        <c:v>29</c:v>
                      </c:pt>
                      <c:pt idx="27">
                        <c:v>20</c:v>
                      </c:pt>
                      <c:pt idx="28">
                        <c:v>22</c:v>
                      </c:pt>
                      <c:pt idx="29">
                        <c:v>14</c:v>
                      </c:pt>
                      <c:pt idx="30">
                        <c:v>10</c:v>
                      </c:pt>
                      <c:pt idx="31">
                        <c:v>9</c:v>
                      </c:pt>
                      <c:pt idx="32">
                        <c:v>11</c:v>
                      </c:pt>
                      <c:pt idx="33">
                        <c:v>19</c:v>
                      </c:pt>
                      <c:pt idx="34">
                        <c:v>17</c:v>
                      </c:pt>
                      <c:pt idx="35">
                        <c:v>35</c:v>
                      </c:pt>
                      <c:pt idx="36">
                        <c:v>43</c:v>
                      </c:pt>
                      <c:pt idx="37">
                        <c:v>43</c:v>
                      </c:pt>
                      <c:pt idx="38">
                        <c:v>39</c:v>
                      </c:pt>
                      <c:pt idx="39">
                        <c:v>47</c:v>
                      </c:pt>
                      <c:pt idx="40">
                        <c:v>43</c:v>
                      </c:pt>
                      <c:pt idx="41">
                        <c:v>82</c:v>
                      </c:pt>
                      <c:pt idx="42">
                        <c:v>94</c:v>
                      </c:pt>
                      <c:pt idx="43">
                        <c:v>95</c:v>
                      </c:pt>
                      <c:pt idx="44">
                        <c:v>90</c:v>
                      </c:pt>
                      <c:pt idx="45">
                        <c:v>83</c:v>
                      </c:pt>
                      <c:pt idx="46">
                        <c:v>96</c:v>
                      </c:pt>
                      <c:pt idx="47">
                        <c:v>109</c:v>
                      </c:pt>
                      <c:pt idx="48">
                        <c:v>100</c:v>
                      </c:pt>
                      <c:pt idx="49">
                        <c:v>94</c:v>
                      </c:pt>
                      <c:pt idx="50">
                        <c:v>125</c:v>
                      </c:pt>
                      <c:pt idx="51">
                        <c:v>120</c:v>
                      </c:pt>
                      <c:pt idx="52">
                        <c:v>86</c:v>
                      </c:pt>
                      <c:pt idx="53">
                        <c:v>76</c:v>
                      </c:pt>
                      <c:pt idx="54">
                        <c:v>100</c:v>
                      </c:pt>
                      <c:pt idx="55">
                        <c:v>101</c:v>
                      </c:pt>
                      <c:pt idx="56">
                        <c:v>102</c:v>
                      </c:pt>
                      <c:pt idx="57">
                        <c:v>148</c:v>
                      </c:pt>
                      <c:pt idx="58">
                        <c:v>126</c:v>
                      </c:pt>
                      <c:pt idx="59">
                        <c:v>122</c:v>
                      </c:pt>
                      <c:pt idx="60">
                        <c:v>123</c:v>
                      </c:pt>
                      <c:pt idx="61">
                        <c:v>117</c:v>
                      </c:pt>
                      <c:pt idx="62">
                        <c:v>115</c:v>
                      </c:pt>
                      <c:pt idx="63">
                        <c:v>110</c:v>
                      </c:pt>
                      <c:pt idx="64">
                        <c:v>102</c:v>
                      </c:pt>
                      <c:pt idx="65">
                        <c:v>93</c:v>
                      </c:pt>
                      <c:pt idx="66">
                        <c:v>112</c:v>
                      </c:pt>
                      <c:pt idx="67">
                        <c:v>117</c:v>
                      </c:pt>
                      <c:pt idx="68">
                        <c:v>124</c:v>
                      </c:pt>
                      <c:pt idx="69">
                        <c:v>144</c:v>
                      </c:pt>
                      <c:pt idx="70">
                        <c:v>154</c:v>
                      </c:pt>
                      <c:pt idx="71">
                        <c:v>129</c:v>
                      </c:pt>
                      <c:pt idx="72">
                        <c:v>126</c:v>
                      </c:pt>
                      <c:pt idx="73">
                        <c:v>140</c:v>
                      </c:pt>
                      <c:pt idx="74">
                        <c:v>124</c:v>
                      </c:pt>
                      <c:pt idx="75">
                        <c:v>112</c:v>
                      </c:pt>
                      <c:pt idx="76">
                        <c:v>96</c:v>
                      </c:pt>
                      <c:pt idx="77">
                        <c:v>99</c:v>
                      </c:pt>
                      <c:pt idx="78">
                        <c:v>103</c:v>
                      </c:pt>
                      <c:pt idx="79">
                        <c:v>95</c:v>
                      </c:pt>
                      <c:pt idx="80">
                        <c:v>62</c:v>
                      </c:pt>
                      <c:pt idx="81">
                        <c:v>71</c:v>
                      </c:pt>
                      <c:pt idx="82">
                        <c:v>70</c:v>
                      </c:pt>
                      <c:pt idx="83">
                        <c:v>91</c:v>
                      </c:pt>
                      <c:pt idx="84">
                        <c:v>71</c:v>
                      </c:pt>
                      <c:pt idx="85">
                        <c:v>58</c:v>
                      </c:pt>
                      <c:pt idx="86">
                        <c:v>53</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extLst xmlns:c15="http://schemas.microsoft.com/office/drawing/2012/chart">
                  <c:ext xmlns:c16="http://schemas.microsoft.com/office/drawing/2014/chart" uri="{C3380CC4-5D6E-409C-BE32-E72D297353CC}">
                    <c16:uniqueId val="{0000000B-59EC-4B9E-A744-04C251BD2B69}"/>
                  </c:ext>
                </c:extLst>
              </c15:ser>
            </c15:filteredBarSeries>
            <c15:filteredBarSeries>
              <c15:ser>
                <c:idx val="11"/>
                <c:order val="11"/>
                <c:tx>
                  <c:strRef>
                    <c:extLst xmlns:c15="http://schemas.microsoft.com/office/drawing/2012/chart">
                      <c:ext xmlns:c15="http://schemas.microsoft.com/office/drawing/2012/chart" uri="{02D57815-91ED-43cb-92C2-25804820EDAC}">
                        <c15:formulaRef>
                          <c15:sqref>G1_Characteristics_WorkToGo!$G$20</c15:sqref>
                        </c15:formulaRef>
                      </c:ext>
                    </c:extLst>
                    <c:strCache>
                      <c:ptCount val="1"/>
                      <c:pt idx="0">
                        <c:v>Total Activities (To-Go) - % of Total</c:v>
                      </c:pt>
                    </c:strCache>
                  </c:strRef>
                </c:tx>
                <c:spPr>
                  <a:solidFill>
                    <a:schemeClr val="accent6">
                      <a:lumMod val="60000"/>
                    </a:schemeClr>
                  </a:solidFill>
                  <a:ln>
                    <a:noFill/>
                  </a:ln>
                  <a:effectLst/>
                </c:spPr>
                <c:invertIfNegative val="0"/>
                <c:cat>
                  <c:numRef>
                    <c:extLst xmlns:c15="http://schemas.microsoft.com/office/drawing/2012/chart">
                      <c:ext xmlns:c15="http://schemas.microsoft.com/office/drawing/2012/char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xmlns:c15="http://schemas.microsoft.com/office/drawing/2012/chart">
                      <c:ext xmlns:c15="http://schemas.microsoft.com/office/drawing/2012/chart" uri="{02D57815-91ED-43cb-92C2-25804820EDAC}">
                        <c15:formulaRef>
                          <c15:sqref>G1_Characteristics_WorkToGo!$H$20:$FT$20</c15:sqref>
                        </c15:formulaRef>
                      </c:ext>
                    </c:extLst>
                    <c:numCache>
                      <c:formatCode>General</c:formatCode>
                      <c:ptCount val="169"/>
                      <c:pt idx="0">
                        <c:v>54</c:v>
                      </c:pt>
                      <c:pt idx="1">
                        <c:v>54</c:v>
                      </c:pt>
                      <c:pt idx="2">
                        <c:v>54</c:v>
                      </c:pt>
                      <c:pt idx="3">
                        <c:v>54</c:v>
                      </c:pt>
                      <c:pt idx="4">
                        <c:v>54</c:v>
                      </c:pt>
                      <c:pt idx="5">
                        <c:v>54</c:v>
                      </c:pt>
                      <c:pt idx="6">
                        <c:v>54</c:v>
                      </c:pt>
                      <c:pt idx="7">
                        <c:v>54</c:v>
                      </c:pt>
                      <c:pt idx="8">
                        <c:v>54</c:v>
                      </c:pt>
                      <c:pt idx="9">
                        <c:v>54</c:v>
                      </c:pt>
                      <c:pt idx="10">
                        <c:v>54</c:v>
                      </c:pt>
                      <c:pt idx="11">
                        <c:v>54</c:v>
                      </c:pt>
                      <c:pt idx="12">
                        <c:v>55</c:v>
                      </c:pt>
                      <c:pt idx="13">
                        <c:v>55</c:v>
                      </c:pt>
                      <c:pt idx="14">
                        <c:v>55</c:v>
                      </c:pt>
                      <c:pt idx="15">
                        <c:v>55</c:v>
                      </c:pt>
                      <c:pt idx="16">
                        <c:v>55</c:v>
                      </c:pt>
                      <c:pt idx="17">
                        <c:v>55</c:v>
                      </c:pt>
                      <c:pt idx="18">
                        <c:v>55</c:v>
                      </c:pt>
                      <c:pt idx="19">
                        <c:v>55</c:v>
                      </c:pt>
                      <c:pt idx="20">
                        <c:v>55</c:v>
                      </c:pt>
                      <c:pt idx="21">
                        <c:v>55</c:v>
                      </c:pt>
                      <c:pt idx="22">
                        <c:v>55</c:v>
                      </c:pt>
                      <c:pt idx="23">
                        <c:v>55</c:v>
                      </c:pt>
                      <c:pt idx="24">
                        <c:v>55</c:v>
                      </c:pt>
                      <c:pt idx="25">
                        <c:v>55</c:v>
                      </c:pt>
                      <c:pt idx="26">
                        <c:v>55</c:v>
                      </c:pt>
                      <c:pt idx="27">
                        <c:v>55</c:v>
                      </c:pt>
                      <c:pt idx="28">
                        <c:v>55</c:v>
                      </c:pt>
                      <c:pt idx="29">
                        <c:v>55</c:v>
                      </c:pt>
                      <c:pt idx="30">
                        <c:v>55</c:v>
                      </c:pt>
                      <c:pt idx="31">
                        <c:v>55</c:v>
                      </c:pt>
                      <c:pt idx="32">
                        <c:v>55</c:v>
                      </c:pt>
                      <c:pt idx="33">
                        <c:v>55</c:v>
                      </c:pt>
                      <c:pt idx="34">
                        <c:v>55</c:v>
                      </c:pt>
                      <c:pt idx="35">
                        <c:v>55</c:v>
                      </c:pt>
                      <c:pt idx="36">
                        <c:v>56</c:v>
                      </c:pt>
                      <c:pt idx="37">
                        <c:v>56</c:v>
                      </c:pt>
                      <c:pt idx="38">
                        <c:v>57</c:v>
                      </c:pt>
                      <c:pt idx="39">
                        <c:v>58</c:v>
                      </c:pt>
                      <c:pt idx="40">
                        <c:v>58</c:v>
                      </c:pt>
                      <c:pt idx="41">
                        <c:v>58</c:v>
                      </c:pt>
                      <c:pt idx="42">
                        <c:v>58</c:v>
                      </c:pt>
                      <c:pt idx="43">
                        <c:v>58</c:v>
                      </c:pt>
                      <c:pt idx="44">
                        <c:v>58</c:v>
                      </c:pt>
                      <c:pt idx="45">
                        <c:v>58</c:v>
                      </c:pt>
                      <c:pt idx="46">
                        <c:v>58</c:v>
                      </c:pt>
                      <c:pt idx="47">
                        <c:v>59</c:v>
                      </c:pt>
                      <c:pt idx="48">
                        <c:v>59</c:v>
                      </c:pt>
                      <c:pt idx="49">
                        <c:v>59</c:v>
                      </c:pt>
                      <c:pt idx="50">
                        <c:v>59</c:v>
                      </c:pt>
                      <c:pt idx="51">
                        <c:v>60</c:v>
                      </c:pt>
                      <c:pt idx="52">
                        <c:v>60</c:v>
                      </c:pt>
                      <c:pt idx="53">
                        <c:v>60</c:v>
                      </c:pt>
                      <c:pt idx="54">
                        <c:v>60</c:v>
                      </c:pt>
                      <c:pt idx="55">
                        <c:v>60</c:v>
                      </c:pt>
                      <c:pt idx="56">
                        <c:v>61</c:v>
                      </c:pt>
                      <c:pt idx="57">
                        <c:v>61</c:v>
                      </c:pt>
                      <c:pt idx="58">
                        <c:v>61</c:v>
                      </c:pt>
                      <c:pt idx="59">
                        <c:v>61</c:v>
                      </c:pt>
                      <c:pt idx="60">
                        <c:v>64</c:v>
                      </c:pt>
                      <c:pt idx="61">
                        <c:v>64</c:v>
                      </c:pt>
                      <c:pt idx="62">
                        <c:v>65</c:v>
                      </c:pt>
                      <c:pt idx="63">
                        <c:v>68</c:v>
                      </c:pt>
                      <c:pt idx="64">
                        <c:v>68</c:v>
                      </c:pt>
                      <c:pt idx="65">
                        <c:v>69</c:v>
                      </c:pt>
                      <c:pt idx="66">
                        <c:v>69</c:v>
                      </c:pt>
                      <c:pt idx="67">
                        <c:v>69</c:v>
                      </c:pt>
                      <c:pt idx="68">
                        <c:v>70</c:v>
                      </c:pt>
                      <c:pt idx="69">
                        <c:v>75</c:v>
                      </c:pt>
                      <c:pt idx="70">
                        <c:v>77</c:v>
                      </c:pt>
                      <c:pt idx="71">
                        <c:v>81</c:v>
                      </c:pt>
                      <c:pt idx="72">
                        <c:v>84</c:v>
                      </c:pt>
                      <c:pt idx="73">
                        <c:v>86</c:v>
                      </c:pt>
                      <c:pt idx="74">
                        <c:v>93</c:v>
                      </c:pt>
                      <c:pt idx="75">
                        <c:v>97</c:v>
                      </c:pt>
                      <c:pt idx="76">
                        <c:v>99</c:v>
                      </c:pt>
                      <c:pt idx="77">
                        <c:v>107</c:v>
                      </c:pt>
                      <c:pt idx="78">
                        <c:v>110</c:v>
                      </c:pt>
                      <c:pt idx="79">
                        <c:v>114</c:v>
                      </c:pt>
                      <c:pt idx="80">
                        <c:v>116</c:v>
                      </c:pt>
                      <c:pt idx="81">
                        <c:v>125</c:v>
                      </c:pt>
                      <c:pt idx="82">
                        <c:v>130</c:v>
                      </c:pt>
                      <c:pt idx="83">
                        <c:v>139</c:v>
                      </c:pt>
                      <c:pt idx="84">
                        <c:v>145</c:v>
                      </c:pt>
                      <c:pt idx="85">
                        <c:v>150</c:v>
                      </c:pt>
                      <c:pt idx="86">
                        <c:v>192</c:v>
                      </c:pt>
                      <c:pt idx="87">
                        <c:v>296</c:v>
                      </c:pt>
                      <c:pt idx="88">
                        <c:v>279</c:v>
                      </c:pt>
                      <c:pt idx="89">
                        <c:v>241</c:v>
                      </c:pt>
                      <c:pt idx="90">
                        <c:v>181</c:v>
                      </c:pt>
                      <c:pt idx="91">
                        <c:v>126</c:v>
                      </c:pt>
                      <c:pt idx="92">
                        <c:v>78</c:v>
                      </c:pt>
                      <c:pt idx="93">
                        <c:v>92</c:v>
                      </c:pt>
                      <c:pt idx="94">
                        <c:v>59</c:v>
                      </c:pt>
                      <c:pt idx="95">
                        <c:v>62</c:v>
                      </c:pt>
                      <c:pt idx="96">
                        <c:v>74</c:v>
                      </c:pt>
                      <c:pt idx="97">
                        <c:v>24</c:v>
                      </c:pt>
                      <c:pt idx="98">
                        <c:v>24</c:v>
                      </c:pt>
                      <c:pt idx="99">
                        <c:v>16</c:v>
                      </c:pt>
                      <c:pt idx="100">
                        <c:v>19</c:v>
                      </c:pt>
                      <c:pt idx="101">
                        <c:v>4</c:v>
                      </c:pt>
                      <c:pt idx="102">
                        <c:v>10</c:v>
                      </c:pt>
                      <c:pt idx="103">
                        <c:v>6</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extLst xmlns:c15="http://schemas.microsoft.com/office/drawing/2012/chart">
                  <c:ext xmlns:c16="http://schemas.microsoft.com/office/drawing/2014/chart" uri="{C3380CC4-5D6E-409C-BE32-E72D297353CC}">
                    <c16:uniqueId val="{0000000C-59EC-4B9E-A744-04C251BD2B69}"/>
                  </c:ext>
                </c:extLst>
              </c15:ser>
            </c15:filteredBarSeries>
            <c15:filteredBarSeries>
              <c15:ser>
                <c:idx val="13"/>
                <c:order val="13"/>
                <c:tx>
                  <c:strRef>
                    <c:extLst xmlns:c15="http://schemas.microsoft.com/office/drawing/2012/chart">
                      <c:ext xmlns:c15="http://schemas.microsoft.com/office/drawing/2012/chart" uri="{02D57815-91ED-43cb-92C2-25804820EDAC}">
                        <c15:formulaRef>
                          <c15:sqref>G1_Characteristics_WorkToGo!$G$22</c15:sqref>
                        </c15:formulaRef>
                      </c:ext>
                    </c:extLst>
                    <c:strCache>
                      <c:ptCount val="1"/>
                      <c:pt idx="0">
                        <c:v>Milestones (To-Go)</c:v>
                      </c:pt>
                    </c:strCache>
                  </c:strRef>
                </c:tx>
                <c:spPr>
                  <a:solidFill>
                    <a:schemeClr val="accent2">
                      <a:lumMod val="80000"/>
                      <a:lumOff val="20000"/>
                    </a:schemeClr>
                  </a:solidFill>
                  <a:ln>
                    <a:noFill/>
                  </a:ln>
                  <a:effectLst/>
                </c:spPr>
                <c:invertIfNegative val="0"/>
                <c:cat>
                  <c:numRef>
                    <c:extLst xmlns:c15="http://schemas.microsoft.com/office/drawing/2012/chart">
                      <c:ext xmlns:c15="http://schemas.microsoft.com/office/drawing/2012/char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xmlns:c15="http://schemas.microsoft.com/office/drawing/2012/chart">
                      <c:ext xmlns:c15="http://schemas.microsoft.com/office/drawing/2012/chart" uri="{02D57815-91ED-43cb-92C2-25804820EDAC}">
                        <c15:formulaRef>
                          <c15:sqref>G1_Characteristics_WorkToGo!$H$22:$FT$22</c15:sqref>
                        </c15:formulaRef>
                      </c:ext>
                    </c:extLst>
                    <c:numCache>
                      <c:formatCode>General</c:formatCode>
                      <c:ptCount val="16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8</c:v>
                      </c:pt>
                      <c:pt idx="87">
                        <c:v>35</c:v>
                      </c:pt>
                      <c:pt idx="88">
                        <c:v>51</c:v>
                      </c:pt>
                      <c:pt idx="89">
                        <c:v>33</c:v>
                      </c:pt>
                      <c:pt idx="90">
                        <c:v>26</c:v>
                      </c:pt>
                      <c:pt idx="91">
                        <c:v>16</c:v>
                      </c:pt>
                      <c:pt idx="92">
                        <c:v>5</c:v>
                      </c:pt>
                      <c:pt idx="93">
                        <c:v>9</c:v>
                      </c:pt>
                      <c:pt idx="94">
                        <c:v>3</c:v>
                      </c:pt>
                      <c:pt idx="95">
                        <c:v>6</c:v>
                      </c:pt>
                      <c:pt idx="96">
                        <c:v>15</c:v>
                      </c:pt>
                      <c:pt idx="97">
                        <c:v>0</c:v>
                      </c:pt>
                      <c:pt idx="98">
                        <c:v>3</c:v>
                      </c:pt>
                      <c:pt idx="99">
                        <c:v>1</c:v>
                      </c:pt>
                      <c:pt idx="100">
                        <c:v>5</c:v>
                      </c:pt>
                      <c:pt idx="101">
                        <c:v>0</c:v>
                      </c:pt>
                      <c:pt idx="102">
                        <c:v>4</c:v>
                      </c:pt>
                      <c:pt idx="103">
                        <c:v>2</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extLst xmlns:c15="http://schemas.microsoft.com/office/drawing/2012/chart">
                  <c:ext xmlns:c16="http://schemas.microsoft.com/office/drawing/2014/chart" uri="{C3380CC4-5D6E-409C-BE32-E72D297353CC}">
                    <c16:uniqueId val="{0000000E-59EC-4B9E-A744-04C251BD2B69}"/>
                  </c:ext>
                </c:extLst>
              </c15:ser>
            </c15:filteredBarSeries>
            <c15:filteredBarSeries>
              <c15:ser>
                <c:idx val="15"/>
                <c:order val="15"/>
                <c:tx>
                  <c:strRef>
                    <c:extLst xmlns:c15="http://schemas.microsoft.com/office/drawing/2012/chart">
                      <c:ext xmlns:c15="http://schemas.microsoft.com/office/drawing/2012/chart" uri="{02D57815-91ED-43cb-92C2-25804820EDAC}">
                        <c15:formulaRef>
                          <c15:sqref>G1_Characteristics_WorkToGo!$G$24</c15:sqref>
                        </c15:formulaRef>
                      </c:ext>
                    </c:extLst>
                    <c:strCache>
                      <c:ptCount val="1"/>
                      <c:pt idx="0">
                        <c:v>Summaries (To-Go)</c:v>
                      </c:pt>
                    </c:strCache>
                  </c:strRef>
                </c:tx>
                <c:spPr>
                  <a:solidFill>
                    <a:schemeClr val="accent4">
                      <a:lumMod val="80000"/>
                      <a:lumOff val="20000"/>
                    </a:schemeClr>
                  </a:solidFill>
                  <a:ln>
                    <a:noFill/>
                  </a:ln>
                  <a:effectLst/>
                </c:spPr>
                <c:invertIfNegative val="0"/>
                <c:cat>
                  <c:numRef>
                    <c:extLst xmlns:c15="http://schemas.microsoft.com/office/drawing/2012/chart">
                      <c:ext xmlns:c15="http://schemas.microsoft.com/office/drawing/2012/char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xmlns:c15="http://schemas.microsoft.com/office/drawing/2012/chart">
                      <c:ext xmlns:c15="http://schemas.microsoft.com/office/drawing/2012/chart" uri="{02D57815-91ED-43cb-92C2-25804820EDAC}">
                        <c15:formulaRef>
                          <c15:sqref>G1_Characteristics_WorkToGo!$H$24:$FT$24</c15:sqref>
                        </c15:formulaRef>
                      </c:ext>
                    </c:extLst>
                    <c:numCache>
                      <c:formatCode>General</c:formatCode>
                      <c:ptCount val="169"/>
                      <c:pt idx="0">
                        <c:v>54</c:v>
                      </c:pt>
                      <c:pt idx="1">
                        <c:v>54</c:v>
                      </c:pt>
                      <c:pt idx="2">
                        <c:v>54</c:v>
                      </c:pt>
                      <c:pt idx="3">
                        <c:v>54</c:v>
                      </c:pt>
                      <c:pt idx="4">
                        <c:v>54</c:v>
                      </c:pt>
                      <c:pt idx="5">
                        <c:v>54</c:v>
                      </c:pt>
                      <c:pt idx="6">
                        <c:v>54</c:v>
                      </c:pt>
                      <c:pt idx="7">
                        <c:v>54</c:v>
                      </c:pt>
                      <c:pt idx="8">
                        <c:v>54</c:v>
                      </c:pt>
                      <c:pt idx="9">
                        <c:v>54</c:v>
                      </c:pt>
                      <c:pt idx="10">
                        <c:v>54</c:v>
                      </c:pt>
                      <c:pt idx="11">
                        <c:v>54</c:v>
                      </c:pt>
                      <c:pt idx="12">
                        <c:v>55</c:v>
                      </c:pt>
                      <c:pt idx="13">
                        <c:v>55</c:v>
                      </c:pt>
                      <c:pt idx="14">
                        <c:v>55</c:v>
                      </c:pt>
                      <c:pt idx="15">
                        <c:v>55</c:v>
                      </c:pt>
                      <c:pt idx="16">
                        <c:v>55</c:v>
                      </c:pt>
                      <c:pt idx="17">
                        <c:v>55</c:v>
                      </c:pt>
                      <c:pt idx="18">
                        <c:v>55</c:v>
                      </c:pt>
                      <c:pt idx="19">
                        <c:v>55</c:v>
                      </c:pt>
                      <c:pt idx="20">
                        <c:v>55</c:v>
                      </c:pt>
                      <c:pt idx="21">
                        <c:v>55</c:v>
                      </c:pt>
                      <c:pt idx="22">
                        <c:v>55</c:v>
                      </c:pt>
                      <c:pt idx="23">
                        <c:v>55</c:v>
                      </c:pt>
                      <c:pt idx="24">
                        <c:v>55</c:v>
                      </c:pt>
                      <c:pt idx="25">
                        <c:v>55</c:v>
                      </c:pt>
                      <c:pt idx="26">
                        <c:v>55</c:v>
                      </c:pt>
                      <c:pt idx="27">
                        <c:v>55</c:v>
                      </c:pt>
                      <c:pt idx="28">
                        <c:v>55</c:v>
                      </c:pt>
                      <c:pt idx="29">
                        <c:v>55</c:v>
                      </c:pt>
                      <c:pt idx="30">
                        <c:v>55</c:v>
                      </c:pt>
                      <c:pt idx="31">
                        <c:v>55</c:v>
                      </c:pt>
                      <c:pt idx="32">
                        <c:v>55</c:v>
                      </c:pt>
                      <c:pt idx="33">
                        <c:v>55</c:v>
                      </c:pt>
                      <c:pt idx="34">
                        <c:v>55</c:v>
                      </c:pt>
                      <c:pt idx="35">
                        <c:v>55</c:v>
                      </c:pt>
                      <c:pt idx="36">
                        <c:v>56</c:v>
                      </c:pt>
                      <c:pt idx="37">
                        <c:v>56</c:v>
                      </c:pt>
                      <c:pt idx="38">
                        <c:v>57</c:v>
                      </c:pt>
                      <c:pt idx="39">
                        <c:v>58</c:v>
                      </c:pt>
                      <c:pt idx="40">
                        <c:v>58</c:v>
                      </c:pt>
                      <c:pt idx="41">
                        <c:v>58</c:v>
                      </c:pt>
                      <c:pt idx="42">
                        <c:v>58</c:v>
                      </c:pt>
                      <c:pt idx="43">
                        <c:v>58</c:v>
                      </c:pt>
                      <c:pt idx="44">
                        <c:v>58</c:v>
                      </c:pt>
                      <c:pt idx="45">
                        <c:v>58</c:v>
                      </c:pt>
                      <c:pt idx="46">
                        <c:v>58</c:v>
                      </c:pt>
                      <c:pt idx="47">
                        <c:v>59</c:v>
                      </c:pt>
                      <c:pt idx="48">
                        <c:v>59</c:v>
                      </c:pt>
                      <c:pt idx="49">
                        <c:v>59</c:v>
                      </c:pt>
                      <c:pt idx="50">
                        <c:v>59</c:v>
                      </c:pt>
                      <c:pt idx="51">
                        <c:v>60</c:v>
                      </c:pt>
                      <c:pt idx="52">
                        <c:v>60</c:v>
                      </c:pt>
                      <c:pt idx="53">
                        <c:v>60</c:v>
                      </c:pt>
                      <c:pt idx="54">
                        <c:v>60</c:v>
                      </c:pt>
                      <c:pt idx="55">
                        <c:v>60</c:v>
                      </c:pt>
                      <c:pt idx="56">
                        <c:v>61</c:v>
                      </c:pt>
                      <c:pt idx="57">
                        <c:v>61</c:v>
                      </c:pt>
                      <c:pt idx="58">
                        <c:v>61</c:v>
                      </c:pt>
                      <c:pt idx="59">
                        <c:v>61</c:v>
                      </c:pt>
                      <c:pt idx="60">
                        <c:v>64</c:v>
                      </c:pt>
                      <c:pt idx="61">
                        <c:v>64</c:v>
                      </c:pt>
                      <c:pt idx="62">
                        <c:v>65</c:v>
                      </c:pt>
                      <c:pt idx="63">
                        <c:v>67</c:v>
                      </c:pt>
                      <c:pt idx="64">
                        <c:v>67</c:v>
                      </c:pt>
                      <c:pt idx="65">
                        <c:v>68</c:v>
                      </c:pt>
                      <c:pt idx="66">
                        <c:v>68</c:v>
                      </c:pt>
                      <c:pt idx="67">
                        <c:v>68</c:v>
                      </c:pt>
                      <c:pt idx="68">
                        <c:v>69</c:v>
                      </c:pt>
                      <c:pt idx="69">
                        <c:v>73</c:v>
                      </c:pt>
                      <c:pt idx="70">
                        <c:v>74</c:v>
                      </c:pt>
                      <c:pt idx="71">
                        <c:v>78</c:v>
                      </c:pt>
                      <c:pt idx="72">
                        <c:v>80</c:v>
                      </c:pt>
                      <c:pt idx="73">
                        <c:v>82</c:v>
                      </c:pt>
                      <c:pt idx="74">
                        <c:v>89</c:v>
                      </c:pt>
                      <c:pt idx="75">
                        <c:v>92</c:v>
                      </c:pt>
                      <c:pt idx="76">
                        <c:v>94</c:v>
                      </c:pt>
                      <c:pt idx="77">
                        <c:v>99</c:v>
                      </c:pt>
                      <c:pt idx="78">
                        <c:v>101</c:v>
                      </c:pt>
                      <c:pt idx="79">
                        <c:v>103</c:v>
                      </c:pt>
                      <c:pt idx="80">
                        <c:v>105</c:v>
                      </c:pt>
                      <c:pt idx="81">
                        <c:v>112</c:v>
                      </c:pt>
                      <c:pt idx="82">
                        <c:v>114</c:v>
                      </c:pt>
                      <c:pt idx="83">
                        <c:v>118</c:v>
                      </c:pt>
                      <c:pt idx="84">
                        <c:v>122</c:v>
                      </c:pt>
                      <c:pt idx="85">
                        <c:v>125</c:v>
                      </c:pt>
                      <c:pt idx="86">
                        <c:v>136</c:v>
                      </c:pt>
                      <c:pt idx="87">
                        <c:v>139</c:v>
                      </c:pt>
                      <c:pt idx="88">
                        <c:v>131</c:v>
                      </c:pt>
                      <c:pt idx="89">
                        <c:v>119</c:v>
                      </c:pt>
                      <c:pt idx="90">
                        <c:v>86</c:v>
                      </c:pt>
                      <c:pt idx="91">
                        <c:v>65</c:v>
                      </c:pt>
                      <c:pt idx="92">
                        <c:v>49</c:v>
                      </c:pt>
                      <c:pt idx="93">
                        <c:v>50</c:v>
                      </c:pt>
                      <c:pt idx="94">
                        <c:v>35</c:v>
                      </c:pt>
                      <c:pt idx="95">
                        <c:v>33</c:v>
                      </c:pt>
                      <c:pt idx="96">
                        <c:v>27</c:v>
                      </c:pt>
                      <c:pt idx="97">
                        <c:v>13</c:v>
                      </c:pt>
                      <c:pt idx="98">
                        <c:v>14</c:v>
                      </c:pt>
                      <c:pt idx="99">
                        <c:v>10</c:v>
                      </c:pt>
                      <c:pt idx="100">
                        <c:v>10</c:v>
                      </c:pt>
                      <c:pt idx="101">
                        <c:v>3</c:v>
                      </c:pt>
                      <c:pt idx="102">
                        <c:v>3</c:v>
                      </c:pt>
                      <c:pt idx="103">
                        <c:v>3</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extLst xmlns:c15="http://schemas.microsoft.com/office/drawing/2012/chart">
                  <c:ext xmlns:c16="http://schemas.microsoft.com/office/drawing/2014/chart" uri="{C3380CC4-5D6E-409C-BE32-E72D297353CC}">
                    <c16:uniqueId val="{0000000F-59EC-4B9E-A744-04C251BD2B69}"/>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G1_Characteristics_WorkToGo!$G$25</c15:sqref>
                        </c15:formulaRef>
                      </c:ext>
                    </c:extLst>
                    <c:strCache>
                      <c:ptCount val="1"/>
                      <c:pt idx="0">
                        <c:v>Hammocks (To-Go)</c:v>
                      </c:pt>
                    </c:strCache>
                  </c:strRef>
                </c:tx>
                <c:spPr>
                  <a:solidFill>
                    <a:schemeClr val="accent5">
                      <a:lumMod val="80000"/>
                      <a:lumOff val="20000"/>
                    </a:schemeClr>
                  </a:solidFill>
                  <a:ln>
                    <a:noFill/>
                  </a:ln>
                  <a:effectLst/>
                </c:spPr>
                <c:invertIfNegative val="0"/>
                <c:cat>
                  <c:numRef>
                    <c:extLst xmlns:c15="http://schemas.microsoft.com/office/drawing/2012/chart">
                      <c:ext xmlns:c15="http://schemas.microsoft.com/office/drawing/2012/char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xmlns:c15="http://schemas.microsoft.com/office/drawing/2012/chart">
                      <c:ext xmlns:c15="http://schemas.microsoft.com/office/drawing/2012/chart" uri="{02D57815-91ED-43cb-92C2-25804820EDAC}">
                        <c15:formulaRef>
                          <c15:sqref>G1_Characteristics_WorkToGo!$H$25:$FT$25</c15:sqref>
                        </c15:formulaRef>
                      </c:ext>
                    </c:extLst>
                    <c:numCache>
                      <c:formatCode>General</c:formatCode>
                      <c:ptCount val="16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extLst xmlns:c15="http://schemas.microsoft.com/office/drawing/2012/chart">
                  <c:ext xmlns:c16="http://schemas.microsoft.com/office/drawing/2014/chart" uri="{C3380CC4-5D6E-409C-BE32-E72D297353CC}">
                    <c16:uniqueId val="{00000010-59EC-4B9E-A744-04C251BD2B69}"/>
                  </c:ext>
                </c:extLst>
              </c15:ser>
            </c15:filteredBarSeries>
          </c:ext>
        </c:extLst>
      </c:barChart>
      <c:lineChart>
        <c:grouping val="standard"/>
        <c:varyColors val="0"/>
        <c:ser>
          <c:idx val="18"/>
          <c:order val="18"/>
          <c:tx>
            <c:strRef>
              <c:f>G1_Characteristics_WorkToGo!$G$27</c:f>
              <c:strCache>
                <c:ptCount val="1"/>
                <c:pt idx="0">
                  <c:v>Longest Path (Tasks &amp; Milestones)</c:v>
                </c:pt>
              </c:strCache>
            </c:strRef>
          </c:tx>
          <c:spPr>
            <a:ln w="28575" cap="rnd">
              <a:solidFill>
                <a:schemeClr val="accent2">
                  <a:lumMod val="75000"/>
                </a:schemeClr>
              </a:solidFill>
              <a:round/>
            </a:ln>
            <a:effectLst/>
          </c:spPr>
          <c:marker>
            <c:symbol val="none"/>
          </c:marker>
          <c:cat>
            <c:numRef>
              <c:f>G1_Characteristics_WorkToGo!$H$8:$FT$8</c:f>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f>G1_Characteristics_WorkToGo!$H$27:$FT$27</c:f>
              <c:numCache>
                <c:formatCode>General</c:formatCode>
                <c:ptCount val="16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1</c:v>
                </c:pt>
                <c:pt idx="87">
                  <c:v>13</c:v>
                </c:pt>
                <c:pt idx="88">
                  <c:v>22</c:v>
                </c:pt>
                <c:pt idx="89">
                  <c:v>26</c:v>
                </c:pt>
                <c:pt idx="90">
                  <c:v>10</c:v>
                </c:pt>
                <c:pt idx="91">
                  <c:v>9</c:v>
                </c:pt>
                <c:pt idx="92">
                  <c:v>5</c:v>
                </c:pt>
                <c:pt idx="93">
                  <c:v>18</c:v>
                </c:pt>
                <c:pt idx="94">
                  <c:v>12</c:v>
                </c:pt>
                <c:pt idx="95">
                  <c:v>13</c:v>
                </c:pt>
                <c:pt idx="96">
                  <c:v>25</c:v>
                </c:pt>
                <c:pt idx="97">
                  <c:v>7</c:v>
                </c:pt>
                <c:pt idx="98">
                  <c:v>6</c:v>
                </c:pt>
                <c:pt idx="99">
                  <c:v>1</c:v>
                </c:pt>
                <c:pt idx="100">
                  <c:v>4</c:v>
                </c:pt>
                <c:pt idx="101">
                  <c:v>1</c:v>
                </c:pt>
                <c:pt idx="102">
                  <c:v>7</c:v>
                </c:pt>
                <c:pt idx="103">
                  <c:v>3</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smooth val="0"/>
          <c:extLst>
            <c:ext xmlns:c16="http://schemas.microsoft.com/office/drawing/2014/chart" uri="{C3380CC4-5D6E-409C-BE32-E72D297353CC}">
              <c16:uniqueId val="{00000012-59EC-4B9E-A744-04C251BD2B69}"/>
            </c:ext>
          </c:extLst>
        </c:ser>
        <c:dLbls>
          <c:showLegendKey val="0"/>
          <c:showVal val="0"/>
          <c:showCatName val="0"/>
          <c:showSerName val="0"/>
          <c:showPercent val="0"/>
          <c:showBubbleSize val="0"/>
        </c:dLbls>
        <c:marker val="1"/>
        <c:smooth val="0"/>
        <c:axId val="1413648640"/>
        <c:axId val="1413649056"/>
        <c:extLst>
          <c:ext xmlns:c15="http://schemas.microsoft.com/office/drawing/2012/chart" uri="{02D57815-91ED-43cb-92C2-25804820EDAC}">
            <c15:filteredLineSeries>
              <c15:ser>
                <c:idx val="14"/>
                <c:order val="14"/>
                <c:tx>
                  <c:strRef>
                    <c:extLst>
                      <c:ext uri="{02D57815-91ED-43cb-92C2-25804820EDAC}">
                        <c15:formulaRef>
                          <c15:sqref>G1_Characteristics_WorkToGo!$G$23</c15:sqref>
                        </c15:formulaRef>
                      </c:ext>
                    </c:extLst>
                    <c:strCache>
                      <c:ptCount val="1"/>
                      <c:pt idx="0">
                        <c:v>Normal Tasks (To-Go)</c:v>
                      </c:pt>
                    </c:strCache>
                  </c:strRef>
                </c:tx>
                <c:spPr>
                  <a:ln w="28575" cap="rnd">
                    <a:solidFill>
                      <a:schemeClr val="accent2"/>
                    </a:solidFill>
                    <a:round/>
                  </a:ln>
                  <a:effectLst/>
                </c:spPr>
                <c:marker>
                  <c:symbol val="none"/>
                </c:marker>
                <c:cat>
                  <c:numRef>
                    <c:extLst>
                      <c:ex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c:ext uri="{02D57815-91ED-43cb-92C2-25804820EDAC}">
                        <c15:formulaRef>
                          <c15:sqref>G1_Characteristics_WorkToGo!$H$23:$FT$23</c15:sqref>
                        </c15:formulaRef>
                      </c:ext>
                    </c:extLst>
                    <c:numCache>
                      <c:formatCode>General</c:formatCode>
                      <c:ptCount val="16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1</c:v>
                      </c:pt>
                      <c:pt idx="64">
                        <c:v>1</c:v>
                      </c:pt>
                      <c:pt idx="65">
                        <c:v>1</c:v>
                      </c:pt>
                      <c:pt idx="66">
                        <c:v>1</c:v>
                      </c:pt>
                      <c:pt idx="67">
                        <c:v>1</c:v>
                      </c:pt>
                      <c:pt idx="68">
                        <c:v>1</c:v>
                      </c:pt>
                      <c:pt idx="69">
                        <c:v>2</c:v>
                      </c:pt>
                      <c:pt idx="70">
                        <c:v>3</c:v>
                      </c:pt>
                      <c:pt idx="71">
                        <c:v>3</c:v>
                      </c:pt>
                      <c:pt idx="72">
                        <c:v>4</c:v>
                      </c:pt>
                      <c:pt idx="73">
                        <c:v>4</c:v>
                      </c:pt>
                      <c:pt idx="74">
                        <c:v>4</c:v>
                      </c:pt>
                      <c:pt idx="75">
                        <c:v>5</c:v>
                      </c:pt>
                      <c:pt idx="76">
                        <c:v>5</c:v>
                      </c:pt>
                      <c:pt idx="77">
                        <c:v>8</c:v>
                      </c:pt>
                      <c:pt idx="78">
                        <c:v>9</c:v>
                      </c:pt>
                      <c:pt idx="79">
                        <c:v>11</c:v>
                      </c:pt>
                      <c:pt idx="80">
                        <c:v>11</c:v>
                      </c:pt>
                      <c:pt idx="81">
                        <c:v>13</c:v>
                      </c:pt>
                      <c:pt idx="82">
                        <c:v>16</c:v>
                      </c:pt>
                      <c:pt idx="83">
                        <c:v>21</c:v>
                      </c:pt>
                      <c:pt idx="84">
                        <c:v>23</c:v>
                      </c:pt>
                      <c:pt idx="85">
                        <c:v>25</c:v>
                      </c:pt>
                      <c:pt idx="86">
                        <c:v>48</c:v>
                      </c:pt>
                      <c:pt idx="87">
                        <c:v>122</c:v>
                      </c:pt>
                      <c:pt idx="88">
                        <c:v>97</c:v>
                      </c:pt>
                      <c:pt idx="89">
                        <c:v>89</c:v>
                      </c:pt>
                      <c:pt idx="90">
                        <c:v>69</c:v>
                      </c:pt>
                      <c:pt idx="91">
                        <c:v>45</c:v>
                      </c:pt>
                      <c:pt idx="92">
                        <c:v>24</c:v>
                      </c:pt>
                      <c:pt idx="93">
                        <c:v>33</c:v>
                      </c:pt>
                      <c:pt idx="94">
                        <c:v>21</c:v>
                      </c:pt>
                      <c:pt idx="95">
                        <c:v>23</c:v>
                      </c:pt>
                      <c:pt idx="96">
                        <c:v>32</c:v>
                      </c:pt>
                      <c:pt idx="97">
                        <c:v>11</c:v>
                      </c:pt>
                      <c:pt idx="98">
                        <c:v>7</c:v>
                      </c:pt>
                      <c:pt idx="99">
                        <c:v>5</c:v>
                      </c:pt>
                      <c:pt idx="100">
                        <c:v>4</c:v>
                      </c:pt>
                      <c:pt idx="101">
                        <c:v>1</c:v>
                      </c:pt>
                      <c:pt idx="102">
                        <c:v>3</c:v>
                      </c:pt>
                      <c:pt idx="103">
                        <c:v>1</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smooth val="0"/>
                <c:extLst>
                  <c:ext xmlns:c16="http://schemas.microsoft.com/office/drawing/2014/chart" uri="{C3380CC4-5D6E-409C-BE32-E72D297353CC}">
                    <c16:uniqueId val="{00000003-59EC-4B9E-A744-04C251BD2B69}"/>
                  </c:ext>
                </c:extLst>
              </c15:ser>
            </c15:filteredLineSeries>
            <c15:filteredLineSeries>
              <c15:ser>
                <c:idx val="17"/>
                <c:order val="17"/>
                <c:tx>
                  <c:strRef>
                    <c:extLst xmlns:c15="http://schemas.microsoft.com/office/drawing/2012/chart">
                      <c:ext xmlns:c15="http://schemas.microsoft.com/office/drawing/2012/chart" uri="{02D57815-91ED-43cb-92C2-25804820EDAC}">
                        <c15:formulaRef>
                          <c15:sqref>G1_Characteristics_WorkToGo!$G$26</c15:sqref>
                        </c15:formulaRef>
                      </c:ext>
                    </c:extLst>
                    <c:strCache>
                      <c:ptCount val="1"/>
                      <c:pt idx="0">
                        <c:v>Recurring Tasks (To-Go)</c:v>
                      </c:pt>
                    </c:strCache>
                  </c:strRef>
                </c:tx>
                <c:spPr>
                  <a:ln w="28575" cap="rnd">
                    <a:solidFill>
                      <a:schemeClr val="accent6">
                        <a:lumMod val="80000"/>
                        <a:lumOff val="20000"/>
                      </a:schemeClr>
                    </a:solidFill>
                    <a:round/>
                  </a:ln>
                  <a:effectLst/>
                </c:spPr>
                <c:marker>
                  <c:symbol val="none"/>
                </c:marker>
                <c:cat>
                  <c:numRef>
                    <c:extLst xmlns:c15="http://schemas.microsoft.com/office/drawing/2012/chart">
                      <c:ext xmlns:c15="http://schemas.microsoft.com/office/drawing/2012/char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xmlns:c15="http://schemas.microsoft.com/office/drawing/2012/chart">
                      <c:ext xmlns:c15="http://schemas.microsoft.com/office/drawing/2012/chart" uri="{02D57815-91ED-43cb-92C2-25804820EDAC}">
                        <c15:formulaRef>
                          <c15:sqref>G1_Characteristics_WorkToGo!$H$26:$FT$26</c15:sqref>
                        </c15:formulaRef>
                      </c:ext>
                    </c:extLst>
                    <c:numCache>
                      <c:formatCode>General</c:formatCode>
                      <c:ptCount val="16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smooth val="0"/>
                <c:extLst xmlns:c15="http://schemas.microsoft.com/office/drawing/2012/chart">
                  <c:ext xmlns:c16="http://schemas.microsoft.com/office/drawing/2014/chart" uri="{C3380CC4-5D6E-409C-BE32-E72D297353CC}">
                    <c16:uniqueId val="{00000011-59EC-4B9E-A744-04C251BD2B69}"/>
                  </c:ext>
                </c:extLst>
              </c15:ser>
            </c15:filteredLineSeries>
            <c15:filteredLineSeries>
              <c15:ser>
                <c:idx val="19"/>
                <c:order val="19"/>
                <c:tx>
                  <c:strRef>
                    <c:extLst xmlns:c15="http://schemas.microsoft.com/office/drawing/2012/chart">
                      <c:ext xmlns:c15="http://schemas.microsoft.com/office/drawing/2012/chart" uri="{02D57815-91ED-43cb-92C2-25804820EDAC}">
                        <c15:formulaRef>
                          <c15:sqref>G1_Characteristics_WorkToGo!$G$28</c15:sqref>
                        </c15:formulaRef>
                      </c:ext>
                    </c:extLst>
                    <c:strCache>
                      <c:ptCount val="1"/>
                      <c:pt idx="0">
                        <c:v>Longest Path (Normal Tasks)</c:v>
                      </c:pt>
                    </c:strCache>
                  </c:strRef>
                </c:tx>
                <c:spPr>
                  <a:ln w="28575" cap="rnd">
                    <a:solidFill>
                      <a:schemeClr val="accent2">
                        <a:lumMod val="80000"/>
                      </a:schemeClr>
                    </a:solidFill>
                    <a:round/>
                  </a:ln>
                  <a:effectLst/>
                </c:spPr>
                <c:marker>
                  <c:symbol val="none"/>
                </c:marker>
                <c:cat>
                  <c:numRef>
                    <c:extLst xmlns:c15="http://schemas.microsoft.com/office/drawing/2012/chart">
                      <c:ext xmlns:c15="http://schemas.microsoft.com/office/drawing/2012/char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xmlns:c15="http://schemas.microsoft.com/office/drawing/2012/chart">
                      <c:ext xmlns:c15="http://schemas.microsoft.com/office/drawing/2012/chart" uri="{02D57815-91ED-43cb-92C2-25804820EDAC}">
                        <c15:formulaRef>
                          <c15:sqref>G1_Characteristics_WorkToGo!$H$28:$FT$28</c15:sqref>
                        </c15:formulaRef>
                      </c:ext>
                    </c:extLst>
                    <c:numCache>
                      <c:formatCode>General</c:formatCode>
                      <c:ptCount val="16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1</c:v>
                      </c:pt>
                      <c:pt idx="87">
                        <c:v>12</c:v>
                      </c:pt>
                      <c:pt idx="88">
                        <c:v>16</c:v>
                      </c:pt>
                      <c:pt idx="89">
                        <c:v>15</c:v>
                      </c:pt>
                      <c:pt idx="90">
                        <c:v>9</c:v>
                      </c:pt>
                      <c:pt idx="91">
                        <c:v>6</c:v>
                      </c:pt>
                      <c:pt idx="92">
                        <c:v>5</c:v>
                      </c:pt>
                      <c:pt idx="93">
                        <c:v>17</c:v>
                      </c:pt>
                      <c:pt idx="94">
                        <c:v>10</c:v>
                      </c:pt>
                      <c:pt idx="95">
                        <c:v>11</c:v>
                      </c:pt>
                      <c:pt idx="96">
                        <c:v>21</c:v>
                      </c:pt>
                      <c:pt idx="97">
                        <c:v>7</c:v>
                      </c:pt>
                      <c:pt idx="98">
                        <c:v>4</c:v>
                      </c:pt>
                      <c:pt idx="99">
                        <c:v>1</c:v>
                      </c:pt>
                      <c:pt idx="100">
                        <c:v>3</c:v>
                      </c:pt>
                      <c:pt idx="101">
                        <c:v>1</c:v>
                      </c:pt>
                      <c:pt idx="102">
                        <c:v>3</c:v>
                      </c:pt>
                      <c:pt idx="103">
                        <c:v>1</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smooth val="0"/>
                <c:extLst xmlns:c15="http://schemas.microsoft.com/office/drawing/2012/chart">
                  <c:ext xmlns:c16="http://schemas.microsoft.com/office/drawing/2014/chart" uri="{C3380CC4-5D6E-409C-BE32-E72D297353CC}">
                    <c16:uniqueId val="{00000013-59EC-4B9E-A744-04C251BD2B69}"/>
                  </c:ext>
                </c:extLst>
              </c15:ser>
            </c15:filteredLineSeries>
            <c15:filteredLineSeries>
              <c15:ser>
                <c:idx val="20"/>
                <c:order val="20"/>
                <c:tx>
                  <c:strRef>
                    <c:extLst xmlns:c15="http://schemas.microsoft.com/office/drawing/2012/chart">
                      <c:ext xmlns:c15="http://schemas.microsoft.com/office/drawing/2012/chart" uri="{02D57815-91ED-43cb-92C2-25804820EDAC}">
                        <c15:formulaRef>
                          <c15:sqref>G1_Characteristics_WorkToGo!$G$29</c15:sqref>
                        </c15:formulaRef>
                      </c:ext>
                    </c:extLst>
                    <c:strCache>
                      <c:ptCount val="1"/>
                      <c:pt idx="0">
                        <c:v>Longest Path (Milestones)</c:v>
                      </c:pt>
                    </c:strCache>
                  </c:strRef>
                </c:tx>
                <c:spPr>
                  <a:ln w="28575" cap="rnd">
                    <a:solidFill>
                      <a:schemeClr val="accent3">
                        <a:lumMod val="80000"/>
                      </a:schemeClr>
                    </a:solidFill>
                    <a:round/>
                  </a:ln>
                  <a:effectLst/>
                </c:spPr>
                <c:marker>
                  <c:symbol val="none"/>
                </c:marker>
                <c:cat>
                  <c:numRef>
                    <c:extLst xmlns:c15="http://schemas.microsoft.com/office/drawing/2012/chart">
                      <c:ext xmlns:c15="http://schemas.microsoft.com/office/drawing/2012/char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xmlns:c15="http://schemas.microsoft.com/office/drawing/2012/chart">
                      <c:ext xmlns:c15="http://schemas.microsoft.com/office/drawing/2012/chart" uri="{02D57815-91ED-43cb-92C2-25804820EDAC}">
                        <c15:formulaRef>
                          <c15:sqref>G1_Characteristics_WorkToGo!$H$29:$FT$29</c15:sqref>
                        </c15:formulaRef>
                      </c:ext>
                    </c:extLst>
                    <c:numCache>
                      <c:formatCode>General</c:formatCode>
                      <c:ptCount val="16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1</c:v>
                      </c:pt>
                      <c:pt idx="88">
                        <c:v>6</c:v>
                      </c:pt>
                      <c:pt idx="89">
                        <c:v>11</c:v>
                      </c:pt>
                      <c:pt idx="90">
                        <c:v>1</c:v>
                      </c:pt>
                      <c:pt idx="91">
                        <c:v>3</c:v>
                      </c:pt>
                      <c:pt idx="92">
                        <c:v>0</c:v>
                      </c:pt>
                      <c:pt idx="93">
                        <c:v>1</c:v>
                      </c:pt>
                      <c:pt idx="94">
                        <c:v>2</c:v>
                      </c:pt>
                      <c:pt idx="95">
                        <c:v>2</c:v>
                      </c:pt>
                      <c:pt idx="96">
                        <c:v>4</c:v>
                      </c:pt>
                      <c:pt idx="97">
                        <c:v>0</c:v>
                      </c:pt>
                      <c:pt idx="98">
                        <c:v>2</c:v>
                      </c:pt>
                      <c:pt idx="99">
                        <c:v>0</c:v>
                      </c:pt>
                      <c:pt idx="100">
                        <c:v>1</c:v>
                      </c:pt>
                      <c:pt idx="101">
                        <c:v>0</c:v>
                      </c:pt>
                      <c:pt idx="102">
                        <c:v>4</c:v>
                      </c:pt>
                      <c:pt idx="103">
                        <c:v>2</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smooth val="0"/>
                <c:extLst xmlns:c15="http://schemas.microsoft.com/office/drawing/2012/chart">
                  <c:ext xmlns:c16="http://schemas.microsoft.com/office/drawing/2014/chart" uri="{C3380CC4-5D6E-409C-BE32-E72D297353CC}">
                    <c16:uniqueId val="{00000014-59EC-4B9E-A744-04C251BD2B69}"/>
                  </c:ext>
                </c:extLst>
              </c15:ser>
            </c15:filteredLineSeries>
            <c15:filteredLineSeries>
              <c15:ser>
                <c:idx val="21"/>
                <c:order val="21"/>
                <c:tx>
                  <c:strRef>
                    <c:extLst xmlns:c15="http://schemas.microsoft.com/office/drawing/2012/chart">
                      <c:ext xmlns:c15="http://schemas.microsoft.com/office/drawing/2012/chart" uri="{02D57815-91ED-43cb-92C2-25804820EDAC}">
                        <c15:formulaRef>
                          <c15:sqref>G1_Characteristics_WorkToGo!$G$32</c15:sqref>
                        </c15:formulaRef>
                      </c:ext>
                    </c:extLst>
                    <c:strCache>
                      <c:ptCount val="1"/>
                      <c:pt idx="0">
                        <c:v>Total New Tasks &amp; Milestones in Status Period</c:v>
                      </c:pt>
                    </c:strCache>
                  </c:strRef>
                </c:tx>
                <c:spPr>
                  <a:ln w="28575" cap="rnd">
                    <a:solidFill>
                      <a:schemeClr val="accent4">
                        <a:lumMod val="80000"/>
                      </a:schemeClr>
                    </a:solidFill>
                    <a:round/>
                  </a:ln>
                  <a:effectLst/>
                </c:spPr>
                <c:marker>
                  <c:symbol val="none"/>
                </c:marker>
                <c:cat>
                  <c:numRef>
                    <c:extLst xmlns:c15="http://schemas.microsoft.com/office/drawing/2012/chart">
                      <c:ext xmlns:c15="http://schemas.microsoft.com/office/drawing/2012/char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xmlns:c15="http://schemas.microsoft.com/office/drawing/2012/chart">
                      <c:ext xmlns:c15="http://schemas.microsoft.com/office/drawing/2012/chart" uri="{02D57815-91ED-43cb-92C2-25804820EDAC}">
                        <c15:formulaRef>
                          <c15:sqref>G1_Characteristics_WorkToGo!$H$32:$FT$32</c15:sqref>
                        </c15:formulaRef>
                      </c:ext>
                    </c:extLst>
                    <c:numCache>
                      <c:formatCode>General</c:formatCode>
                      <c:ptCount val="16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smooth val="0"/>
                <c:extLst xmlns:c15="http://schemas.microsoft.com/office/drawing/2012/chart">
                  <c:ext xmlns:c16="http://schemas.microsoft.com/office/drawing/2014/chart" uri="{C3380CC4-5D6E-409C-BE32-E72D297353CC}">
                    <c16:uniqueId val="{00000015-59EC-4B9E-A744-04C251BD2B69}"/>
                  </c:ext>
                </c:extLst>
              </c15:ser>
            </c15:filteredLineSeries>
            <c15:filteredLineSeries>
              <c15:ser>
                <c:idx val="22"/>
                <c:order val="22"/>
                <c:tx>
                  <c:strRef>
                    <c:extLst xmlns:c15="http://schemas.microsoft.com/office/drawing/2012/chart">
                      <c:ext xmlns:c15="http://schemas.microsoft.com/office/drawing/2012/chart" uri="{02D57815-91ED-43cb-92C2-25804820EDAC}">
                        <c15:formulaRef>
                          <c15:sqref>G1_Characteristics_WorkToGo!$G$33</c15:sqref>
                        </c15:formulaRef>
                      </c:ext>
                    </c:extLst>
                    <c:strCache>
                      <c:ptCount val="1"/>
                      <c:pt idx="0">
                        <c:v>Total New Completed Tasks &amp; Milestones in Status Period</c:v>
                      </c:pt>
                    </c:strCache>
                  </c:strRef>
                </c:tx>
                <c:spPr>
                  <a:ln w="28575" cap="rnd">
                    <a:solidFill>
                      <a:schemeClr val="accent5">
                        <a:lumMod val="80000"/>
                      </a:schemeClr>
                    </a:solidFill>
                    <a:round/>
                  </a:ln>
                  <a:effectLst/>
                </c:spPr>
                <c:marker>
                  <c:symbol val="none"/>
                </c:marker>
                <c:cat>
                  <c:numRef>
                    <c:extLst xmlns:c15="http://schemas.microsoft.com/office/drawing/2012/chart">
                      <c:ext xmlns:c15="http://schemas.microsoft.com/office/drawing/2012/char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xmlns:c15="http://schemas.microsoft.com/office/drawing/2012/chart">
                      <c:ext xmlns:c15="http://schemas.microsoft.com/office/drawing/2012/chart" uri="{02D57815-91ED-43cb-92C2-25804820EDAC}">
                        <c15:formulaRef>
                          <c15:sqref>G1_Characteristics_WorkToGo!$H$33:$FT$33</c15:sqref>
                        </c15:formulaRef>
                      </c:ext>
                    </c:extLst>
                    <c:numCache>
                      <c:formatCode>General</c:formatCode>
                      <c:ptCount val="16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smooth val="0"/>
                <c:extLst xmlns:c15="http://schemas.microsoft.com/office/drawing/2012/chart">
                  <c:ext xmlns:c16="http://schemas.microsoft.com/office/drawing/2014/chart" uri="{C3380CC4-5D6E-409C-BE32-E72D297353CC}">
                    <c16:uniqueId val="{00000016-59EC-4B9E-A744-04C251BD2B69}"/>
                  </c:ext>
                </c:extLst>
              </c15:ser>
            </c15:filteredLineSeries>
          </c:ext>
        </c:extLst>
      </c:lineChart>
      <c:dateAx>
        <c:axId val="1413648640"/>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649056"/>
        <c:crosses val="autoZero"/>
        <c:auto val="1"/>
        <c:lblOffset val="100"/>
        <c:baseTimeUnit val="months"/>
      </c:dateAx>
      <c:valAx>
        <c:axId val="1413649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6486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Completed vs Work-to-Go Tasks</a:t>
            </a:r>
            <a:r>
              <a:rPr lang="en-US" baseline="0"/>
              <a:t> (Normal Tasks &amp; Milestones)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ndard"/>
        <c:varyColors val="0"/>
        <c:ser>
          <c:idx val="7"/>
          <c:order val="7"/>
          <c:tx>
            <c:strRef>
              <c:f>G1_Characteristics_WorkToGo!$G$16</c:f>
              <c:strCache>
                <c:ptCount val="1"/>
                <c:pt idx="0">
                  <c:v>Total Tasks &amp; Milestones</c:v>
                </c:pt>
              </c:strCache>
            </c:strRef>
          </c:tx>
          <c:spPr>
            <a:solidFill>
              <a:schemeClr val="bg2">
                <a:lumMod val="75000"/>
              </a:schemeClr>
            </a:solidFill>
            <a:ln>
              <a:noFill/>
            </a:ln>
            <a:effectLst/>
          </c:spPr>
          <c:cat>
            <c:numRef>
              <c:f>G1_Characteristics_WorkToGo!$H$8:$FT$8</c:f>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f>G1_Characteristics_WorkToGo!$H$16:$FT$16</c:f>
              <c:numCache>
                <c:formatCode>General</c:formatCode>
                <c:ptCount val="169"/>
                <c:pt idx="0">
                  <c:v>371</c:v>
                </c:pt>
                <c:pt idx="1">
                  <c:v>1</c:v>
                </c:pt>
                <c:pt idx="2">
                  <c:v>0</c:v>
                </c:pt>
                <c:pt idx="3">
                  <c:v>1</c:v>
                </c:pt>
                <c:pt idx="4">
                  <c:v>1</c:v>
                </c:pt>
                <c:pt idx="5">
                  <c:v>1</c:v>
                </c:pt>
                <c:pt idx="6">
                  <c:v>3</c:v>
                </c:pt>
                <c:pt idx="7">
                  <c:v>4</c:v>
                </c:pt>
                <c:pt idx="8">
                  <c:v>3</c:v>
                </c:pt>
                <c:pt idx="9">
                  <c:v>1</c:v>
                </c:pt>
                <c:pt idx="10">
                  <c:v>3</c:v>
                </c:pt>
                <c:pt idx="11">
                  <c:v>3</c:v>
                </c:pt>
                <c:pt idx="12">
                  <c:v>6</c:v>
                </c:pt>
                <c:pt idx="13">
                  <c:v>4</c:v>
                </c:pt>
                <c:pt idx="14">
                  <c:v>5</c:v>
                </c:pt>
                <c:pt idx="15">
                  <c:v>8</c:v>
                </c:pt>
                <c:pt idx="16">
                  <c:v>6</c:v>
                </c:pt>
                <c:pt idx="17">
                  <c:v>8</c:v>
                </c:pt>
                <c:pt idx="18">
                  <c:v>6</c:v>
                </c:pt>
                <c:pt idx="19">
                  <c:v>4</c:v>
                </c:pt>
                <c:pt idx="20">
                  <c:v>7</c:v>
                </c:pt>
                <c:pt idx="21">
                  <c:v>10</c:v>
                </c:pt>
                <c:pt idx="22">
                  <c:v>13</c:v>
                </c:pt>
                <c:pt idx="23">
                  <c:v>14</c:v>
                </c:pt>
                <c:pt idx="24">
                  <c:v>15</c:v>
                </c:pt>
                <c:pt idx="25">
                  <c:v>30</c:v>
                </c:pt>
                <c:pt idx="26">
                  <c:v>31</c:v>
                </c:pt>
                <c:pt idx="27">
                  <c:v>20</c:v>
                </c:pt>
                <c:pt idx="28">
                  <c:v>22</c:v>
                </c:pt>
                <c:pt idx="29">
                  <c:v>14</c:v>
                </c:pt>
                <c:pt idx="30">
                  <c:v>12</c:v>
                </c:pt>
                <c:pt idx="31">
                  <c:v>9</c:v>
                </c:pt>
                <c:pt idx="32">
                  <c:v>11</c:v>
                </c:pt>
                <c:pt idx="33">
                  <c:v>20</c:v>
                </c:pt>
                <c:pt idx="34">
                  <c:v>17</c:v>
                </c:pt>
                <c:pt idx="35">
                  <c:v>37</c:v>
                </c:pt>
                <c:pt idx="36">
                  <c:v>47</c:v>
                </c:pt>
                <c:pt idx="37">
                  <c:v>52</c:v>
                </c:pt>
                <c:pt idx="38">
                  <c:v>39</c:v>
                </c:pt>
                <c:pt idx="39">
                  <c:v>50</c:v>
                </c:pt>
                <c:pt idx="40">
                  <c:v>45</c:v>
                </c:pt>
                <c:pt idx="41">
                  <c:v>112</c:v>
                </c:pt>
                <c:pt idx="42">
                  <c:v>102</c:v>
                </c:pt>
                <c:pt idx="43">
                  <c:v>96</c:v>
                </c:pt>
                <c:pt idx="44">
                  <c:v>92</c:v>
                </c:pt>
                <c:pt idx="45">
                  <c:v>88</c:v>
                </c:pt>
                <c:pt idx="46">
                  <c:v>104</c:v>
                </c:pt>
                <c:pt idx="47">
                  <c:v>122</c:v>
                </c:pt>
                <c:pt idx="48">
                  <c:v>110</c:v>
                </c:pt>
                <c:pt idx="49">
                  <c:v>102</c:v>
                </c:pt>
                <c:pt idx="50">
                  <c:v>131</c:v>
                </c:pt>
                <c:pt idx="51">
                  <c:v>130</c:v>
                </c:pt>
                <c:pt idx="52">
                  <c:v>92</c:v>
                </c:pt>
                <c:pt idx="53">
                  <c:v>79</c:v>
                </c:pt>
                <c:pt idx="54">
                  <c:v>108</c:v>
                </c:pt>
                <c:pt idx="55">
                  <c:v>104</c:v>
                </c:pt>
                <c:pt idx="56">
                  <c:v>104</c:v>
                </c:pt>
                <c:pt idx="57">
                  <c:v>155</c:v>
                </c:pt>
                <c:pt idx="58">
                  <c:v>135</c:v>
                </c:pt>
                <c:pt idx="59">
                  <c:v>132</c:v>
                </c:pt>
                <c:pt idx="60">
                  <c:v>135</c:v>
                </c:pt>
                <c:pt idx="61">
                  <c:v>141</c:v>
                </c:pt>
                <c:pt idx="62">
                  <c:v>131</c:v>
                </c:pt>
                <c:pt idx="63">
                  <c:v>138</c:v>
                </c:pt>
                <c:pt idx="64">
                  <c:v>112</c:v>
                </c:pt>
                <c:pt idx="65">
                  <c:v>106</c:v>
                </c:pt>
                <c:pt idx="66">
                  <c:v>158</c:v>
                </c:pt>
                <c:pt idx="67">
                  <c:v>135</c:v>
                </c:pt>
                <c:pt idx="68">
                  <c:v>134</c:v>
                </c:pt>
                <c:pt idx="69">
                  <c:v>163</c:v>
                </c:pt>
                <c:pt idx="70">
                  <c:v>264</c:v>
                </c:pt>
                <c:pt idx="71">
                  <c:v>139</c:v>
                </c:pt>
                <c:pt idx="72">
                  <c:v>142</c:v>
                </c:pt>
                <c:pt idx="73">
                  <c:v>154</c:v>
                </c:pt>
                <c:pt idx="74">
                  <c:v>143</c:v>
                </c:pt>
                <c:pt idx="75">
                  <c:v>131</c:v>
                </c:pt>
                <c:pt idx="76">
                  <c:v>112</c:v>
                </c:pt>
                <c:pt idx="77">
                  <c:v>122</c:v>
                </c:pt>
                <c:pt idx="78">
                  <c:v>123</c:v>
                </c:pt>
                <c:pt idx="79">
                  <c:v>130</c:v>
                </c:pt>
                <c:pt idx="80">
                  <c:v>80</c:v>
                </c:pt>
                <c:pt idx="81">
                  <c:v>91</c:v>
                </c:pt>
                <c:pt idx="82">
                  <c:v>98</c:v>
                </c:pt>
                <c:pt idx="83">
                  <c:v>136</c:v>
                </c:pt>
                <c:pt idx="84">
                  <c:v>111</c:v>
                </c:pt>
                <c:pt idx="85">
                  <c:v>101</c:v>
                </c:pt>
                <c:pt idx="86">
                  <c:v>131</c:v>
                </c:pt>
                <c:pt idx="87">
                  <c:v>157</c:v>
                </c:pt>
                <c:pt idx="88">
                  <c:v>148</c:v>
                </c:pt>
                <c:pt idx="89">
                  <c:v>122</c:v>
                </c:pt>
                <c:pt idx="90">
                  <c:v>95</c:v>
                </c:pt>
                <c:pt idx="91">
                  <c:v>61</c:v>
                </c:pt>
                <c:pt idx="92">
                  <c:v>29</c:v>
                </c:pt>
                <c:pt idx="93">
                  <c:v>42</c:v>
                </c:pt>
                <c:pt idx="94">
                  <c:v>24</c:v>
                </c:pt>
                <c:pt idx="95">
                  <c:v>29</c:v>
                </c:pt>
                <c:pt idx="96">
                  <c:v>47</c:v>
                </c:pt>
                <c:pt idx="97">
                  <c:v>11</c:v>
                </c:pt>
                <c:pt idx="98">
                  <c:v>10</c:v>
                </c:pt>
                <c:pt idx="99">
                  <c:v>6</c:v>
                </c:pt>
                <c:pt idx="100">
                  <c:v>9</c:v>
                </c:pt>
                <c:pt idx="101">
                  <c:v>1</c:v>
                </c:pt>
                <c:pt idx="102">
                  <c:v>7</c:v>
                </c:pt>
                <c:pt idx="103">
                  <c:v>3</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extLst xmlns:c15="http://schemas.microsoft.com/office/drawing/2012/chart">
            <c:ext xmlns:c16="http://schemas.microsoft.com/office/drawing/2014/chart" uri="{C3380CC4-5D6E-409C-BE32-E72D297353CC}">
              <c16:uniqueId val="{00000009-2F5A-46CA-AD67-C4CD5570936D}"/>
            </c:ext>
          </c:extLst>
        </c:ser>
        <c:dLbls>
          <c:showLegendKey val="0"/>
          <c:showVal val="0"/>
          <c:showCatName val="0"/>
          <c:showSerName val="0"/>
          <c:showPercent val="0"/>
          <c:showBubbleSize val="0"/>
        </c:dLbls>
        <c:axId val="1413648640"/>
        <c:axId val="1413649056"/>
        <c:extLst>
          <c:ext xmlns:c15="http://schemas.microsoft.com/office/drawing/2012/chart" uri="{02D57815-91ED-43cb-92C2-25804820EDAC}">
            <c15:filteredAreaSeries>
              <c15:ser>
                <c:idx val="2"/>
                <c:order val="2"/>
                <c:tx>
                  <c:strRef>
                    <c:extLst>
                      <c:ext uri="{02D57815-91ED-43cb-92C2-25804820EDAC}">
                        <c15:formulaRef>
                          <c15:sqref>G1_Characteristics_WorkToGo!$G$11</c15:sqref>
                        </c15:formulaRef>
                      </c:ext>
                    </c:extLst>
                    <c:strCache>
                      <c:ptCount val="1"/>
                      <c:pt idx="0">
                        <c:v>Milestones</c:v>
                      </c:pt>
                    </c:strCache>
                  </c:strRef>
                </c:tx>
                <c:spPr>
                  <a:solidFill>
                    <a:schemeClr val="accent3"/>
                  </a:solidFill>
                  <a:ln>
                    <a:noFill/>
                  </a:ln>
                  <a:effectLst/>
                </c:spPr>
                <c:cat>
                  <c:numRef>
                    <c:extLst>
                      <c:ex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c:ext uri="{02D57815-91ED-43cb-92C2-25804820EDAC}">
                        <c15:formulaRef>
                          <c15:sqref>G1_Characteristics_WorkToGo!$H$11:$FT$11</c15:sqref>
                        </c15:formulaRef>
                      </c:ext>
                    </c:extLst>
                    <c:numCache>
                      <c:formatCode>General</c:formatCode>
                      <c:ptCount val="169"/>
                      <c:pt idx="0">
                        <c:v>363</c:v>
                      </c:pt>
                      <c:pt idx="1">
                        <c:v>0</c:v>
                      </c:pt>
                      <c:pt idx="2">
                        <c:v>0</c:v>
                      </c:pt>
                      <c:pt idx="3">
                        <c:v>0</c:v>
                      </c:pt>
                      <c:pt idx="4">
                        <c:v>0</c:v>
                      </c:pt>
                      <c:pt idx="5">
                        <c:v>0</c:v>
                      </c:pt>
                      <c:pt idx="6">
                        <c:v>0</c:v>
                      </c:pt>
                      <c:pt idx="7">
                        <c:v>0</c:v>
                      </c:pt>
                      <c:pt idx="8">
                        <c:v>0</c:v>
                      </c:pt>
                      <c:pt idx="9">
                        <c:v>0</c:v>
                      </c:pt>
                      <c:pt idx="10">
                        <c:v>0</c:v>
                      </c:pt>
                      <c:pt idx="11">
                        <c:v>0</c:v>
                      </c:pt>
                      <c:pt idx="12">
                        <c:v>2</c:v>
                      </c:pt>
                      <c:pt idx="13">
                        <c:v>0</c:v>
                      </c:pt>
                      <c:pt idx="14">
                        <c:v>0</c:v>
                      </c:pt>
                      <c:pt idx="15">
                        <c:v>0</c:v>
                      </c:pt>
                      <c:pt idx="16">
                        <c:v>0</c:v>
                      </c:pt>
                      <c:pt idx="17">
                        <c:v>0</c:v>
                      </c:pt>
                      <c:pt idx="18">
                        <c:v>1</c:v>
                      </c:pt>
                      <c:pt idx="19">
                        <c:v>0</c:v>
                      </c:pt>
                      <c:pt idx="20">
                        <c:v>1</c:v>
                      </c:pt>
                      <c:pt idx="21">
                        <c:v>0</c:v>
                      </c:pt>
                      <c:pt idx="22">
                        <c:v>1</c:v>
                      </c:pt>
                      <c:pt idx="23">
                        <c:v>1</c:v>
                      </c:pt>
                      <c:pt idx="24">
                        <c:v>0</c:v>
                      </c:pt>
                      <c:pt idx="25">
                        <c:v>1</c:v>
                      </c:pt>
                      <c:pt idx="26">
                        <c:v>2</c:v>
                      </c:pt>
                      <c:pt idx="27">
                        <c:v>0</c:v>
                      </c:pt>
                      <c:pt idx="28">
                        <c:v>0</c:v>
                      </c:pt>
                      <c:pt idx="29">
                        <c:v>0</c:v>
                      </c:pt>
                      <c:pt idx="30">
                        <c:v>2</c:v>
                      </c:pt>
                      <c:pt idx="31">
                        <c:v>0</c:v>
                      </c:pt>
                      <c:pt idx="32">
                        <c:v>0</c:v>
                      </c:pt>
                      <c:pt idx="33">
                        <c:v>1</c:v>
                      </c:pt>
                      <c:pt idx="34">
                        <c:v>0</c:v>
                      </c:pt>
                      <c:pt idx="35">
                        <c:v>2</c:v>
                      </c:pt>
                      <c:pt idx="36">
                        <c:v>4</c:v>
                      </c:pt>
                      <c:pt idx="37">
                        <c:v>9</c:v>
                      </c:pt>
                      <c:pt idx="38">
                        <c:v>0</c:v>
                      </c:pt>
                      <c:pt idx="39">
                        <c:v>3</c:v>
                      </c:pt>
                      <c:pt idx="40">
                        <c:v>2</c:v>
                      </c:pt>
                      <c:pt idx="41">
                        <c:v>30</c:v>
                      </c:pt>
                      <c:pt idx="42">
                        <c:v>8</c:v>
                      </c:pt>
                      <c:pt idx="43">
                        <c:v>1</c:v>
                      </c:pt>
                      <c:pt idx="44">
                        <c:v>2</c:v>
                      </c:pt>
                      <c:pt idx="45">
                        <c:v>5</c:v>
                      </c:pt>
                      <c:pt idx="46">
                        <c:v>8</c:v>
                      </c:pt>
                      <c:pt idx="47">
                        <c:v>13</c:v>
                      </c:pt>
                      <c:pt idx="48">
                        <c:v>10</c:v>
                      </c:pt>
                      <c:pt idx="49">
                        <c:v>8</c:v>
                      </c:pt>
                      <c:pt idx="50">
                        <c:v>6</c:v>
                      </c:pt>
                      <c:pt idx="51">
                        <c:v>10</c:v>
                      </c:pt>
                      <c:pt idx="52">
                        <c:v>6</c:v>
                      </c:pt>
                      <c:pt idx="53">
                        <c:v>3</c:v>
                      </c:pt>
                      <c:pt idx="54">
                        <c:v>8</c:v>
                      </c:pt>
                      <c:pt idx="55">
                        <c:v>3</c:v>
                      </c:pt>
                      <c:pt idx="56">
                        <c:v>2</c:v>
                      </c:pt>
                      <c:pt idx="57">
                        <c:v>7</c:v>
                      </c:pt>
                      <c:pt idx="58">
                        <c:v>9</c:v>
                      </c:pt>
                      <c:pt idx="59">
                        <c:v>10</c:v>
                      </c:pt>
                      <c:pt idx="60">
                        <c:v>12</c:v>
                      </c:pt>
                      <c:pt idx="61">
                        <c:v>24</c:v>
                      </c:pt>
                      <c:pt idx="62">
                        <c:v>16</c:v>
                      </c:pt>
                      <c:pt idx="63">
                        <c:v>27</c:v>
                      </c:pt>
                      <c:pt idx="64">
                        <c:v>9</c:v>
                      </c:pt>
                      <c:pt idx="65">
                        <c:v>12</c:v>
                      </c:pt>
                      <c:pt idx="66">
                        <c:v>45</c:v>
                      </c:pt>
                      <c:pt idx="67">
                        <c:v>17</c:v>
                      </c:pt>
                      <c:pt idx="68">
                        <c:v>9</c:v>
                      </c:pt>
                      <c:pt idx="69">
                        <c:v>17</c:v>
                      </c:pt>
                      <c:pt idx="70">
                        <c:v>107</c:v>
                      </c:pt>
                      <c:pt idx="71">
                        <c:v>7</c:v>
                      </c:pt>
                      <c:pt idx="72">
                        <c:v>12</c:v>
                      </c:pt>
                      <c:pt idx="73">
                        <c:v>10</c:v>
                      </c:pt>
                      <c:pt idx="74">
                        <c:v>15</c:v>
                      </c:pt>
                      <c:pt idx="75">
                        <c:v>14</c:v>
                      </c:pt>
                      <c:pt idx="76">
                        <c:v>11</c:v>
                      </c:pt>
                      <c:pt idx="77">
                        <c:v>15</c:v>
                      </c:pt>
                      <c:pt idx="78">
                        <c:v>11</c:v>
                      </c:pt>
                      <c:pt idx="79">
                        <c:v>24</c:v>
                      </c:pt>
                      <c:pt idx="80">
                        <c:v>7</c:v>
                      </c:pt>
                      <c:pt idx="81">
                        <c:v>7</c:v>
                      </c:pt>
                      <c:pt idx="82">
                        <c:v>12</c:v>
                      </c:pt>
                      <c:pt idx="83">
                        <c:v>24</c:v>
                      </c:pt>
                      <c:pt idx="84">
                        <c:v>17</c:v>
                      </c:pt>
                      <c:pt idx="85">
                        <c:v>18</c:v>
                      </c:pt>
                      <c:pt idx="86">
                        <c:v>30</c:v>
                      </c:pt>
                      <c:pt idx="87">
                        <c:v>35</c:v>
                      </c:pt>
                      <c:pt idx="88">
                        <c:v>51</c:v>
                      </c:pt>
                      <c:pt idx="89">
                        <c:v>33</c:v>
                      </c:pt>
                      <c:pt idx="90">
                        <c:v>26</c:v>
                      </c:pt>
                      <c:pt idx="91">
                        <c:v>16</c:v>
                      </c:pt>
                      <c:pt idx="92">
                        <c:v>5</c:v>
                      </c:pt>
                      <c:pt idx="93">
                        <c:v>9</c:v>
                      </c:pt>
                      <c:pt idx="94">
                        <c:v>3</c:v>
                      </c:pt>
                      <c:pt idx="95">
                        <c:v>6</c:v>
                      </c:pt>
                      <c:pt idx="96">
                        <c:v>15</c:v>
                      </c:pt>
                      <c:pt idx="97">
                        <c:v>0</c:v>
                      </c:pt>
                      <c:pt idx="98">
                        <c:v>3</c:v>
                      </c:pt>
                      <c:pt idx="99">
                        <c:v>1</c:v>
                      </c:pt>
                      <c:pt idx="100">
                        <c:v>5</c:v>
                      </c:pt>
                      <c:pt idx="101">
                        <c:v>0</c:v>
                      </c:pt>
                      <c:pt idx="102">
                        <c:v>4</c:v>
                      </c:pt>
                      <c:pt idx="103">
                        <c:v>2</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extLst>
                  <c:ext xmlns:c16="http://schemas.microsoft.com/office/drawing/2014/chart" uri="{C3380CC4-5D6E-409C-BE32-E72D297353CC}">
                    <c16:uniqueId val="{00000006-2F5A-46CA-AD67-C4CD5570936D}"/>
                  </c:ext>
                </c:extLst>
              </c15:ser>
            </c15:filteredAreaSeries>
            <c15:filteredAreaSeries>
              <c15:ser>
                <c:idx val="5"/>
                <c:order val="5"/>
                <c:tx>
                  <c:strRef>
                    <c:extLst xmlns:c15="http://schemas.microsoft.com/office/drawing/2012/chart">
                      <c:ext xmlns:c15="http://schemas.microsoft.com/office/drawing/2012/chart" uri="{02D57815-91ED-43cb-92C2-25804820EDAC}">
                        <c15:formulaRef>
                          <c15:sqref>G1_Characteristics_WorkToGo!$G$14</c15:sqref>
                        </c15:formulaRef>
                      </c:ext>
                    </c:extLst>
                    <c:strCache>
                      <c:ptCount val="1"/>
                      <c:pt idx="0">
                        <c:v>Hammocks</c:v>
                      </c:pt>
                    </c:strCache>
                  </c:strRef>
                </c:tx>
                <c:spPr>
                  <a:solidFill>
                    <a:schemeClr val="bg1">
                      <a:lumMod val="75000"/>
                    </a:schemeClr>
                  </a:solidFill>
                  <a:ln>
                    <a:noFill/>
                  </a:ln>
                  <a:effectLst/>
                </c:spPr>
                <c:cat>
                  <c:numRef>
                    <c:extLst xmlns:c15="http://schemas.microsoft.com/office/drawing/2012/chart">
                      <c:ext xmlns:c15="http://schemas.microsoft.com/office/drawing/2012/char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xmlns:c15="http://schemas.microsoft.com/office/drawing/2012/chart">
                      <c:ext xmlns:c15="http://schemas.microsoft.com/office/drawing/2012/chart" uri="{02D57815-91ED-43cb-92C2-25804820EDAC}">
                        <c15:formulaRef>
                          <c15:sqref>G1_Characteristics_WorkToGo!$H$14:$FT$14</c15:sqref>
                        </c15:formulaRef>
                      </c:ext>
                    </c:extLst>
                    <c:numCache>
                      <c:formatCode>General</c:formatCode>
                      <c:ptCount val="16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extLst xmlns:c15="http://schemas.microsoft.com/office/drawing/2012/chart">
                  <c:ext xmlns:c16="http://schemas.microsoft.com/office/drawing/2014/chart" uri="{C3380CC4-5D6E-409C-BE32-E72D297353CC}">
                    <c16:uniqueId val="{00000000-2F5A-46CA-AD67-C4CD5570936D}"/>
                  </c:ext>
                </c:extLst>
              </c15:ser>
            </c15:filteredAreaSeries>
          </c:ext>
        </c:extLst>
      </c:areaChart>
      <c:barChart>
        <c:barDir val="col"/>
        <c:grouping val="clustered"/>
        <c:varyColors val="0"/>
        <c:ser>
          <c:idx val="8"/>
          <c:order val="8"/>
          <c:tx>
            <c:strRef>
              <c:f>G1_Characteristics_WorkToGo!$G$17</c:f>
              <c:strCache>
                <c:ptCount val="1"/>
                <c:pt idx="0">
                  <c:v>Completed Tasks &amp; Milestones</c:v>
                </c:pt>
              </c:strCache>
            </c:strRef>
          </c:tx>
          <c:spPr>
            <a:solidFill>
              <a:schemeClr val="accent6">
                <a:lumMod val="75000"/>
              </a:schemeClr>
            </a:solidFill>
            <a:ln>
              <a:noFill/>
            </a:ln>
            <a:effectLst/>
          </c:spPr>
          <c:invertIfNegative val="0"/>
          <c:cat>
            <c:numRef>
              <c:f>G1_Characteristics_WorkToGo!$H$8:$FT$8</c:f>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f>G1_Characteristics_WorkToGo!$H$17:$FT$17</c:f>
              <c:numCache>
                <c:formatCode>General</c:formatCode>
                <c:ptCount val="169"/>
                <c:pt idx="0">
                  <c:v>371</c:v>
                </c:pt>
                <c:pt idx="1">
                  <c:v>1</c:v>
                </c:pt>
                <c:pt idx="2">
                  <c:v>0</c:v>
                </c:pt>
                <c:pt idx="3">
                  <c:v>1</c:v>
                </c:pt>
                <c:pt idx="4">
                  <c:v>1</c:v>
                </c:pt>
                <c:pt idx="5">
                  <c:v>1</c:v>
                </c:pt>
                <c:pt idx="6">
                  <c:v>3</c:v>
                </c:pt>
                <c:pt idx="7">
                  <c:v>4</c:v>
                </c:pt>
                <c:pt idx="8">
                  <c:v>3</c:v>
                </c:pt>
                <c:pt idx="9">
                  <c:v>1</c:v>
                </c:pt>
                <c:pt idx="10">
                  <c:v>3</c:v>
                </c:pt>
                <c:pt idx="11">
                  <c:v>3</c:v>
                </c:pt>
                <c:pt idx="12">
                  <c:v>6</c:v>
                </c:pt>
                <c:pt idx="13">
                  <c:v>4</c:v>
                </c:pt>
                <c:pt idx="14">
                  <c:v>5</c:v>
                </c:pt>
                <c:pt idx="15">
                  <c:v>8</c:v>
                </c:pt>
                <c:pt idx="16">
                  <c:v>6</c:v>
                </c:pt>
                <c:pt idx="17">
                  <c:v>8</c:v>
                </c:pt>
                <c:pt idx="18">
                  <c:v>6</c:v>
                </c:pt>
                <c:pt idx="19">
                  <c:v>4</c:v>
                </c:pt>
                <c:pt idx="20">
                  <c:v>7</c:v>
                </c:pt>
                <c:pt idx="21">
                  <c:v>10</c:v>
                </c:pt>
                <c:pt idx="22">
                  <c:v>13</c:v>
                </c:pt>
                <c:pt idx="23">
                  <c:v>14</c:v>
                </c:pt>
                <c:pt idx="24">
                  <c:v>15</c:v>
                </c:pt>
                <c:pt idx="25">
                  <c:v>30</c:v>
                </c:pt>
                <c:pt idx="26">
                  <c:v>31</c:v>
                </c:pt>
                <c:pt idx="27">
                  <c:v>20</c:v>
                </c:pt>
                <c:pt idx="28">
                  <c:v>22</c:v>
                </c:pt>
                <c:pt idx="29">
                  <c:v>14</c:v>
                </c:pt>
                <c:pt idx="30">
                  <c:v>12</c:v>
                </c:pt>
                <c:pt idx="31">
                  <c:v>9</c:v>
                </c:pt>
                <c:pt idx="32">
                  <c:v>11</c:v>
                </c:pt>
                <c:pt idx="33">
                  <c:v>20</c:v>
                </c:pt>
                <c:pt idx="34">
                  <c:v>17</c:v>
                </c:pt>
                <c:pt idx="35">
                  <c:v>37</c:v>
                </c:pt>
                <c:pt idx="36">
                  <c:v>47</c:v>
                </c:pt>
                <c:pt idx="37">
                  <c:v>52</c:v>
                </c:pt>
                <c:pt idx="38">
                  <c:v>39</c:v>
                </c:pt>
                <c:pt idx="39">
                  <c:v>50</c:v>
                </c:pt>
                <c:pt idx="40">
                  <c:v>45</c:v>
                </c:pt>
                <c:pt idx="41">
                  <c:v>112</c:v>
                </c:pt>
                <c:pt idx="42">
                  <c:v>102</c:v>
                </c:pt>
                <c:pt idx="43">
                  <c:v>96</c:v>
                </c:pt>
                <c:pt idx="44">
                  <c:v>92</c:v>
                </c:pt>
                <c:pt idx="45">
                  <c:v>88</c:v>
                </c:pt>
                <c:pt idx="46">
                  <c:v>104</c:v>
                </c:pt>
                <c:pt idx="47">
                  <c:v>122</c:v>
                </c:pt>
                <c:pt idx="48">
                  <c:v>110</c:v>
                </c:pt>
                <c:pt idx="49">
                  <c:v>102</c:v>
                </c:pt>
                <c:pt idx="50">
                  <c:v>131</c:v>
                </c:pt>
                <c:pt idx="51">
                  <c:v>130</c:v>
                </c:pt>
                <c:pt idx="52">
                  <c:v>92</c:v>
                </c:pt>
                <c:pt idx="53">
                  <c:v>79</c:v>
                </c:pt>
                <c:pt idx="54">
                  <c:v>108</c:v>
                </c:pt>
                <c:pt idx="55">
                  <c:v>104</c:v>
                </c:pt>
                <c:pt idx="56">
                  <c:v>104</c:v>
                </c:pt>
                <c:pt idx="57">
                  <c:v>155</c:v>
                </c:pt>
                <c:pt idx="58">
                  <c:v>135</c:v>
                </c:pt>
                <c:pt idx="59">
                  <c:v>132</c:v>
                </c:pt>
                <c:pt idx="60">
                  <c:v>135</c:v>
                </c:pt>
                <c:pt idx="61">
                  <c:v>141</c:v>
                </c:pt>
                <c:pt idx="62">
                  <c:v>131</c:v>
                </c:pt>
                <c:pt idx="63">
                  <c:v>137</c:v>
                </c:pt>
                <c:pt idx="64">
                  <c:v>111</c:v>
                </c:pt>
                <c:pt idx="65">
                  <c:v>105</c:v>
                </c:pt>
                <c:pt idx="66">
                  <c:v>157</c:v>
                </c:pt>
                <c:pt idx="67">
                  <c:v>134</c:v>
                </c:pt>
                <c:pt idx="68">
                  <c:v>133</c:v>
                </c:pt>
                <c:pt idx="69">
                  <c:v>161</c:v>
                </c:pt>
                <c:pt idx="70">
                  <c:v>261</c:v>
                </c:pt>
                <c:pt idx="71">
                  <c:v>136</c:v>
                </c:pt>
                <c:pt idx="72">
                  <c:v>138</c:v>
                </c:pt>
                <c:pt idx="73">
                  <c:v>150</c:v>
                </c:pt>
                <c:pt idx="74">
                  <c:v>139</c:v>
                </c:pt>
                <c:pt idx="75">
                  <c:v>126</c:v>
                </c:pt>
                <c:pt idx="76">
                  <c:v>107</c:v>
                </c:pt>
                <c:pt idx="77">
                  <c:v>114</c:v>
                </c:pt>
                <c:pt idx="78">
                  <c:v>114</c:v>
                </c:pt>
                <c:pt idx="79">
                  <c:v>119</c:v>
                </c:pt>
                <c:pt idx="80">
                  <c:v>69</c:v>
                </c:pt>
                <c:pt idx="81">
                  <c:v>78</c:v>
                </c:pt>
                <c:pt idx="82">
                  <c:v>82</c:v>
                </c:pt>
                <c:pt idx="83">
                  <c:v>115</c:v>
                </c:pt>
                <c:pt idx="84">
                  <c:v>88</c:v>
                </c:pt>
                <c:pt idx="85">
                  <c:v>76</c:v>
                </c:pt>
                <c:pt idx="86">
                  <c:v>75</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extLst xmlns:c15="http://schemas.microsoft.com/office/drawing/2012/chart">
            <c:ext xmlns:c16="http://schemas.microsoft.com/office/drawing/2014/chart" uri="{C3380CC4-5D6E-409C-BE32-E72D297353CC}">
              <c16:uniqueId val="{00000002-2F5A-46CA-AD67-C4CD5570936D}"/>
            </c:ext>
          </c:extLst>
        </c:ser>
        <c:ser>
          <c:idx val="12"/>
          <c:order val="12"/>
          <c:tx>
            <c:strRef>
              <c:f>G1_Characteristics_WorkToGo!$G$21</c:f>
              <c:strCache>
                <c:ptCount val="1"/>
                <c:pt idx="0">
                  <c:v>Tasks &amp; Milestones (To-Go) - % of Total To-Go</c:v>
                </c:pt>
              </c:strCache>
            </c:strRef>
          </c:tx>
          <c:spPr>
            <a:solidFill>
              <a:schemeClr val="accent1">
                <a:lumMod val="75000"/>
              </a:schemeClr>
            </a:solidFill>
            <a:ln>
              <a:noFill/>
            </a:ln>
            <a:effectLst/>
          </c:spPr>
          <c:invertIfNegative val="0"/>
          <c:cat>
            <c:numRef>
              <c:f>G1_Characteristics_WorkToGo!$H$8:$FT$8</c:f>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f>G1_Characteristics_WorkToGo!$H$21:$FT$21</c:f>
              <c:numCache>
                <c:formatCode>General</c:formatCode>
                <c:ptCount val="16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1</c:v>
                </c:pt>
                <c:pt idx="64">
                  <c:v>1</c:v>
                </c:pt>
                <c:pt idx="65">
                  <c:v>1</c:v>
                </c:pt>
                <c:pt idx="66">
                  <c:v>1</c:v>
                </c:pt>
                <c:pt idx="67">
                  <c:v>1</c:v>
                </c:pt>
                <c:pt idx="68">
                  <c:v>1</c:v>
                </c:pt>
                <c:pt idx="69">
                  <c:v>2</c:v>
                </c:pt>
                <c:pt idx="70">
                  <c:v>3</c:v>
                </c:pt>
                <c:pt idx="71">
                  <c:v>3</c:v>
                </c:pt>
                <c:pt idx="72">
                  <c:v>4</c:v>
                </c:pt>
                <c:pt idx="73">
                  <c:v>4</c:v>
                </c:pt>
                <c:pt idx="74">
                  <c:v>4</c:v>
                </c:pt>
                <c:pt idx="75">
                  <c:v>5</c:v>
                </c:pt>
                <c:pt idx="76">
                  <c:v>5</c:v>
                </c:pt>
                <c:pt idx="77">
                  <c:v>8</c:v>
                </c:pt>
                <c:pt idx="78">
                  <c:v>9</c:v>
                </c:pt>
                <c:pt idx="79">
                  <c:v>11</c:v>
                </c:pt>
                <c:pt idx="80">
                  <c:v>11</c:v>
                </c:pt>
                <c:pt idx="81">
                  <c:v>13</c:v>
                </c:pt>
                <c:pt idx="82">
                  <c:v>16</c:v>
                </c:pt>
                <c:pt idx="83">
                  <c:v>21</c:v>
                </c:pt>
                <c:pt idx="84">
                  <c:v>23</c:v>
                </c:pt>
                <c:pt idx="85">
                  <c:v>25</c:v>
                </c:pt>
                <c:pt idx="86">
                  <c:v>56</c:v>
                </c:pt>
                <c:pt idx="87">
                  <c:v>157</c:v>
                </c:pt>
                <c:pt idx="88">
                  <c:v>148</c:v>
                </c:pt>
                <c:pt idx="89">
                  <c:v>122</c:v>
                </c:pt>
                <c:pt idx="90">
                  <c:v>95</c:v>
                </c:pt>
                <c:pt idx="91">
                  <c:v>61</c:v>
                </c:pt>
                <c:pt idx="92">
                  <c:v>29</c:v>
                </c:pt>
                <c:pt idx="93">
                  <c:v>42</c:v>
                </c:pt>
                <c:pt idx="94">
                  <c:v>24</c:v>
                </c:pt>
                <c:pt idx="95">
                  <c:v>29</c:v>
                </c:pt>
                <c:pt idx="96">
                  <c:v>47</c:v>
                </c:pt>
                <c:pt idx="97">
                  <c:v>11</c:v>
                </c:pt>
                <c:pt idx="98">
                  <c:v>10</c:v>
                </c:pt>
                <c:pt idx="99">
                  <c:v>6</c:v>
                </c:pt>
                <c:pt idx="100">
                  <c:v>9</c:v>
                </c:pt>
                <c:pt idx="101">
                  <c:v>1</c:v>
                </c:pt>
                <c:pt idx="102">
                  <c:v>7</c:v>
                </c:pt>
                <c:pt idx="103">
                  <c:v>3</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extLst xmlns:c15="http://schemas.microsoft.com/office/drawing/2012/chart">
            <c:ext xmlns:c16="http://schemas.microsoft.com/office/drawing/2014/chart" uri="{C3380CC4-5D6E-409C-BE32-E72D297353CC}">
              <c16:uniqueId val="{0000000D-2F5A-46CA-AD67-C4CD5570936D}"/>
            </c:ext>
          </c:extLst>
        </c:ser>
        <c:dLbls>
          <c:showLegendKey val="0"/>
          <c:showVal val="0"/>
          <c:showCatName val="0"/>
          <c:showSerName val="0"/>
          <c:showPercent val="0"/>
          <c:showBubbleSize val="0"/>
        </c:dLbls>
        <c:gapWidth val="150"/>
        <c:axId val="1413648640"/>
        <c:axId val="1413649056"/>
        <c:extLst>
          <c:ext xmlns:c15="http://schemas.microsoft.com/office/drawing/2012/chart" uri="{02D57815-91ED-43cb-92C2-25804820EDAC}">
            <c15:filteredBarSeries>
              <c15:ser>
                <c:idx val="0"/>
                <c:order val="0"/>
                <c:tx>
                  <c:strRef>
                    <c:extLst>
                      <c:ext uri="{02D57815-91ED-43cb-92C2-25804820EDAC}">
                        <c15:formulaRef>
                          <c15:sqref>G1_Characteristics_WorkToGo!$G$9</c15:sqref>
                        </c15:formulaRef>
                      </c:ext>
                    </c:extLst>
                    <c:strCache>
                      <c:ptCount val="1"/>
                      <c:pt idx="0">
                        <c:v>Status Date</c:v>
                      </c:pt>
                    </c:strCache>
                  </c:strRef>
                </c:tx>
                <c:spPr>
                  <a:solidFill>
                    <a:schemeClr val="accent1"/>
                  </a:solidFill>
                  <a:ln>
                    <a:noFill/>
                  </a:ln>
                  <a:effectLst/>
                </c:spPr>
                <c:invertIfNegative val="0"/>
                <c:cat>
                  <c:numRef>
                    <c:extLst>
                      <c:ex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c:ext uri="{02D57815-91ED-43cb-92C2-25804820EDAC}">
                        <c15:formulaRef>
                          <c15:sqref>G1_Characteristics_WorkToGo!$H$9:$FT$9</c15:sqref>
                        </c15:formulaRef>
                      </c:ext>
                    </c:extLst>
                    <c:numCache>
                      <c:formatCode>m/d/yyyy</c:formatCode>
                      <c:ptCount val="169"/>
                      <c:pt idx="0">
                        <c:v>45746</c:v>
                      </c:pt>
                      <c:pt idx="1">
                        <c:v>45746</c:v>
                      </c:pt>
                      <c:pt idx="2">
                        <c:v>45746</c:v>
                      </c:pt>
                      <c:pt idx="3">
                        <c:v>45746</c:v>
                      </c:pt>
                      <c:pt idx="4">
                        <c:v>45746</c:v>
                      </c:pt>
                      <c:pt idx="5">
                        <c:v>45746</c:v>
                      </c:pt>
                      <c:pt idx="6">
                        <c:v>45746</c:v>
                      </c:pt>
                      <c:pt idx="7">
                        <c:v>45746</c:v>
                      </c:pt>
                      <c:pt idx="8">
                        <c:v>45746</c:v>
                      </c:pt>
                      <c:pt idx="9">
                        <c:v>45746</c:v>
                      </c:pt>
                      <c:pt idx="10">
                        <c:v>45746</c:v>
                      </c:pt>
                      <c:pt idx="11">
                        <c:v>45746</c:v>
                      </c:pt>
                      <c:pt idx="12">
                        <c:v>45746</c:v>
                      </c:pt>
                      <c:pt idx="13">
                        <c:v>45746</c:v>
                      </c:pt>
                      <c:pt idx="14">
                        <c:v>45746</c:v>
                      </c:pt>
                      <c:pt idx="15">
                        <c:v>45746</c:v>
                      </c:pt>
                      <c:pt idx="16">
                        <c:v>45746</c:v>
                      </c:pt>
                      <c:pt idx="17">
                        <c:v>45746</c:v>
                      </c:pt>
                      <c:pt idx="18">
                        <c:v>45746</c:v>
                      </c:pt>
                      <c:pt idx="19">
                        <c:v>45746</c:v>
                      </c:pt>
                      <c:pt idx="20">
                        <c:v>45746</c:v>
                      </c:pt>
                      <c:pt idx="21">
                        <c:v>45746</c:v>
                      </c:pt>
                      <c:pt idx="22">
                        <c:v>45746</c:v>
                      </c:pt>
                      <c:pt idx="23">
                        <c:v>45746</c:v>
                      </c:pt>
                      <c:pt idx="24">
                        <c:v>45746</c:v>
                      </c:pt>
                      <c:pt idx="25">
                        <c:v>45746</c:v>
                      </c:pt>
                      <c:pt idx="26">
                        <c:v>45746</c:v>
                      </c:pt>
                      <c:pt idx="27">
                        <c:v>45746</c:v>
                      </c:pt>
                      <c:pt idx="28">
                        <c:v>45746</c:v>
                      </c:pt>
                      <c:pt idx="29">
                        <c:v>45746</c:v>
                      </c:pt>
                      <c:pt idx="30">
                        <c:v>45746</c:v>
                      </c:pt>
                      <c:pt idx="31">
                        <c:v>45746</c:v>
                      </c:pt>
                      <c:pt idx="32">
                        <c:v>45746</c:v>
                      </c:pt>
                      <c:pt idx="33">
                        <c:v>45746</c:v>
                      </c:pt>
                      <c:pt idx="34">
                        <c:v>45746</c:v>
                      </c:pt>
                      <c:pt idx="35">
                        <c:v>45746</c:v>
                      </c:pt>
                      <c:pt idx="36">
                        <c:v>45746</c:v>
                      </c:pt>
                      <c:pt idx="37">
                        <c:v>45746</c:v>
                      </c:pt>
                      <c:pt idx="38">
                        <c:v>45746</c:v>
                      </c:pt>
                      <c:pt idx="39">
                        <c:v>45746</c:v>
                      </c:pt>
                      <c:pt idx="40">
                        <c:v>45746</c:v>
                      </c:pt>
                      <c:pt idx="41">
                        <c:v>45746</c:v>
                      </c:pt>
                      <c:pt idx="42">
                        <c:v>45746</c:v>
                      </c:pt>
                      <c:pt idx="43">
                        <c:v>45746</c:v>
                      </c:pt>
                      <c:pt idx="44">
                        <c:v>45746</c:v>
                      </c:pt>
                      <c:pt idx="45">
                        <c:v>45746</c:v>
                      </c:pt>
                      <c:pt idx="46">
                        <c:v>45746</c:v>
                      </c:pt>
                      <c:pt idx="47">
                        <c:v>45746</c:v>
                      </c:pt>
                      <c:pt idx="48">
                        <c:v>45746</c:v>
                      </c:pt>
                      <c:pt idx="49">
                        <c:v>45746</c:v>
                      </c:pt>
                      <c:pt idx="50">
                        <c:v>45746</c:v>
                      </c:pt>
                      <c:pt idx="51">
                        <c:v>45746</c:v>
                      </c:pt>
                      <c:pt idx="52">
                        <c:v>45746</c:v>
                      </c:pt>
                      <c:pt idx="53">
                        <c:v>45746</c:v>
                      </c:pt>
                      <c:pt idx="54">
                        <c:v>45746</c:v>
                      </c:pt>
                      <c:pt idx="55">
                        <c:v>45746</c:v>
                      </c:pt>
                      <c:pt idx="56">
                        <c:v>45746</c:v>
                      </c:pt>
                      <c:pt idx="57">
                        <c:v>45746</c:v>
                      </c:pt>
                      <c:pt idx="58">
                        <c:v>45746</c:v>
                      </c:pt>
                      <c:pt idx="59">
                        <c:v>45746</c:v>
                      </c:pt>
                      <c:pt idx="60">
                        <c:v>45746</c:v>
                      </c:pt>
                      <c:pt idx="61">
                        <c:v>45746</c:v>
                      </c:pt>
                      <c:pt idx="62">
                        <c:v>45746</c:v>
                      </c:pt>
                      <c:pt idx="63">
                        <c:v>45746</c:v>
                      </c:pt>
                      <c:pt idx="64">
                        <c:v>45746</c:v>
                      </c:pt>
                      <c:pt idx="65">
                        <c:v>45746</c:v>
                      </c:pt>
                      <c:pt idx="66">
                        <c:v>45746</c:v>
                      </c:pt>
                      <c:pt idx="67">
                        <c:v>45746</c:v>
                      </c:pt>
                      <c:pt idx="68">
                        <c:v>45746</c:v>
                      </c:pt>
                      <c:pt idx="69">
                        <c:v>45746</c:v>
                      </c:pt>
                      <c:pt idx="70">
                        <c:v>45746</c:v>
                      </c:pt>
                      <c:pt idx="71">
                        <c:v>45746</c:v>
                      </c:pt>
                      <c:pt idx="72">
                        <c:v>45746</c:v>
                      </c:pt>
                      <c:pt idx="73">
                        <c:v>45746</c:v>
                      </c:pt>
                      <c:pt idx="74">
                        <c:v>45746</c:v>
                      </c:pt>
                      <c:pt idx="75">
                        <c:v>45746</c:v>
                      </c:pt>
                      <c:pt idx="76">
                        <c:v>45746</c:v>
                      </c:pt>
                      <c:pt idx="77">
                        <c:v>45746</c:v>
                      </c:pt>
                      <c:pt idx="78">
                        <c:v>45746</c:v>
                      </c:pt>
                      <c:pt idx="79">
                        <c:v>45746</c:v>
                      </c:pt>
                      <c:pt idx="80">
                        <c:v>45746</c:v>
                      </c:pt>
                      <c:pt idx="81">
                        <c:v>45746</c:v>
                      </c:pt>
                      <c:pt idx="82">
                        <c:v>45746</c:v>
                      </c:pt>
                      <c:pt idx="83">
                        <c:v>45746</c:v>
                      </c:pt>
                      <c:pt idx="84">
                        <c:v>45746</c:v>
                      </c:pt>
                      <c:pt idx="85">
                        <c:v>45746</c:v>
                      </c:pt>
                      <c:pt idx="86">
                        <c:v>45746</c:v>
                      </c:pt>
                      <c:pt idx="87">
                        <c:v>45746</c:v>
                      </c:pt>
                      <c:pt idx="88">
                        <c:v>45746</c:v>
                      </c:pt>
                      <c:pt idx="89">
                        <c:v>45746</c:v>
                      </c:pt>
                      <c:pt idx="90">
                        <c:v>45746</c:v>
                      </c:pt>
                      <c:pt idx="91">
                        <c:v>45746</c:v>
                      </c:pt>
                      <c:pt idx="92">
                        <c:v>45746</c:v>
                      </c:pt>
                      <c:pt idx="93">
                        <c:v>45746</c:v>
                      </c:pt>
                      <c:pt idx="94">
                        <c:v>45746</c:v>
                      </c:pt>
                      <c:pt idx="95">
                        <c:v>45746</c:v>
                      </c:pt>
                      <c:pt idx="96">
                        <c:v>45746</c:v>
                      </c:pt>
                      <c:pt idx="97">
                        <c:v>45746</c:v>
                      </c:pt>
                      <c:pt idx="98">
                        <c:v>45746</c:v>
                      </c:pt>
                      <c:pt idx="99">
                        <c:v>45746</c:v>
                      </c:pt>
                      <c:pt idx="100">
                        <c:v>45746</c:v>
                      </c:pt>
                      <c:pt idx="101">
                        <c:v>45746</c:v>
                      </c:pt>
                      <c:pt idx="102">
                        <c:v>45746</c:v>
                      </c:pt>
                      <c:pt idx="103">
                        <c:v>45746</c:v>
                      </c:pt>
                      <c:pt idx="104" formatCode="General">
                        <c:v>0</c:v>
                      </c:pt>
                      <c:pt idx="105" formatCode="General">
                        <c:v>0</c:v>
                      </c:pt>
                      <c:pt idx="106" formatCode="General">
                        <c:v>0</c:v>
                      </c:pt>
                      <c:pt idx="107" formatCode="General">
                        <c:v>0</c:v>
                      </c:pt>
                      <c:pt idx="108" formatCode="General">
                        <c:v>0</c:v>
                      </c:pt>
                      <c:pt idx="109" formatCode="General">
                        <c:v>0</c:v>
                      </c:pt>
                      <c:pt idx="110" formatCode="General">
                        <c:v>0</c:v>
                      </c:pt>
                      <c:pt idx="111" formatCode="General">
                        <c:v>0</c:v>
                      </c:pt>
                      <c:pt idx="112" formatCode="General">
                        <c:v>0</c:v>
                      </c:pt>
                      <c:pt idx="113" formatCode="General">
                        <c:v>0</c:v>
                      </c:pt>
                      <c:pt idx="114" formatCode="General">
                        <c:v>0</c:v>
                      </c:pt>
                      <c:pt idx="115" formatCode="General">
                        <c:v>0</c:v>
                      </c:pt>
                      <c:pt idx="116" formatCode="General">
                        <c:v>0</c:v>
                      </c:pt>
                      <c:pt idx="117" formatCode="General">
                        <c:v>0</c:v>
                      </c:pt>
                      <c:pt idx="118" formatCode="General">
                        <c:v>0</c:v>
                      </c:pt>
                      <c:pt idx="119" formatCode="General">
                        <c:v>0</c:v>
                      </c:pt>
                      <c:pt idx="120" formatCode="General">
                        <c:v>0</c:v>
                      </c:pt>
                      <c:pt idx="121" formatCode="General">
                        <c:v>0</c:v>
                      </c:pt>
                      <c:pt idx="122" formatCode="General">
                        <c:v>0</c:v>
                      </c:pt>
                      <c:pt idx="123" formatCode="General">
                        <c:v>0</c:v>
                      </c:pt>
                      <c:pt idx="124" formatCode="General">
                        <c:v>0</c:v>
                      </c:pt>
                      <c:pt idx="125" formatCode="General">
                        <c:v>0</c:v>
                      </c:pt>
                      <c:pt idx="126" formatCode="General">
                        <c:v>0</c:v>
                      </c:pt>
                      <c:pt idx="127" formatCode="General">
                        <c:v>0</c:v>
                      </c:pt>
                      <c:pt idx="128" formatCode="General">
                        <c:v>0</c:v>
                      </c:pt>
                      <c:pt idx="129" formatCode="General">
                        <c:v>0</c:v>
                      </c:pt>
                      <c:pt idx="130" formatCode="General">
                        <c:v>0</c:v>
                      </c:pt>
                      <c:pt idx="131" formatCode="General">
                        <c:v>0</c:v>
                      </c:pt>
                      <c:pt idx="132" formatCode="General">
                        <c:v>0</c:v>
                      </c:pt>
                      <c:pt idx="133" formatCode="General">
                        <c:v>0</c:v>
                      </c:pt>
                      <c:pt idx="134" formatCode="General">
                        <c:v>0</c:v>
                      </c:pt>
                      <c:pt idx="135" formatCode="General">
                        <c:v>0</c:v>
                      </c:pt>
                      <c:pt idx="136" formatCode="General">
                        <c:v>0</c:v>
                      </c:pt>
                      <c:pt idx="137" formatCode="General">
                        <c:v>0</c:v>
                      </c:pt>
                      <c:pt idx="138" formatCode="General">
                        <c:v>0</c:v>
                      </c:pt>
                      <c:pt idx="139" formatCode="General">
                        <c:v>0</c:v>
                      </c:pt>
                      <c:pt idx="140" formatCode="General">
                        <c:v>0</c:v>
                      </c:pt>
                      <c:pt idx="141" formatCode="General">
                        <c:v>0</c:v>
                      </c:pt>
                      <c:pt idx="142" formatCode="General">
                        <c:v>0</c:v>
                      </c:pt>
                      <c:pt idx="143" formatCode="General">
                        <c:v>0</c:v>
                      </c:pt>
                      <c:pt idx="144" formatCode="General">
                        <c:v>0</c:v>
                      </c:pt>
                      <c:pt idx="145" formatCode="General">
                        <c:v>0</c:v>
                      </c:pt>
                      <c:pt idx="146" formatCode="General">
                        <c:v>0</c:v>
                      </c:pt>
                      <c:pt idx="147" formatCode="General">
                        <c:v>0</c:v>
                      </c:pt>
                      <c:pt idx="148" formatCode="General">
                        <c:v>0</c:v>
                      </c:pt>
                      <c:pt idx="149" formatCode="General">
                        <c:v>0</c:v>
                      </c:pt>
                      <c:pt idx="150" formatCode="General">
                        <c:v>0</c:v>
                      </c:pt>
                      <c:pt idx="151" formatCode="General">
                        <c:v>0</c:v>
                      </c:pt>
                      <c:pt idx="152" formatCode="General">
                        <c:v>0</c:v>
                      </c:pt>
                      <c:pt idx="153" formatCode="General">
                        <c:v>0</c:v>
                      </c:pt>
                      <c:pt idx="154" formatCode="General">
                        <c:v>0</c:v>
                      </c:pt>
                      <c:pt idx="155" formatCode="General">
                        <c:v>0</c:v>
                      </c:pt>
                      <c:pt idx="156" formatCode="General">
                        <c:v>0</c:v>
                      </c:pt>
                      <c:pt idx="157" formatCode="General">
                        <c:v>0</c:v>
                      </c:pt>
                      <c:pt idx="158" formatCode="General">
                        <c:v>0</c:v>
                      </c:pt>
                      <c:pt idx="159" formatCode="General">
                        <c:v>0</c:v>
                      </c:pt>
                      <c:pt idx="160" formatCode="General">
                        <c:v>0</c:v>
                      </c:pt>
                      <c:pt idx="161" formatCode="General">
                        <c:v>0</c:v>
                      </c:pt>
                      <c:pt idx="162" formatCode="General">
                        <c:v>0</c:v>
                      </c:pt>
                      <c:pt idx="163" formatCode="General">
                        <c:v>0</c:v>
                      </c:pt>
                      <c:pt idx="164" formatCode="General">
                        <c:v>0</c:v>
                      </c:pt>
                      <c:pt idx="165" formatCode="General">
                        <c:v>0</c:v>
                      </c:pt>
                      <c:pt idx="166" formatCode="General">
                        <c:v>0</c:v>
                      </c:pt>
                      <c:pt idx="167" formatCode="General">
                        <c:v>0</c:v>
                      </c:pt>
                      <c:pt idx="168" formatCode="General">
                        <c:v>0</c:v>
                      </c:pt>
                    </c:numCache>
                  </c:numRef>
                </c:val>
                <c:extLst>
                  <c:ext xmlns:c16="http://schemas.microsoft.com/office/drawing/2014/chart" uri="{C3380CC4-5D6E-409C-BE32-E72D297353CC}">
                    <c16:uniqueId val="{00000004-2F5A-46CA-AD67-C4CD5570936D}"/>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G1_Characteristics_WorkToGo!$G$10</c15:sqref>
                        </c15:formulaRef>
                      </c:ext>
                    </c:extLst>
                    <c:strCache>
                      <c:ptCount val="1"/>
                      <c:pt idx="0">
                        <c:v>Total Activities</c:v>
                      </c:pt>
                    </c:strCache>
                  </c:strRef>
                </c:tx>
                <c:spPr>
                  <a:solidFill>
                    <a:schemeClr val="accent2"/>
                  </a:solidFill>
                  <a:ln>
                    <a:noFill/>
                  </a:ln>
                  <a:effectLst/>
                </c:spPr>
                <c:invertIfNegative val="0"/>
                <c:cat>
                  <c:numRef>
                    <c:extLst xmlns:c15="http://schemas.microsoft.com/office/drawing/2012/chart">
                      <c:ext xmlns:c15="http://schemas.microsoft.com/office/drawing/2012/char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xmlns:c15="http://schemas.microsoft.com/office/drawing/2012/chart">
                      <c:ext xmlns:c15="http://schemas.microsoft.com/office/drawing/2012/chart" uri="{02D57815-91ED-43cb-92C2-25804820EDAC}">
                        <c15:formulaRef>
                          <c15:sqref>G1_Characteristics_WorkToGo!$H$10:$FT$10</c15:sqref>
                        </c15:formulaRef>
                      </c:ext>
                    </c:extLst>
                    <c:numCache>
                      <c:formatCode>General</c:formatCode>
                      <c:ptCount val="169"/>
                      <c:pt idx="0">
                        <c:v>474</c:v>
                      </c:pt>
                      <c:pt idx="1">
                        <c:v>82</c:v>
                      </c:pt>
                      <c:pt idx="2">
                        <c:v>81</c:v>
                      </c:pt>
                      <c:pt idx="3">
                        <c:v>85</c:v>
                      </c:pt>
                      <c:pt idx="4">
                        <c:v>85</c:v>
                      </c:pt>
                      <c:pt idx="5">
                        <c:v>85</c:v>
                      </c:pt>
                      <c:pt idx="6">
                        <c:v>87</c:v>
                      </c:pt>
                      <c:pt idx="7">
                        <c:v>88</c:v>
                      </c:pt>
                      <c:pt idx="8">
                        <c:v>87</c:v>
                      </c:pt>
                      <c:pt idx="9">
                        <c:v>85</c:v>
                      </c:pt>
                      <c:pt idx="10">
                        <c:v>87</c:v>
                      </c:pt>
                      <c:pt idx="11">
                        <c:v>87</c:v>
                      </c:pt>
                      <c:pt idx="12">
                        <c:v>94</c:v>
                      </c:pt>
                      <c:pt idx="13">
                        <c:v>92</c:v>
                      </c:pt>
                      <c:pt idx="14">
                        <c:v>94</c:v>
                      </c:pt>
                      <c:pt idx="15">
                        <c:v>97</c:v>
                      </c:pt>
                      <c:pt idx="16">
                        <c:v>95</c:v>
                      </c:pt>
                      <c:pt idx="17">
                        <c:v>99</c:v>
                      </c:pt>
                      <c:pt idx="18">
                        <c:v>96</c:v>
                      </c:pt>
                      <c:pt idx="19">
                        <c:v>95</c:v>
                      </c:pt>
                      <c:pt idx="20">
                        <c:v>99</c:v>
                      </c:pt>
                      <c:pt idx="21">
                        <c:v>103</c:v>
                      </c:pt>
                      <c:pt idx="22">
                        <c:v>109</c:v>
                      </c:pt>
                      <c:pt idx="23">
                        <c:v>111</c:v>
                      </c:pt>
                      <c:pt idx="24">
                        <c:v>115</c:v>
                      </c:pt>
                      <c:pt idx="25">
                        <c:v>131</c:v>
                      </c:pt>
                      <c:pt idx="26">
                        <c:v>132</c:v>
                      </c:pt>
                      <c:pt idx="27">
                        <c:v>120</c:v>
                      </c:pt>
                      <c:pt idx="28">
                        <c:v>123</c:v>
                      </c:pt>
                      <c:pt idx="29">
                        <c:v>115</c:v>
                      </c:pt>
                      <c:pt idx="30">
                        <c:v>113</c:v>
                      </c:pt>
                      <c:pt idx="31">
                        <c:v>110</c:v>
                      </c:pt>
                      <c:pt idx="32">
                        <c:v>112</c:v>
                      </c:pt>
                      <c:pt idx="33">
                        <c:v>124</c:v>
                      </c:pt>
                      <c:pt idx="34">
                        <c:v>120</c:v>
                      </c:pt>
                      <c:pt idx="35">
                        <c:v>148</c:v>
                      </c:pt>
                      <c:pt idx="36">
                        <c:v>158</c:v>
                      </c:pt>
                      <c:pt idx="37">
                        <c:v>169</c:v>
                      </c:pt>
                      <c:pt idx="38">
                        <c:v>159</c:v>
                      </c:pt>
                      <c:pt idx="39">
                        <c:v>165</c:v>
                      </c:pt>
                      <c:pt idx="40">
                        <c:v>160</c:v>
                      </c:pt>
                      <c:pt idx="41">
                        <c:v>264</c:v>
                      </c:pt>
                      <c:pt idx="42">
                        <c:v>258</c:v>
                      </c:pt>
                      <c:pt idx="43">
                        <c:v>253</c:v>
                      </c:pt>
                      <c:pt idx="44">
                        <c:v>246</c:v>
                      </c:pt>
                      <c:pt idx="45">
                        <c:v>246</c:v>
                      </c:pt>
                      <c:pt idx="46">
                        <c:v>281</c:v>
                      </c:pt>
                      <c:pt idx="47">
                        <c:v>302</c:v>
                      </c:pt>
                      <c:pt idx="48">
                        <c:v>283</c:v>
                      </c:pt>
                      <c:pt idx="49">
                        <c:v>276</c:v>
                      </c:pt>
                      <c:pt idx="50">
                        <c:v>313</c:v>
                      </c:pt>
                      <c:pt idx="51">
                        <c:v>303</c:v>
                      </c:pt>
                      <c:pt idx="52">
                        <c:v>252</c:v>
                      </c:pt>
                      <c:pt idx="53">
                        <c:v>241</c:v>
                      </c:pt>
                      <c:pt idx="54">
                        <c:v>273</c:v>
                      </c:pt>
                      <c:pt idx="55">
                        <c:v>267</c:v>
                      </c:pt>
                      <c:pt idx="56">
                        <c:v>271</c:v>
                      </c:pt>
                      <c:pt idx="57">
                        <c:v>337</c:v>
                      </c:pt>
                      <c:pt idx="58">
                        <c:v>323</c:v>
                      </c:pt>
                      <c:pt idx="59">
                        <c:v>318</c:v>
                      </c:pt>
                      <c:pt idx="60">
                        <c:v>330</c:v>
                      </c:pt>
                      <c:pt idx="61">
                        <c:v>333</c:v>
                      </c:pt>
                      <c:pt idx="62">
                        <c:v>315</c:v>
                      </c:pt>
                      <c:pt idx="63">
                        <c:v>322</c:v>
                      </c:pt>
                      <c:pt idx="64">
                        <c:v>290</c:v>
                      </c:pt>
                      <c:pt idx="65">
                        <c:v>284</c:v>
                      </c:pt>
                      <c:pt idx="66">
                        <c:v>329</c:v>
                      </c:pt>
                      <c:pt idx="67">
                        <c:v>305</c:v>
                      </c:pt>
                      <c:pt idx="68">
                        <c:v>306</c:v>
                      </c:pt>
                      <c:pt idx="69">
                        <c:v>346</c:v>
                      </c:pt>
                      <c:pt idx="70">
                        <c:v>442</c:v>
                      </c:pt>
                      <c:pt idx="71">
                        <c:v>316</c:v>
                      </c:pt>
                      <c:pt idx="72">
                        <c:v>319</c:v>
                      </c:pt>
                      <c:pt idx="73">
                        <c:v>331</c:v>
                      </c:pt>
                      <c:pt idx="74">
                        <c:v>322</c:v>
                      </c:pt>
                      <c:pt idx="75">
                        <c:v>307</c:v>
                      </c:pt>
                      <c:pt idx="76">
                        <c:v>284</c:v>
                      </c:pt>
                      <c:pt idx="77">
                        <c:v>297</c:v>
                      </c:pt>
                      <c:pt idx="78">
                        <c:v>303</c:v>
                      </c:pt>
                      <c:pt idx="79">
                        <c:v>310</c:v>
                      </c:pt>
                      <c:pt idx="80">
                        <c:v>248</c:v>
                      </c:pt>
                      <c:pt idx="81">
                        <c:v>265</c:v>
                      </c:pt>
                      <c:pt idx="82">
                        <c:v>273</c:v>
                      </c:pt>
                      <c:pt idx="83">
                        <c:v>313</c:v>
                      </c:pt>
                      <c:pt idx="84">
                        <c:v>281</c:v>
                      </c:pt>
                      <c:pt idx="85">
                        <c:v>265</c:v>
                      </c:pt>
                      <c:pt idx="86">
                        <c:v>292</c:v>
                      </c:pt>
                      <c:pt idx="87">
                        <c:v>296</c:v>
                      </c:pt>
                      <c:pt idx="88">
                        <c:v>279</c:v>
                      </c:pt>
                      <c:pt idx="89">
                        <c:v>241</c:v>
                      </c:pt>
                      <c:pt idx="90">
                        <c:v>181</c:v>
                      </c:pt>
                      <c:pt idx="91">
                        <c:v>126</c:v>
                      </c:pt>
                      <c:pt idx="92">
                        <c:v>78</c:v>
                      </c:pt>
                      <c:pt idx="93">
                        <c:v>92</c:v>
                      </c:pt>
                      <c:pt idx="94">
                        <c:v>59</c:v>
                      </c:pt>
                      <c:pt idx="95">
                        <c:v>62</c:v>
                      </c:pt>
                      <c:pt idx="96">
                        <c:v>74</c:v>
                      </c:pt>
                      <c:pt idx="97">
                        <c:v>24</c:v>
                      </c:pt>
                      <c:pt idx="98">
                        <c:v>24</c:v>
                      </c:pt>
                      <c:pt idx="99">
                        <c:v>16</c:v>
                      </c:pt>
                      <c:pt idx="100">
                        <c:v>19</c:v>
                      </c:pt>
                      <c:pt idx="101">
                        <c:v>4</c:v>
                      </c:pt>
                      <c:pt idx="102">
                        <c:v>10</c:v>
                      </c:pt>
                      <c:pt idx="103">
                        <c:v>6</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extLst xmlns:c15="http://schemas.microsoft.com/office/drawing/2012/chart">
                  <c:ext xmlns:c16="http://schemas.microsoft.com/office/drawing/2014/chart" uri="{C3380CC4-5D6E-409C-BE32-E72D297353CC}">
                    <c16:uniqueId val="{00000005-2F5A-46CA-AD67-C4CD5570936D}"/>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G1_Characteristics_WorkToGo!$G$12</c15:sqref>
                        </c15:formulaRef>
                      </c:ext>
                    </c:extLst>
                    <c:strCache>
                      <c:ptCount val="1"/>
                      <c:pt idx="0">
                        <c:v>Normal Tasks</c:v>
                      </c:pt>
                    </c:strCache>
                  </c:strRef>
                </c:tx>
                <c:spPr>
                  <a:solidFill>
                    <a:schemeClr val="accent4"/>
                  </a:solidFill>
                  <a:ln>
                    <a:noFill/>
                  </a:ln>
                  <a:effectLst/>
                </c:spPr>
                <c:invertIfNegative val="0"/>
                <c:cat>
                  <c:numRef>
                    <c:extLst xmlns:c15="http://schemas.microsoft.com/office/drawing/2012/chart">
                      <c:ext xmlns:c15="http://schemas.microsoft.com/office/drawing/2012/char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xmlns:c15="http://schemas.microsoft.com/office/drawing/2012/chart">
                      <c:ext xmlns:c15="http://schemas.microsoft.com/office/drawing/2012/chart" uri="{02D57815-91ED-43cb-92C2-25804820EDAC}">
                        <c15:formulaRef>
                          <c15:sqref>G1_Characteristics_WorkToGo!$H$12:$FT$12</c15:sqref>
                        </c15:formulaRef>
                      </c:ext>
                    </c:extLst>
                    <c:numCache>
                      <c:formatCode>General</c:formatCode>
                      <c:ptCount val="169"/>
                      <c:pt idx="0">
                        <c:v>8</c:v>
                      </c:pt>
                      <c:pt idx="1">
                        <c:v>1</c:v>
                      </c:pt>
                      <c:pt idx="2">
                        <c:v>0</c:v>
                      </c:pt>
                      <c:pt idx="3">
                        <c:v>1</c:v>
                      </c:pt>
                      <c:pt idx="4">
                        <c:v>1</c:v>
                      </c:pt>
                      <c:pt idx="5">
                        <c:v>1</c:v>
                      </c:pt>
                      <c:pt idx="6">
                        <c:v>3</c:v>
                      </c:pt>
                      <c:pt idx="7">
                        <c:v>4</c:v>
                      </c:pt>
                      <c:pt idx="8">
                        <c:v>3</c:v>
                      </c:pt>
                      <c:pt idx="9">
                        <c:v>1</c:v>
                      </c:pt>
                      <c:pt idx="10">
                        <c:v>3</c:v>
                      </c:pt>
                      <c:pt idx="11">
                        <c:v>3</c:v>
                      </c:pt>
                      <c:pt idx="12">
                        <c:v>4</c:v>
                      </c:pt>
                      <c:pt idx="13">
                        <c:v>4</c:v>
                      </c:pt>
                      <c:pt idx="14">
                        <c:v>5</c:v>
                      </c:pt>
                      <c:pt idx="15">
                        <c:v>8</c:v>
                      </c:pt>
                      <c:pt idx="16">
                        <c:v>6</c:v>
                      </c:pt>
                      <c:pt idx="17">
                        <c:v>8</c:v>
                      </c:pt>
                      <c:pt idx="18">
                        <c:v>5</c:v>
                      </c:pt>
                      <c:pt idx="19">
                        <c:v>4</c:v>
                      </c:pt>
                      <c:pt idx="20">
                        <c:v>6</c:v>
                      </c:pt>
                      <c:pt idx="21">
                        <c:v>10</c:v>
                      </c:pt>
                      <c:pt idx="22">
                        <c:v>12</c:v>
                      </c:pt>
                      <c:pt idx="23">
                        <c:v>13</c:v>
                      </c:pt>
                      <c:pt idx="24">
                        <c:v>15</c:v>
                      </c:pt>
                      <c:pt idx="25">
                        <c:v>29</c:v>
                      </c:pt>
                      <c:pt idx="26">
                        <c:v>29</c:v>
                      </c:pt>
                      <c:pt idx="27">
                        <c:v>20</c:v>
                      </c:pt>
                      <c:pt idx="28">
                        <c:v>22</c:v>
                      </c:pt>
                      <c:pt idx="29">
                        <c:v>14</c:v>
                      </c:pt>
                      <c:pt idx="30">
                        <c:v>10</c:v>
                      </c:pt>
                      <c:pt idx="31">
                        <c:v>9</c:v>
                      </c:pt>
                      <c:pt idx="32">
                        <c:v>11</c:v>
                      </c:pt>
                      <c:pt idx="33">
                        <c:v>19</c:v>
                      </c:pt>
                      <c:pt idx="34">
                        <c:v>17</c:v>
                      </c:pt>
                      <c:pt idx="35">
                        <c:v>35</c:v>
                      </c:pt>
                      <c:pt idx="36">
                        <c:v>43</c:v>
                      </c:pt>
                      <c:pt idx="37">
                        <c:v>43</c:v>
                      </c:pt>
                      <c:pt idx="38">
                        <c:v>39</c:v>
                      </c:pt>
                      <c:pt idx="39">
                        <c:v>47</c:v>
                      </c:pt>
                      <c:pt idx="40">
                        <c:v>43</c:v>
                      </c:pt>
                      <c:pt idx="41">
                        <c:v>82</c:v>
                      </c:pt>
                      <c:pt idx="42">
                        <c:v>94</c:v>
                      </c:pt>
                      <c:pt idx="43">
                        <c:v>95</c:v>
                      </c:pt>
                      <c:pt idx="44">
                        <c:v>90</c:v>
                      </c:pt>
                      <c:pt idx="45">
                        <c:v>83</c:v>
                      </c:pt>
                      <c:pt idx="46">
                        <c:v>96</c:v>
                      </c:pt>
                      <c:pt idx="47">
                        <c:v>109</c:v>
                      </c:pt>
                      <c:pt idx="48">
                        <c:v>100</c:v>
                      </c:pt>
                      <c:pt idx="49">
                        <c:v>94</c:v>
                      </c:pt>
                      <c:pt idx="50">
                        <c:v>125</c:v>
                      </c:pt>
                      <c:pt idx="51">
                        <c:v>120</c:v>
                      </c:pt>
                      <c:pt idx="52">
                        <c:v>86</c:v>
                      </c:pt>
                      <c:pt idx="53">
                        <c:v>76</c:v>
                      </c:pt>
                      <c:pt idx="54">
                        <c:v>100</c:v>
                      </c:pt>
                      <c:pt idx="55">
                        <c:v>101</c:v>
                      </c:pt>
                      <c:pt idx="56">
                        <c:v>102</c:v>
                      </c:pt>
                      <c:pt idx="57">
                        <c:v>148</c:v>
                      </c:pt>
                      <c:pt idx="58">
                        <c:v>126</c:v>
                      </c:pt>
                      <c:pt idx="59">
                        <c:v>122</c:v>
                      </c:pt>
                      <c:pt idx="60">
                        <c:v>123</c:v>
                      </c:pt>
                      <c:pt idx="61">
                        <c:v>117</c:v>
                      </c:pt>
                      <c:pt idx="62">
                        <c:v>115</c:v>
                      </c:pt>
                      <c:pt idx="63">
                        <c:v>111</c:v>
                      </c:pt>
                      <c:pt idx="64">
                        <c:v>103</c:v>
                      </c:pt>
                      <c:pt idx="65">
                        <c:v>94</c:v>
                      </c:pt>
                      <c:pt idx="66">
                        <c:v>113</c:v>
                      </c:pt>
                      <c:pt idx="67">
                        <c:v>118</c:v>
                      </c:pt>
                      <c:pt idx="68">
                        <c:v>125</c:v>
                      </c:pt>
                      <c:pt idx="69">
                        <c:v>146</c:v>
                      </c:pt>
                      <c:pt idx="70">
                        <c:v>157</c:v>
                      </c:pt>
                      <c:pt idx="71">
                        <c:v>132</c:v>
                      </c:pt>
                      <c:pt idx="72">
                        <c:v>130</c:v>
                      </c:pt>
                      <c:pt idx="73">
                        <c:v>144</c:v>
                      </c:pt>
                      <c:pt idx="74">
                        <c:v>128</c:v>
                      </c:pt>
                      <c:pt idx="75">
                        <c:v>117</c:v>
                      </c:pt>
                      <c:pt idx="76">
                        <c:v>101</c:v>
                      </c:pt>
                      <c:pt idx="77">
                        <c:v>107</c:v>
                      </c:pt>
                      <c:pt idx="78">
                        <c:v>112</c:v>
                      </c:pt>
                      <c:pt idx="79">
                        <c:v>106</c:v>
                      </c:pt>
                      <c:pt idx="80">
                        <c:v>73</c:v>
                      </c:pt>
                      <c:pt idx="81">
                        <c:v>84</c:v>
                      </c:pt>
                      <c:pt idx="82">
                        <c:v>86</c:v>
                      </c:pt>
                      <c:pt idx="83">
                        <c:v>112</c:v>
                      </c:pt>
                      <c:pt idx="84">
                        <c:v>94</c:v>
                      </c:pt>
                      <c:pt idx="85">
                        <c:v>83</c:v>
                      </c:pt>
                      <c:pt idx="86">
                        <c:v>101</c:v>
                      </c:pt>
                      <c:pt idx="87">
                        <c:v>122</c:v>
                      </c:pt>
                      <c:pt idx="88">
                        <c:v>97</c:v>
                      </c:pt>
                      <c:pt idx="89">
                        <c:v>89</c:v>
                      </c:pt>
                      <c:pt idx="90">
                        <c:v>69</c:v>
                      </c:pt>
                      <c:pt idx="91">
                        <c:v>45</c:v>
                      </c:pt>
                      <c:pt idx="92">
                        <c:v>24</c:v>
                      </c:pt>
                      <c:pt idx="93">
                        <c:v>33</c:v>
                      </c:pt>
                      <c:pt idx="94">
                        <c:v>21</c:v>
                      </c:pt>
                      <c:pt idx="95">
                        <c:v>23</c:v>
                      </c:pt>
                      <c:pt idx="96">
                        <c:v>32</c:v>
                      </c:pt>
                      <c:pt idx="97">
                        <c:v>11</c:v>
                      </c:pt>
                      <c:pt idx="98">
                        <c:v>7</c:v>
                      </c:pt>
                      <c:pt idx="99">
                        <c:v>5</c:v>
                      </c:pt>
                      <c:pt idx="100">
                        <c:v>4</c:v>
                      </c:pt>
                      <c:pt idx="101">
                        <c:v>1</c:v>
                      </c:pt>
                      <c:pt idx="102">
                        <c:v>3</c:v>
                      </c:pt>
                      <c:pt idx="103">
                        <c:v>1</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extLst xmlns:c15="http://schemas.microsoft.com/office/drawing/2012/chart">
                  <c:ext xmlns:c16="http://schemas.microsoft.com/office/drawing/2014/chart" uri="{C3380CC4-5D6E-409C-BE32-E72D297353CC}">
                    <c16:uniqueId val="{00000007-2F5A-46CA-AD67-C4CD5570936D}"/>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G1_Characteristics_WorkToGo!$G$13</c15:sqref>
                        </c15:formulaRef>
                      </c:ext>
                    </c:extLst>
                    <c:strCache>
                      <c:ptCount val="1"/>
                      <c:pt idx="0">
                        <c:v>Summaries</c:v>
                      </c:pt>
                    </c:strCache>
                  </c:strRef>
                </c:tx>
                <c:spPr>
                  <a:solidFill>
                    <a:schemeClr val="accent5"/>
                  </a:solidFill>
                  <a:ln>
                    <a:noFill/>
                  </a:ln>
                  <a:effectLst/>
                </c:spPr>
                <c:invertIfNegative val="0"/>
                <c:cat>
                  <c:numRef>
                    <c:extLst xmlns:c15="http://schemas.microsoft.com/office/drawing/2012/chart">
                      <c:ext xmlns:c15="http://schemas.microsoft.com/office/drawing/2012/char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xmlns:c15="http://schemas.microsoft.com/office/drawing/2012/chart">
                      <c:ext xmlns:c15="http://schemas.microsoft.com/office/drawing/2012/chart" uri="{02D57815-91ED-43cb-92C2-25804820EDAC}">
                        <c15:formulaRef>
                          <c15:sqref>G1_Characteristics_WorkToGo!$H$13:$FT$13</c15:sqref>
                        </c15:formulaRef>
                      </c:ext>
                    </c:extLst>
                    <c:numCache>
                      <c:formatCode>General</c:formatCode>
                      <c:ptCount val="169"/>
                      <c:pt idx="0">
                        <c:v>103</c:v>
                      </c:pt>
                      <c:pt idx="1">
                        <c:v>81</c:v>
                      </c:pt>
                      <c:pt idx="2">
                        <c:v>81</c:v>
                      </c:pt>
                      <c:pt idx="3">
                        <c:v>84</c:v>
                      </c:pt>
                      <c:pt idx="4">
                        <c:v>84</c:v>
                      </c:pt>
                      <c:pt idx="5">
                        <c:v>84</c:v>
                      </c:pt>
                      <c:pt idx="6">
                        <c:v>84</c:v>
                      </c:pt>
                      <c:pt idx="7">
                        <c:v>84</c:v>
                      </c:pt>
                      <c:pt idx="8">
                        <c:v>84</c:v>
                      </c:pt>
                      <c:pt idx="9">
                        <c:v>84</c:v>
                      </c:pt>
                      <c:pt idx="10">
                        <c:v>84</c:v>
                      </c:pt>
                      <c:pt idx="11">
                        <c:v>84</c:v>
                      </c:pt>
                      <c:pt idx="12">
                        <c:v>88</c:v>
                      </c:pt>
                      <c:pt idx="13">
                        <c:v>88</c:v>
                      </c:pt>
                      <c:pt idx="14">
                        <c:v>89</c:v>
                      </c:pt>
                      <c:pt idx="15">
                        <c:v>89</c:v>
                      </c:pt>
                      <c:pt idx="16">
                        <c:v>89</c:v>
                      </c:pt>
                      <c:pt idx="17">
                        <c:v>91</c:v>
                      </c:pt>
                      <c:pt idx="18">
                        <c:v>90</c:v>
                      </c:pt>
                      <c:pt idx="19">
                        <c:v>91</c:v>
                      </c:pt>
                      <c:pt idx="20">
                        <c:v>92</c:v>
                      </c:pt>
                      <c:pt idx="21">
                        <c:v>93</c:v>
                      </c:pt>
                      <c:pt idx="22">
                        <c:v>96</c:v>
                      </c:pt>
                      <c:pt idx="23">
                        <c:v>97</c:v>
                      </c:pt>
                      <c:pt idx="24">
                        <c:v>100</c:v>
                      </c:pt>
                      <c:pt idx="25">
                        <c:v>101</c:v>
                      </c:pt>
                      <c:pt idx="26">
                        <c:v>101</c:v>
                      </c:pt>
                      <c:pt idx="27">
                        <c:v>100</c:v>
                      </c:pt>
                      <c:pt idx="28">
                        <c:v>101</c:v>
                      </c:pt>
                      <c:pt idx="29">
                        <c:v>101</c:v>
                      </c:pt>
                      <c:pt idx="30">
                        <c:v>101</c:v>
                      </c:pt>
                      <c:pt idx="31">
                        <c:v>101</c:v>
                      </c:pt>
                      <c:pt idx="32">
                        <c:v>101</c:v>
                      </c:pt>
                      <c:pt idx="33">
                        <c:v>104</c:v>
                      </c:pt>
                      <c:pt idx="34">
                        <c:v>103</c:v>
                      </c:pt>
                      <c:pt idx="35">
                        <c:v>111</c:v>
                      </c:pt>
                      <c:pt idx="36">
                        <c:v>111</c:v>
                      </c:pt>
                      <c:pt idx="37">
                        <c:v>117</c:v>
                      </c:pt>
                      <c:pt idx="38">
                        <c:v>120</c:v>
                      </c:pt>
                      <c:pt idx="39">
                        <c:v>115</c:v>
                      </c:pt>
                      <c:pt idx="40">
                        <c:v>115</c:v>
                      </c:pt>
                      <c:pt idx="41">
                        <c:v>152</c:v>
                      </c:pt>
                      <c:pt idx="42">
                        <c:v>156</c:v>
                      </c:pt>
                      <c:pt idx="43">
                        <c:v>157</c:v>
                      </c:pt>
                      <c:pt idx="44">
                        <c:v>154</c:v>
                      </c:pt>
                      <c:pt idx="45">
                        <c:v>158</c:v>
                      </c:pt>
                      <c:pt idx="46">
                        <c:v>177</c:v>
                      </c:pt>
                      <c:pt idx="47">
                        <c:v>180</c:v>
                      </c:pt>
                      <c:pt idx="48">
                        <c:v>173</c:v>
                      </c:pt>
                      <c:pt idx="49">
                        <c:v>174</c:v>
                      </c:pt>
                      <c:pt idx="50">
                        <c:v>182</c:v>
                      </c:pt>
                      <c:pt idx="51">
                        <c:v>173</c:v>
                      </c:pt>
                      <c:pt idx="52">
                        <c:v>160</c:v>
                      </c:pt>
                      <c:pt idx="53">
                        <c:v>162</c:v>
                      </c:pt>
                      <c:pt idx="54">
                        <c:v>165</c:v>
                      </c:pt>
                      <c:pt idx="55">
                        <c:v>163</c:v>
                      </c:pt>
                      <c:pt idx="56">
                        <c:v>167</c:v>
                      </c:pt>
                      <c:pt idx="57">
                        <c:v>182</c:v>
                      </c:pt>
                      <c:pt idx="58">
                        <c:v>188</c:v>
                      </c:pt>
                      <c:pt idx="59">
                        <c:v>186</c:v>
                      </c:pt>
                      <c:pt idx="60">
                        <c:v>195</c:v>
                      </c:pt>
                      <c:pt idx="61">
                        <c:v>192</c:v>
                      </c:pt>
                      <c:pt idx="62">
                        <c:v>184</c:v>
                      </c:pt>
                      <c:pt idx="63">
                        <c:v>184</c:v>
                      </c:pt>
                      <c:pt idx="64">
                        <c:v>178</c:v>
                      </c:pt>
                      <c:pt idx="65">
                        <c:v>178</c:v>
                      </c:pt>
                      <c:pt idx="66">
                        <c:v>171</c:v>
                      </c:pt>
                      <c:pt idx="67">
                        <c:v>170</c:v>
                      </c:pt>
                      <c:pt idx="68">
                        <c:v>172</c:v>
                      </c:pt>
                      <c:pt idx="69">
                        <c:v>183</c:v>
                      </c:pt>
                      <c:pt idx="70">
                        <c:v>178</c:v>
                      </c:pt>
                      <c:pt idx="71">
                        <c:v>177</c:v>
                      </c:pt>
                      <c:pt idx="72">
                        <c:v>177</c:v>
                      </c:pt>
                      <c:pt idx="73">
                        <c:v>177</c:v>
                      </c:pt>
                      <c:pt idx="74">
                        <c:v>179</c:v>
                      </c:pt>
                      <c:pt idx="75">
                        <c:v>176</c:v>
                      </c:pt>
                      <c:pt idx="76">
                        <c:v>172</c:v>
                      </c:pt>
                      <c:pt idx="77">
                        <c:v>175</c:v>
                      </c:pt>
                      <c:pt idx="78">
                        <c:v>180</c:v>
                      </c:pt>
                      <c:pt idx="79">
                        <c:v>180</c:v>
                      </c:pt>
                      <c:pt idx="80">
                        <c:v>168</c:v>
                      </c:pt>
                      <c:pt idx="81">
                        <c:v>174</c:v>
                      </c:pt>
                      <c:pt idx="82">
                        <c:v>175</c:v>
                      </c:pt>
                      <c:pt idx="83">
                        <c:v>177</c:v>
                      </c:pt>
                      <c:pt idx="84">
                        <c:v>170</c:v>
                      </c:pt>
                      <c:pt idx="85">
                        <c:v>164</c:v>
                      </c:pt>
                      <c:pt idx="86">
                        <c:v>161</c:v>
                      </c:pt>
                      <c:pt idx="87">
                        <c:v>139</c:v>
                      </c:pt>
                      <c:pt idx="88">
                        <c:v>131</c:v>
                      </c:pt>
                      <c:pt idx="89">
                        <c:v>119</c:v>
                      </c:pt>
                      <c:pt idx="90">
                        <c:v>86</c:v>
                      </c:pt>
                      <c:pt idx="91">
                        <c:v>65</c:v>
                      </c:pt>
                      <c:pt idx="92">
                        <c:v>49</c:v>
                      </c:pt>
                      <c:pt idx="93">
                        <c:v>50</c:v>
                      </c:pt>
                      <c:pt idx="94">
                        <c:v>35</c:v>
                      </c:pt>
                      <c:pt idx="95">
                        <c:v>33</c:v>
                      </c:pt>
                      <c:pt idx="96">
                        <c:v>27</c:v>
                      </c:pt>
                      <c:pt idx="97">
                        <c:v>13</c:v>
                      </c:pt>
                      <c:pt idx="98">
                        <c:v>14</c:v>
                      </c:pt>
                      <c:pt idx="99">
                        <c:v>10</c:v>
                      </c:pt>
                      <c:pt idx="100">
                        <c:v>10</c:v>
                      </c:pt>
                      <c:pt idx="101">
                        <c:v>3</c:v>
                      </c:pt>
                      <c:pt idx="102">
                        <c:v>3</c:v>
                      </c:pt>
                      <c:pt idx="103">
                        <c:v>3</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extLst xmlns:c15="http://schemas.microsoft.com/office/drawing/2012/chart">
                  <c:ext xmlns:c16="http://schemas.microsoft.com/office/drawing/2014/chart" uri="{C3380CC4-5D6E-409C-BE32-E72D297353CC}">
                    <c16:uniqueId val="{00000008-2F5A-46CA-AD67-C4CD5570936D}"/>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G1_Characteristics_WorkToGo!$G$15</c15:sqref>
                        </c15:formulaRef>
                      </c:ext>
                    </c:extLst>
                    <c:strCache>
                      <c:ptCount val="1"/>
                      <c:pt idx="0">
                        <c:v>Recurring Normal Tasks</c:v>
                      </c:pt>
                    </c:strCache>
                  </c:strRef>
                </c:tx>
                <c:spPr>
                  <a:solidFill>
                    <a:schemeClr val="accent6"/>
                  </a:solidFill>
                  <a:ln>
                    <a:noFill/>
                  </a:ln>
                  <a:effectLst/>
                </c:spPr>
                <c:invertIfNegative val="0"/>
                <c:cat>
                  <c:numRef>
                    <c:extLst xmlns:c15="http://schemas.microsoft.com/office/drawing/2012/chart">
                      <c:ext xmlns:c15="http://schemas.microsoft.com/office/drawing/2012/char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xmlns:c15="http://schemas.microsoft.com/office/drawing/2012/chart">
                      <c:ext xmlns:c15="http://schemas.microsoft.com/office/drawing/2012/chart" uri="{02D57815-91ED-43cb-92C2-25804820EDAC}">
                        <c15:formulaRef>
                          <c15:sqref>G1_Characteristics_WorkToGo!$H$15:$FT$15</c15:sqref>
                        </c15:formulaRef>
                      </c:ext>
                    </c:extLst>
                    <c:numCache>
                      <c:formatCode>General</c:formatCode>
                      <c:ptCount val="16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1</c:v>
                      </c:pt>
                      <c:pt idx="78">
                        <c:v>1</c:v>
                      </c:pt>
                      <c:pt idx="79">
                        <c:v>1</c:v>
                      </c:pt>
                      <c:pt idx="80">
                        <c:v>1</c:v>
                      </c:pt>
                      <c:pt idx="81">
                        <c:v>1</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extLst xmlns:c15="http://schemas.microsoft.com/office/drawing/2012/chart">
                  <c:ext xmlns:c16="http://schemas.microsoft.com/office/drawing/2014/chart" uri="{C3380CC4-5D6E-409C-BE32-E72D297353CC}">
                    <c16:uniqueId val="{00000001-2F5A-46CA-AD67-C4CD5570936D}"/>
                  </c:ext>
                </c:extLst>
              </c15:ser>
            </c15:filteredBarSeries>
            <c15:filteredBarSeries>
              <c15:ser>
                <c:idx val="9"/>
                <c:order val="9"/>
                <c:tx>
                  <c:strRef>
                    <c:extLst xmlns:c15="http://schemas.microsoft.com/office/drawing/2012/chart">
                      <c:ext xmlns:c15="http://schemas.microsoft.com/office/drawing/2012/chart" uri="{02D57815-91ED-43cb-92C2-25804820EDAC}">
                        <c15:formulaRef>
                          <c15:sqref>G1_Characteristics_WorkToGo!$G$18</c15:sqref>
                        </c15:formulaRef>
                      </c:ext>
                    </c:extLst>
                    <c:strCache>
                      <c:ptCount val="1"/>
                      <c:pt idx="0">
                        <c:v>Completed Milestones</c:v>
                      </c:pt>
                    </c:strCache>
                  </c:strRef>
                </c:tx>
                <c:spPr>
                  <a:solidFill>
                    <a:schemeClr val="accent4">
                      <a:lumMod val="60000"/>
                    </a:schemeClr>
                  </a:solidFill>
                  <a:ln>
                    <a:noFill/>
                  </a:ln>
                  <a:effectLst/>
                </c:spPr>
                <c:invertIfNegative val="0"/>
                <c:cat>
                  <c:numRef>
                    <c:extLst xmlns:c15="http://schemas.microsoft.com/office/drawing/2012/chart">
                      <c:ext xmlns:c15="http://schemas.microsoft.com/office/drawing/2012/char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xmlns:c15="http://schemas.microsoft.com/office/drawing/2012/chart">
                      <c:ext xmlns:c15="http://schemas.microsoft.com/office/drawing/2012/chart" uri="{02D57815-91ED-43cb-92C2-25804820EDAC}">
                        <c15:formulaRef>
                          <c15:sqref>G1_Characteristics_WorkToGo!$H$18:$FT$18</c15:sqref>
                        </c15:formulaRef>
                      </c:ext>
                    </c:extLst>
                    <c:numCache>
                      <c:formatCode>General</c:formatCode>
                      <c:ptCount val="169"/>
                      <c:pt idx="0">
                        <c:v>363</c:v>
                      </c:pt>
                      <c:pt idx="1">
                        <c:v>0</c:v>
                      </c:pt>
                      <c:pt idx="2">
                        <c:v>0</c:v>
                      </c:pt>
                      <c:pt idx="3">
                        <c:v>0</c:v>
                      </c:pt>
                      <c:pt idx="4">
                        <c:v>0</c:v>
                      </c:pt>
                      <c:pt idx="5">
                        <c:v>0</c:v>
                      </c:pt>
                      <c:pt idx="6">
                        <c:v>0</c:v>
                      </c:pt>
                      <c:pt idx="7">
                        <c:v>0</c:v>
                      </c:pt>
                      <c:pt idx="8">
                        <c:v>0</c:v>
                      </c:pt>
                      <c:pt idx="9">
                        <c:v>0</c:v>
                      </c:pt>
                      <c:pt idx="10">
                        <c:v>0</c:v>
                      </c:pt>
                      <c:pt idx="11">
                        <c:v>0</c:v>
                      </c:pt>
                      <c:pt idx="12">
                        <c:v>2</c:v>
                      </c:pt>
                      <c:pt idx="13">
                        <c:v>0</c:v>
                      </c:pt>
                      <c:pt idx="14">
                        <c:v>0</c:v>
                      </c:pt>
                      <c:pt idx="15">
                        <c:v>0</c:v>
                      </c:pt>
                      <c:pt idx="16">
                        <c:v>0</c:v>
                      </c:pt>
                      <c:pt idx="17">
                        <c:v>0</c:v>
                      </c:pt>
                      <c:pt idx="18">
                        <c:v>1</c:v>
                      </c:pt>
                      <c:pt idx="19">
                        <c:v>0</c:v>
                      </c:pt>
                      <c:pt idx="20">
                        <c:v>1</c:v>
                      </c:pt>
                      <c:pt idx="21">
                        <c:v>0</c:v>
                      </c:pt>
                      <c:pt idx="22">
                        <c:v>1</c:v>
                      </c:pt>
                      <c:pt idx="23">
                        <c:v>1</c:v>
                      </c:pt>
                      <c:pt idx="24">
                        <c:v>0</c:v>
                      </c:pt>
                      <c:pt idx="25">
                        <c:v>1</c:v>
                      </c:pt>
                      <c:pt idx="26">
                        <c:v>2</c:v>
                      </c:pt>
                      <c:pt idx="27">
                        <c:v>0</c:v>
                      </c:pt>
                      <c:pt idx="28">
                        <c:v>0</c:v>
                      </c:pt>
                      <c:pt idx="29">
                        <c:v>0</c:v>
                      </c:pt>
                      <c:pt idx="30">
                        <c:v>2</c:v>
                      </c:pt>
                      <c:pt idx="31">
                        <c:v>0</c:v>
                      </c:pt>
                      <c:pt idx="32">
                        <c:v>0</c:v>
                      </c:pt>
                      <c:pt idx="33">
                        <c:v>1</c:v>
                      </c:pt>
                      <c:pt idx="34">
                        <c:v>0</c:v>
                      </c:pt>
                      <c:pt idx="35">
                        <c:v>2</c:v>
                      </c:pt>
                      <c:pt idx="36">
                        <c:v>4</c:v>
                      </c:pt>
                      <c:pt idx="37">
                        <c:v>9</c:v>
                      </c:pt>
                      <c:pt idx="38">
                        <c:v>0</c:v>
                      </c:pt>
                      <c:pt idx="39">
                        <c:v>3</c:v>
                      </c:pt>
                      <c:pt idx="40">
                        <c:v>2</c:v>
                      </c:pt>
                      <c:pt idx="41">
                        <c:v>30</c:v>
                      </c:pt>
                      <c:pt idx="42">
                        <c:v>8</c:v>
                      </c:pt>
                      <c:pt idx="43">
                        <c:v>1</c:v>
                      </c:pt>
                      <c:pt idx="44">
                        <c:v>2</c:v>
                      </c:pt>
                      <c:pt idx="45">
                        <c:v>5</c:v>
                      </c:pt>
                      <c:pt idx="46">
                        <c:v>8</c:v>
                      </c:pt>
                      <c:pt idx="47">
                        <c:v>13</c:v>
                      </c:pt>
                      <c:pt idx="48">
                        <c:v>10</c:v>
                      </c:pt>
                      <c:pt idx="49">
                        <c:v>8</c:v>
                      </c:pt>
                      <c:pt idx="50">
                        <c:v>6</c:v>
                      </c:pt>
                      <c:pt idx="51">
                        <c:v>10</c:v>
                      </c:pt>
                      <c:pt idx="52">
                        <c:v>6</c:v>
                      </c:pt>
                      <c:pt idx="53">
                        <c:v>3</c:v>
                      </c:pt>
                      <c:pt idx="54">
                        <c:v>8</c:v>
                      </c:pt>
                      <c:pt idx="55">
                        <c:v>3</c:v>
                      </c:pt>
                      <c:pt idx="56">
                        <c:v>2</c:v>
                      </c:pt>
                      <c:pt idx="57">
                        <c:v>7</c:v>
                      </c:pt>
                      <c:pt idx="58">
                        <c:v>9</c:v>
                      </c:pt>
                      <c:pt idx="59">
                        <c:v>10</c:v>
                      </c:pt>
                      <c:pt idx="60">
                        <c:v>12</c:v>
                      </c:pt>
                      <c:pt idx="61">
                        <c:v>24</c:v>
                      </c:pt>
                      <c:pt idx="62">
                        <c:v>16</c:v>
                      </c:pt>
                      <c:pt idx="63">
                        <c:v>27</c:v>
                      </c:pt>
                      <c:pt idx="64">
                        <c:v>9</c:v>
                      </c:pt>
                      <c:pt idx="65">
                        <c:v>12</c:v>
                      </c:pt>
                      <c:pt idx="66">
                        <c:v>45</c:v>
                      </c:pt>
                      <c:pt idx="67">
                        <c:v>17</c:v>
                      </c:pt>
                      <c:pt idx="68">
                        <c:v>9</c:v>
                      </c:pt>
                      <c:pt idx="69">
                        <c:v>17</c:v>
                      </c:pt>
                      <c:pt idx="70">
                        <c:v>107</c:v>
                      </c:pt>
                      <c:pt idx="71">
                        <c:v>7</c:v>
                      </c:pt>
                      <c:pt idx="72">
                        <c:v>12</c:v>
                      </c:pt>
                      <c:pt idx="73">
                        <c:v>10</c:v>
                      </c:pt>
                      <c:pt idx="74">
                        <c:v>15</c:v>
                      </c:pt>
                      <c:pt idx="75">
                        <c:v>14</c:v>
                      </c:pt>
                      <c:pt idx="76">
                        <c:v>11</c:v>
                      </c:pt>
                      <c:pt idx="77">
                        <c:v>15</c:v>
                      </c:pt>
                      <c:pt idx="78">
                        <c:v>11</c:v>
                      </c:pt>
                      <c:pt idx="79">
                        <c:v>24</c:v>
                      </c:pt>
                      <c:pt idx="80">
                        <c:v>7</c:v>
                      </c:pt>
                      <c:pt idx="81">
                        <c:v>7</c:v>
                      </c:pt>
                      <c:pt idx="82">
                        <c:v>12</c:v>
                      </c:pt>
                      <c:pt idx="83">
                        <c:v>24</c:v>
                      </c:pt>
                      <c:pt idx="84">
                        <c:v>17</c:v>
                      </c:pt>
                      <c:pt idx="85">
                        <c:v>18</c:v>
                      </c:pt>
                      <c:pt idx="86">
                        <c:v>22</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extLst xmlns:c15="http://schemas.microsoft.com/office/drawing/2012/chart">
                  <c:ext xmlns:c16="http://schemas.microsoft.com/office/drawing/2014/chart" uri="{C3380CC4-5D6E-409C-BE32-E72D297353CC}">
                    <c16:uniqueId val="{0000000A-2F5A-46CA-AD67-C4CD5570936D}"/>
                  </c:ext>
                </c:extLst>
              </c15:ser>
            </c15:filteredBarSeries>
            <c15:filteredBarSeries>
              <c15:ser>
                <c:idx val="10"/>
                <c:order val="10"/>
                <c:tx>
                  <c:strRef>
                    <c:extLst xmlns:c15="http://schemas.microsoft.com/office/drawing/2012/chart">
                      <c:ext xmlns:c15="http://schemas.microsoft.com/office/drawing/2012/chart" uri="{02D57815-91ED-43cb-92C2-25804820EDAC}">
                        <c15:formulaRef>
                          <c15:sqref>G1_Characteristics_WorkToGo!$G$19</c15:sqref>
                        </c15:formulaRef>
                      </c:ext>
                    </c:extLst>
                    <c:strCache>
                      <c:ptCount val="1"/>
                      <c:pt idx="0">
                        <c:v>Completed Tasks</c:v>
                      </c:pt>
                    </c:strCache>
                  </c:strRef>
                </c:tx>
                <c:spPr>
                  <a:solidFill>
                    <a:schemeClr val="accent5">
                      <a:lumMod val="60000"/>
                    </a:schemeClr>
                  </a:solidFill>
                  <a:ln>
                    <a:noFill/>
                  </a:ln>
                  <a:effectLst/>
                </c:spPr>
                <c:invertIfNegative val="0"/>
                <c:cat>
                  <c:numRef>
                    <c:extLst xmlns:c15="http://schemas.microsoft.com/office/drawing/2012/chart">
                      <c:ext xmlns:c15="http://schemas.microsoft.com/office/drawing/2012/char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xmlns:c15="http://schemas.microsoft.com/office/drawing/2012/chart">
                      <c:ext xmlns:c15="http://schemas.microsoft.com/office/drawing/2012/chart" uri="{02D57815-91ED-43cb-92C2-25804820EDAC}">
                        <c15:formulaRef>
                          <c15:sqref>G1_Characteristics_WorkToGo!$H$19:$FT$19</c15:sqref>
                        </c15:formulaRef>
                      </c:ext>
                    </c:extLst>
                    <c:numCache>
                      <c:formatCode>General</c:formatCode>
                      <c:ptCount val="169"/>
                      <c:pt idx="0">
                        <c:v>8</c:v>
                      </c:pt>
                      <c:pt idx="1">
                        <c:v>1</c:v>
                      </c:pt>
                      <c:pt idx="2">
                        <c:v>0</c:v>
                      </c:pt>
                      <c:pt idx="3">
                        <c:v>1</c:v>
                      </c:pt>
                      <c:pt idx="4">
                        <c:v>1</c:v>
                      </c:pt>
                      <c:pt idx="5">
                        <c:v>1</c:v>
                      </c:pt>
                      <c:pt idx="6">
                        <c:v>3</c:v>
                      </c:pt>
                      <c:pt idx="7">
                        <c:v>4</c:v>
                      </c:pt>
                      <c:pt idx="8">
                        <c:v>3</c:v>
                      </c:pt>
                      <c:pt idx="9">
                        <c:v>1</c:v>
                      </c:pt>
                      <c:pt idx="10">
                        <c:v>3</c:v>
                      </c:pt>
                      <c:pt idx="11">
                        <c:v>3</c:v>
                      </c:pt>
                      <c:pt idx="12">
                        <c:v>4</c:v>
                      </c:pt>
                      <c:pt idx="13">
                        <c:v>4</c:v>
                      </c:pt>
                      <c:pt idx="14">
                        <c:v>5</c:v>
                      </c:pt>
                      <c:pt idx="15">
                        <c:v>8</c:v>
                      </c:pt>
                      <c:pt idx="16">
                        <c:v>6</c:v>
                      </c:pt>
                      <c:pt idx="17">
                        <c:v>8</c:v>
                      </c:pt>
                      <c:pt idx="18">
                        <c:v>5</c:v>
                      </c:pt>
                      <c:pt idx="19">
                        <c:v>4</c:v>
                      </c:pt>
                      <c:pt idx="20">
                        <c:v>6</c:v>
                      </c:pt>
                      <c:pt idx="21">
                        <c:v>10</c:v>
                      </c:pt>
                      <c:pt idx="22">
                        <c:v>12</c:v>
                      </c:pt>
                      <c:pt idx="23">
                        <c:v>13</c:v>
                      </c:pt>
                      <c:pt idx="24">
                        <c:v>15</c:v>
                      </c:pt>
                      <c:pt idx="25">
                        <c:v>29</c:v>
                      </c:pt>
                      <c:pt idx="26">
                        <c:v>29</c:v>
                      </c:pt>
                      <c:pt idx="27">
                        <c:v>20</c:v>
                      </c:pt>
                      <c:pt idx="28">
                        <c:v>22</c:v>
                      </c:pt>
                      <c:pt idx="29">
                        <c:v>14</c:v>
                      </c:pt>
                      <c:pt idx="30">
                        <c:v>10</c:v>
                      </c:pt>
                      <c:pt idx="31">
                        <c:v>9</c:v>
                      </c:pt>
                      <c:pt idx="32">
                        <c:v>11</c:v>
                      </c:pt>
                      <c:pt idx="33">
                        <c:v>19</c:v>
                      </c:pt>
                      <c:pt idx="34">
                        <c:v>17</c:v>
                      </c:pt>
                      <c:pt idx="35">
                        <c:v>35</c:v>
                      </c:pt>
                      <c:pt idx="36">
                        <c:v>43</c:v>
                      </c:pt>
                      <c:pt idx="37">
                        <c:v>43</c:v>
                      </c:pt>
                      <c:pt idx="38">
                        <c:v>39</c:v>
                      </c:pt>
                      <c:pt idx="39">
                        <c:v>47</c:v>
                      </c:pt>
                      <c:pt idx="40">
                        <c:v>43</c:v>
                      </c:pt>
                      <c:pt idx="41">
                        <c:v>82</c:v>
                      </c:pt>
                      <c:pt idx="42">
                        <c:v>94</c:v>
                      </c:pt>
                      <c:pt idx="43">
                        <c:v>95</c:v>
                      </c:pt>
                      <c:pt idx="44">
                        <c:v>90</c:v>
                      </c:pt>
                      <c:pt idx="45">
                        <c:v>83</c:v>
                      </c:pt>
                      <c:pt idx="46">
                        <c:v>96</c:v>
                      </c:pt>
                      <c:pt idx="47">
                        <c:v>109</c:v>
                      </c:pt>
                      <c:pt idx="48">
                        <c:v>100</c:v>
                      </c:pt>
                      <c:pt idx="49">
                        <c:v>94</c:v>
                      </c:pt>
                      <c:pt idx="50">
                        <c:v>125</c:v>
                      </c:pt>
                      <c:pt idx="51">
                        <c:v>120</c:v>
                      </c:pt>
                      <c:pt idx="52">
                        <c:v>86</c:v>
                      </c:pt>
                      <c:pt idx="53">
                        <c:v>76</c:v>
                      </c:pt>
                      <c:pt idx="54">
                        <c:v>100</c:v>
                      </c:pt>
                      <c:pt idx="55">
                        <c:v>101</c:v>
                      </c:pt>
                      <c:pt idx="56">
                        <c:v>102</c:v>
                      </c:pt>
                      <c:pt idx="57">
                        <c:v>148</c:v>
                      </c:pt>
                      <c:pt idx="58">
                        <c:v>126</c:v>
                      </c:pt>
                      <c:pt idx="59">
                        <c:v>122</c:v>
                      </c:pt>
                      <c:pt idx="60">
                        <c:v>123</c:v>
                      </c:pt>
                      <c:pt idx="61">
                        <c:v>117</c:v>
                      </c:pt>
                      <c:pt idx="62">
                        <c:v>115</c:v>
                      </c:pt>
                      <c:pt idx="63">
                        <c:v>110</c:v>
                      </c:pt>
                      <c:pt idx="64">
                        <c:v>102</c:v>
                      </c:pt>
                      <c:pt idx="65">
                        <c:v>93</c:v>
                      </c:pt>
                      <c:pt idx="66">
                        <c:v>112</c:v>
                      </c:pt>
                      <c:pt idx="67">
                        <c:v>117</c:v>
                      </c:pt>
                      <c:pt idx="68">
                        <c:v>124</c:v>
                      </c:pt>
                      <c:pt idx="69">
                        <c:v>144</c:v>
                      </c:pt>
                      <c:pt idx="70">
                        <c:v>154</c:v>
                      </c:pt>
                      <c:pt idx="71">
                        <c:v>129</c:v>
                      </c:pt>
                      <c:pt idx="72">
                        <c:v>126</c:v>
                      </c:pt>
                      <c:pt idx="73">
                        <c:v>140</c:v>
                      </c:pt>
                      <c:pt idx="74">
                        <c:v>124</c:v>
                      </c:pt>
                      <c:pt idx="75">
                        <c:v>112</c:v>
                      </c:pt>
                      <c:pt idx="76">
                        <c:v>96</c:v>
                      </c:pt>
                      <c:pt idx="77">
                        <c:v>99</c:v>
                      </c:pt>
                      <c:pt idx="78">
                        <c:v>103</c:v>
                      </c:pt>
                      <c:pt idx="79">
                        <c:v>95</c:v>
                      </c:pt>
                      <c:pt idx="80">
                        <c:v>62</c:v>
                      </c:pt>
                      <c:pt idx="81">
                        <c:v>71</c:v>
                      </c:pt>
                      <c:pt idx="82">
                        <c:v>70</c:v>
                      </c:pt>
                      <c:pt idx="83">
                        <c:v>91</c:v>
                      </c:pt>
                      <c:pt idx="84">
                        <c:v>71</c:v>
                      </c:pt>
                      <c:pt idx="85">
                        <c:v>58</c:v>
                      </c:pt>
                      <c:pt idx="86">
                        <c:v>53</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extLst xmlns:c15="http://schemas.microsoft.com/office/drawing/2012/chart">
                  <c:ext xmlns:c16="http://schemas.microsoft.com/office/drawing/2014/chart" uri="{C3380CC4-5D6E-409C-BE32-E72D297353CC}">
                    <c16:uniqueId val="{0000000B-2F5A-46CA-AD67-C4CD5570936D}"/>
                  </c:ext>
                </c:extLst>
              </c15:ser>
            </c15:filteredBarSeries>
            <c15:filteredBarSeries>
              <c15:ser>
                <c:idx val="11"/>
                <c:order val="11"/>
                <c:tx>
                  <c:strRef>
                    <c:extLst xmlns:c15="http://schemas.microsoft.com/office/drawing/2012/chart">
                      <c:ext xmlns:c15="http://schemas.microsoft.com/office/drawing/2012/chart" uri="{02D57815-91ED-43cb-92C2-25804820EDAC}">
                        <c15:formulaRef>
                          <c15:sqref>G1_Characteristics_WorkToGo!$G$20</c15:sqref>
                        </c15:formulaRef>
                      </c:ext>
                    </c:extLst>
                    <c:strCache>
                      <c:ptCount val="1"/>
                      <c:pt idx="0">
                        <c:v>Total Activities (To-Go) - % of Total</c:v>
                      </c:pt>
                    </c:strCache>
                  </c:strRef>
                </c:tx>
                <c:spPr>
                  <a:solidFill>
                    <a:schemeClr val="accent6">
                      <a:lumMod val="60000"/>
                    </a:schemeClr>
                  </a:solidFill>
                  <a:ln>
                    <a:noFill/>
                  </a:ln>
                  <a:effectLst/>
                </c:spPr>
                <c:invertIfNegative val="0"/>
                <c:cat>
                  <c:numRef>
                    <c:extLst xmlns:c15="http://schemas.microsoft.com/office/drawing/2012/chart">
                      <c:ext xmlns:c15="http://schemas.microsoft.com/office/drawing/2012/char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xmlns:c15="http://schemas.microsoft.com/office/drawing/2012/chart">
                      <c:ext xmlns:c15="http://schemas.microsoft.com/office/drawing/2012/chart" uri="{02D57815-91ED-43cb-92C2-25804820EDAC}">
                        <c15:formulaRef>
                          <c15:sqref>G1_Characteristics_WorkToGo!$H$20:$FT$20</c15:sqref>
                        </c15:formulaRef>
                      </c:ext>
                    </c:extLst>
                    <c:numCache>
                      <c:formatCode>General</c:formatCode>
                      <c:ptCount val="169"/>
                      <c:pt idx="0">
                        <c:v>54</c:v>
                      </c:pt>
                      <c:pt idx="1">
                        <c:v>54</c:v>
                      </c:pt>
                      <c:pt idx="2">
                        <c:v>54</c:v>
                      </c:pt>
                      <c:pt idx="3">
                        <c:v>54</c:v>
                      </c:pt>
                      <c:pt idx="4">
                        <c:v>54</c:v>
                      </c:pt>
                      <c:pt idx="5">
                        <c:v>54</c:v>
                      </c:pt>
                      <c:pt idx="6">
                        <c:v>54</c:v>
                      </c:pt>
                      <c:pt idx="7">
                        <c:v>54</c:v>
                      </c:pt>
                      <c:pt idx="8">
                        <c:v>54</c:v>
                      </c:pt>
                      <c:pt idx="9">
                        <c:v>54</c:v>
                      </c:pt>
                      <c:pt idx="10">
                        <c:v>54</c:v>
                      </c:pt>
                      <c:pt idx="11">
                        <c:v>54</c:v>
                      </c:pt>
                      <c:pt idx="12">
                        <c:v>55</c:v>
                      </c:pt>
                      <c:pt idx="13">
                        <c:v>55</c:v>
                      </c:pt>
                      <c:pt idx="14">
                        <c:v>55</c:v>
                      </c:pt>
                      <c:pt idx="15">
                        <c:v>55</c:v>
                      </c:pt>
                      <c:pt idx="16">
                        <c:v>55</c:v>
                      </c:pt>
                      <c:pt idx="17">
                        <c:v>55</c:v>
                      </c:pt>
                      <c:pt idx="18">
                        <c:v>55</c:v>
                      </c:pt>
                      <c:pt idx="19">
                        <c:v>55</c:v>
                      </c:pt>
                      <c:pt idx="20">
                        <c:v>55</c:v>
                      </c:pt>
                      <c:pt idx="21">
                        <c:v>55</c:v>
                      </c:pt>
                      <c:pt idx="22">
                        <c:v>55</c:v>
                      </c:pt>
                      <c:pt idx="23">
                        <c:v>55</c:v>
                      </c:pt>
                      <c:pt idx="24">
                        <c:v>55</c:v>
                      </c:pt>
                      <c:pt idx="25">
                        <c:v>55</c:v>
                      </c:pt>
                      <c:pt idx="26">
                        <c:v>55</c:v>
                      </c:pt>
                      <c:pt idx="27">
                        <c:v>55</c:v>
                      </c:pt>
                      <c:pt idx="28">
                        <c:v>55</c:v>
                      </c:pt>
                      <c:pt idx="29">
                        <c:v>55</c:v>
                      </c:pt>
                      <c:pt idx="30">
                        <c:v>55</c:v>
                      </c:pt>
                      <c:pt idx="31">
                        <c:v>55</c:v>
                      </c:pt>
                      <c:pt idx="32">
                        <c:v>55</c:v>
                      </c:pt>
                      <c:pt idx="33">
                        <c:v>55</c:v>
                      </c:pt>
                      <c:pt idx="34">
                        <c:v>55</c:v>
                      </c:pt>
                      <c:pt idx="35">
                        <c:v>55</c:v>
                      </c:pt>
                      <c:pt idx="36">
                        <c:v>56</c:v>
                      </c:pt>
                      <c:pt idx="37">
                        <c:v>56</c:v>
                      </c:pt>
                      <c:pt idx="38">
                        <c:v>57</c:v>
                      </c:pt>
                      <c:pt idx="39">
                        <c:v>58</c:v>
                      </c:pt>
                      <c:pt idx="40">
                        <c:v>58</c:v>
                      </c:pt>
                      <c:pt idx="41">
                        <c:v>58</c:v>
                      </c:pt>
                      <c:pt idx="42">
                        <c:v>58</c:v>
                      </c:pt>
                      <c:pt idx="43">
                        <c:v>58</c:v>
                      </c:pt>
                      <c:pt idx="44">
                        <c:v>58</c:v>
                      </c:pt>
                      <c:pt idx="45">
                        <c:v>58</c:v>
                      </c:pt>
                      <c:pt idx="46">
                        <c:v>58</c:v>
                      </c:pt>
                      <c:pt idx="47">
                        <c:v>59</c:v>
                      </c:pt>
                      <c:pt idx="48">
                        <c:v>59</c:v>
                      </c:pt>
                      <c:pt idx="49">
                        <c:v>59</c:v>
                      </c:pt>
                      <c:pt idx="50">
                        <c:v>59</c:v>
                      </c:pt>
                      <c:pt idx="51">
                        <c:v>60</c:v>
                      </c:pt>
                      <c:pt idx="52">
                        <c:v>60</c:v>
                      </c:pt>
                      <c:pt idx="53">
                        <c:v>60</c:v>
                      </c:pt>
                      <c:pt idx="54">
                        <c:v>60</c:v>
                      </c:pt>
                      <c:pt idx="55">
                        <c:v>60</c:v>
                      </c:pt>
                      <c:pt idx="56">
                        <c:v>61</c:v>
                      </c:pt>
                      <c:pt idx="57">
                        <c:v>61</c:v>
                      </c:pt>
                      <c:pt idx="58">
                        <c:v>61</c:v>
                      </c:pt>
                      <c:pt idx="59">
                        <c:v>61</c:v>
                      </c:pt>
                      <c:pt idx="60">
                        <c:v>64</c:v>
                      </c:pt>
                      <c:pt idx="61">
                        <c:v>64</c:v>
                      </c:pt>
                      <c:pt idx="62">
                        <c:v>65</c:v>
                      </c:pt>
                      <c:pt idx="63">
                        <c:v>68</c:v>
                      </c:pt>
                      <c:pt idx="64">
                        <c:v>68</c:v>
                      </c:pt>
                      <c:pt idx="65">
                        <c:v>69</c:v>
                      </c:pt>
                      <c:pt idx="66">
                        <c:v>69</c:v>
                      </c:pt>
                      <c:pt idx="67">
                        <c:v>69</c:v>
                      </c:pt>
                      <c:pt idx="68">
                        <c:v>70</c:v>
                      </c:pt>
                      <c:pt idx="69">
                        <c:v>75</c:v>
                      </c:pt>
                      <c:pt idx="70">
                        <c:v>77</c:v>
                      </c:pt>
                      <c:pt idx="71">
                        <c:v>81</c:v>
                      </c:pt>
                      <c:pt idx="72">
                        <c:v>84</c:v>
                      </c:pt>
                      <c:pt idx="73">
                        <c:v>86</c:v>
                      </c:pt>
                      <c:pt idx="74">
                        <c:v>93</c:v>
                      </c:pt>
                      <c:pt idx="75">
                        <c:v>97</c:v>
                      </c:pt>
                      <c:pt idx="76">
                        <c:v>99</c:v>
                      </c:pt>
                      <c:pt idx="77">
                        <c:v>107</c:v>
                      </c:pt>
                      <c:pt idx="78">
                        <c:v>110</c:v>
                      </c:pt>
                      <c:pt idx="79">
                        <c:v>114</c:v>
                      </c:pt>
                      <c:pt idx="80">
                        <c:v>116</c:v>
                      </c:pt>
                      <c:pt idx="81">
                        <c:v>125</c:v>
                      </c:pt>
                      <c:pt idx="82">
                        <c:v>130</c:v>
                      </c:pt>
                      <c:pt idx="83">
                        <c:v>139</c:v>
                      </c:pt>
                      <c:pt idx="84">
                        <c:v>145</c:v>
                      </c:pt>
                      <c:pt idx="85">
                        <c:v>150</c:v>
                      </c:pt>
                      <c:pt idx="86">
                        <c:v>192</c:v>
                      </c:pt>
                      <c:pt idx="87">
                        <c:v>296</c:v>
                      </c:pt>
                      <c:pt idx="88">
                        <c:v>279</c:v>
                      </c:pt>
                      <c:pt idx="89">
                        <c:v>241</c:v>
                      </c:pt>
                      <c:pt idx="90">
                        <c:v>181</c:v>
                      </c:pt>
                      <c:pt idx="91">
                        <c:v>126</c:v>
                      </c:pt>
                      <c:pt idx="92">
                        <c:v>78</c:v>
                      </c:pt>
                      <c:pt idx="93">
                        <c:v>92</c:v>
                      </c:pt>
                      <c:pt idx="94">
                        <c:v>59</c:v>
                      </c:pt>
                      <c:pt idx="95">
                        <c:v>62</c:v>
                      </c:pt>
                      <c:pt idx="96">
                        <c:v>74</c:v>
                      </c:pt>
                      <c:pt idx="97">
                        <c:v>24</c:v>
                      </c:pt>
                      <c:pt idx="98">
                        <c:v>24</c:v>
                      </c:pt>
                      <c:pt idx="99">
                        <c:v>16</c:v>
                      </c:pt>
                      <c:pt idx="100">
                        <c:v>19</c:v>
                      </c:pt>
                      <c:pt idx="101">
                        <c:v>4</c:v>
                      </c:pt>
                      <c:pt idx="102">
                        <c:v>10</c:v>
                      </c:pt>
                      <c:pt idx="103">
                        <c:v>6</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extLst xmlns:c15="http://schemas.microsoft.com/office/drawing/2012/chart">
                  <c:ext xmlns:c16="http://schemas.microsoft.com/office/drawing/2014/chart" uri="{C3380CC4-5D6E-409C-BE32-E72D297353CC}">
                    <c16:uniqueId val="{0000000C-2F5A-46CA-AD67-C4CD5570936D}"/>
                  </c:ext>
                </c:extLst>
              </c15:ser>
            </c15:filteredBarSeries>
            <c15:filteredBarSeries>
              <c15:ser>
                <c:idx val="13"/>
                <c:order val="13"/>
                <c:tx>
                  <c:strRef>
                    <c:extLst xmlns:c15="http://schemas.microsoft.com/office/drawing/2012/chart">
                      <c:ext xmlns:c15="http://schemas.microsoft.com/office/drawing/2012/chart" uri="{02D57815-91ED-43cb-92C2-25804820EDAC}">
                        <c15:formulaRef>
                          <c15:sqref>G1_Characteristics_WorkToGo!$G$22</c15:sqref>
                        </c15:formulaRef>
                      </c:ext>
                    </c:extLst>
                    <c:strCache>
                      <c:ptCount val="1"/>
                      <c:pt idx="0">
                        <c:v>Milestones (To-Go)</c:v>
                      </c:pt>
                    </c:strCache>
                  </c:strRef>
                </c:tx>
                <c:spPr>
                  <a:solidFill>
                    <a:schemeClr val="accent2">
                      <a:lumMod val="80000"/>
                      <a:lumOff val="20000"/>
                    </a:schemeClr>
                  </a:solidFill>
                  <a:ln>
                    <a:noFill/>
                  </a:ln>
                  <a:effectLst/>
                </c:spPr>
                <c:invertIfNegative val="0"/>
                <c:cat>
                  <c:numRef>
                    <c:extLst xmlns:c15="http://schemas.microsoft.com/office/drawing/2012/chart">
                      <c:ext xmlns:c15="http://schemas.microsoft.com/office/drawing/2012/char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xmlns:c15="http://schemas.microsoft.com/office/drawing/2012/chart">
                      <c:ext xmlns:c15="http://schemas.microsoft.com/office/drawing/2012/chart" uri="{02D57815-91ED-43cb-92C2-25804820EDAC}">
                        <c15:formulaRef>
                          <c15:sqref>G1_Characteristics_WorkToGo!$H$22:$FT$22</c15:sqref>
                        </c15:formulaRef>
                      </c:ext>
                    </c:extLst>
                    <c:numCache>
                      <c:formatCode>General</c:formatCode>
                      <c:ptCount val="16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8</c:v>
                      </c:pt>
                      <c:pt idx="87">
                        <c:v>35</c:v>
                      </c:pt>
                      <c:pt idx="88">
                        <c:v>51</c:v>
                      </c:pt>
                      <c:pt idx="89">
                        <c:v>33</c:v>
                      </c:pt>
                      <c:pt idx="90">
                        <c:v>26</c:v>
                      </c:pt>
                      <c:pt idx="91">
                        <c:v>16</c:v>
                      </c:pt>
                      <c:pt idx="92">
                        <c:v>5</c:v>
                      </c:pt>
                      <c:pt idx="93">
                        <c:v>9</c:v>
                      </c:pt>
                      <c:pt idx="94">
                        <c:v>3</c:v>
                      </c:pt>
                      <c:pt idx="95">
                        <c:v>6</c:v>
                      </c:pt>
                      <c:pt idx="96">
                        <c:v>15</c:v>
                      </c:pt>
                      <c:pt idx="97">
                        <c:v>0</c:v>
                      </c:pt>
                      <c:pt idx="98">
                        <c:v>3</c:v>
                      </c:pt>
                      <c:pt idx="99">
                        <c:v>1</c:v>
                      </c:pt>
                      <c:pt idx="100">
                        <c:v>5</c:v>
                      </c:pt>
                      <c:pt idx="101">
                        <c:v>0</c:v>
                      </c:pt>
                      <c:pt idx="102">
                        <c:v>4</c:v>
                      </c:pt>
                      <c:pt idx="103">
                        <c:v>2</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extLst xmlns:c15="http://schemas.microsoft.com/office/drawing/2012/chart">
                  <c:ext xmlns:c16="http://schemas.microsoft.com/office/drawing/2014/chart" uri="{C3380CC4-5D6E-409C-BE32-E72D297353CC}">
                    <c16:uniqueId val="{0000000E-2F5A-46CA-AD67-C4CD5570936D}"/>
                  </c:ext>
                </c:extLst>
              </c15:ser>
            </c15:filteredBarSeries>
            <c15:filteredBarSeries>
              <c15:ser>
                <c:idx val="15"/>
                <c:order val="15"/>
                <c:tx>
                  <c:strRef>
                    <c:extLst xmlns:c15="http://schemas.microsoft.com/office/drawing/2012/chart">
                      <c:ext xmlns:c15="http://schemas.microsoft.com/office/drawing/2012/chart" uri="{02D57815-91ED-43cb-92C2-25804820EDAC}">
                        <c15:formulaRef>
                          <c15:sqref>G1_Characteristics_WorkToGo!$G$24</c15:sqref>
                        </c15:formulaRef>
                      </c:ext>
                    </c:extLst>
                    <c:strCache>
                      <c:ptCount val="1"/>
                      <c:pt idx="0">
                        <c:v>Summaries (To-Go)</c:v>
                      </c:pt>
                    </c:strCache>
                  </c:strRef>
                </c:tx>
                <c:spPr>
                  <a:solidFill>
                    <a:schemeClr val="accent4">
                      <a:lumMod val="80000"/>
                      <a:lumOff val="20000"/>
                    </a:schemeClr>
                  </a:solidFill>
                  <a:ln>
                    <a:noFill/>
                  </a:ln>
                  <a:effectLst/>
                </c:spPr>
                <c:invertIfNegative val="0"/>
                <c:cat>
                  <c:numRef>
                    <c:extLst xmlns:c15="http://schemas.microsoft.com/office/drawing/2012/chart">
                      <c:ext xmlns:c15="http://schemas.microsoft.com/office/drawing/2012/char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xmlns:c15="http://schemas.microsoft.com/office/drawing/2012/chart">
                      <c:ext xmlns:c15="http://schemas.microsoft.com/office/drawing/2012/chart" uri="{02D57815-91ED-43cb-92C2-25804820EDAC}">
                        <c15:formulaRef>
                          <c15:sqref>G1_Characteristics_WorkToGo!$H$24:$FT$24</c15:sqref>
                        </c15:formulaRef>
                      </c:ext>
                    </c:extLst>
                    <c:numCache>
                      <c:formatCode>General</c:formatCode>
                      <c:ptCount val="169"/>
                      <c:pt idx="0">
                        <c:v>54</c:v>
                      </c:pt>
                      <c:pt idx="1">
                        <c:v>54</c:v>
                      </c:pt>
                      <c:pt idx="2">
                        <c:v>54</c:v>
                      </c:pt>
                      <c:pt idx="3">
                        <c:v>54</c:v>
                      </c:pt>
                      <c:pt idx="4">
                        <c:v>54</c:v>
                      </c:pt>
                      <c:pt idx="5">
                        <c:v>54</c:v>
                      </c:pt>
                      <c:pt idx="6">
                        <c:v>54</c:v>
                      </c:pt>
                      <c:pt idx="7">
                        <c:v>54</c:v>
                      </c:pt>
                      <c:pt idx="8">
                        <c:v>54</c:v>
                      </c:pt>
                      <c:pt idx="9">
                        <c:v>54</c:v>
                      </c:pt>
                      <c:pt idx="10">
                        <c:v>54</c:v>
                      </c:pt>
                      <c:pt idx="11">
                        <c:v>54</c:v>
                      </c:pt>
                      <c:pt idx="12">
                        <c:v>55</c:v>
                      </c:pt>
                      <c:pt idx="13">
                        <c:v>55</c:v>
                      </c:pt>
                      <c:pt idx="14">
                        <c:v>55</c:v>
                      </c:pt>
                      <c:pt idx="15">
                        <c:v>55</c:v>
                      </c:pt>
                      <c:pt idx="16">
                        <c:v>55</c:v>
                      </c:pt>
                      <c:pt idx="17">
                        <c:v>55</c:v>
                      </c:pt>
                      <c:pt idx="18">
                        <c:v>55</c:v>
                      </c:pt>
                      <c:pt idx="19">
                        <c:v>55</c:v>
                      </c:pt>
                      <c:pt idx="20">
                        <c:v>55</c:v>
                      </c:pt>
                      <c:pt idx="21">
                        <c:v>55</c:v>
                      </c:pt>
                      <c:pt idx="22">
                        <c:v>55</c:v>
                      </c:pt>
                      <c:pt idx="23">
                        <c:v>55</c:v>
                      </c:pt>
                      <c:pt idx="24">
                        <c:v>55</c:v>
                      </c:pt>
                      <c:pt idx="25">
                        <c:v>55</c:v>
                      </c:pt>
                      <c:pt idx="26">
                        <c:v>55</c:v>
                      </c:pt>
                      <c:pt idx="27">
                        <c:v>55</c:v>
                      </c:pt>
                      <c:pt idx="28">
                        <c:v>55</c:v>
                      </c:pt>
                      <c:pt idx="29">
                        <c:v>55</c:v>
                      </c:pt>
                      <c:pt idx="30">
                        <c:v>55</c:v>
                      </c:pt>
                      <c:pt idx="31">
                        <c:v>55</c:v>
                      </c:pt>
                      <c:pt idx="32">
                        <c:v>55</c:v>
                      </c:pt>
                      <c:pt idx="33">
                        <c:v>55</c:v>
                      </c:pt>
                      <c:pt idx="34">
                        <c:v>55</c:v>
                      </c:pt>
                      <c:pt idx="35">
                        <c:v>55</c:v>
                      </c:pt>
                      <c:pt idx="36">
                        <c:v>56</c:v>
                      </c:pt>
                      <c:pt idx="37">
                        <c:v>56</c:v>
                      </c:pt>
                      <c:pt idx="38">
                        <c:v>57</c:v>
                      </c:pt>
                      <c:pt idx="39">
                        <c:v>58</c:v>
                      </c:pt>
                      <c:pt idx="40">
                        <c:v>58</c:v>
                      </c:pt>
                      <c:pt idx="41">
                        <c:v>58</c:v>
                      </c:pt>
                      <c:pt idx="42">
                        <c:v>58</c:v>
                      </c:pt>
                      <c:pt idx="43">
                        <c:v>58</c:v>
                      </c:pt>
                      <c:pt idx="44">
                        <c:v>58</c:v>
                      </c:pt>
                      <c:pt idx="45">
                        <c:v>58</c:v>
                      </c:pt>
                      <c:pt idx="46">
                        <c:v>58</c:v>
                      </c:pt>
                      <c:pt idx="47">
                        <c:v>59</c:v>
                      </c:pt>
                      <c:pt idx="48">
                        <c:v>59</c:v>
                      </c:pt>
                      <c:pt idx="49">
                        <c:v>59</c:v>
                      </c:pt>
                      <c:pt idx="50">
                        <c:v>59</c:v>
                      </c:pt>
                      <c:pt idx="51">
                        <c:v>60</c:v>
                      </c:pt>
                      <c:pt idx="52">
                        <c:v>60</c:v>
                      </c:pt>
                      <c:pt idx="53">
                        <c:v>60</c:v>
                      </c:pt>
                      <c:pt idx="54">
                        <c:v>60</c:v>
                      </c:pt>
                      <c:pt idx="55">
                        <c:v>60</c:v>
                      </c:pt>
                      <c:pt idx="56">
                        <c:v>61</c:v>
                      </c:pt>
                      <c:pt idx="57">
                        <c:v>61</c:v>
                      </c:pt>
                      <c:pt idx="58">
                        <c:v>61</c:v>
                      </c:pt>
                      <c:pt idx="59">
                        <c:v>61</c:v>
                      </c:pt>
                      <c:pt idx="60">
                        <c:v>64</c:v>
                      </c:pt>
                      <c:pt idx="61">
                        <c:v>64</c:v>
                      </c:pt>
                      <c:pt idx="62">
                        <c:v>65</c:v>
                      </c:pt>
                      <c:pt idx="63">
                        <c:v>67</c:v>
                      </c:pt>
                      <c:pt idx="64">
                        <c:v>67</c:v>
                      </c:pt>
                      <c:pt idx="65">
                        <c:v>68</c:v>
                      </c:pt>
                      <c:pt idx="66">
                        <c:v>68</c:v>
                      </c:pt>
                      <c:pt idx="67">
                        <c:v>68</c:v>
                      </c:pt>
                      <c:pt idx="68">
                        <c:v>69</c:v>
                      </c:pt>
                      <c:pt idx="69">
                        <c:v>73</c:v>
                      </c:pt>
                      <c:pt idx="70">
                        <c:v>74</c:v>
                      </c:pt>
                      <c:pt idx="71">
                        <c:v>78</c:v>
                      </c:pt>
                      <c:pt idx="72">
                        <c:v>80</c:v>
                      </c:pt>
                      <c:pt idx="73">
                        <c:v>82</c:v>
                      </c:pt>
                      <c:pt idx="74">
                        <c:v>89</c:v>
                      </c:pt>
                      <c:pt idx="75">
                        <c:v>92</c:v>
                      </c:pt>
                      <c:pt idx="76">
                        <c:v>94</c:v>
                      </c:pt>
                      <c:pt idx="77">
                        <c:v>99</c:v>
                      </c:pt>
                      <c:pt idx="78">
                        <c:v>101</c:v>
                      </c:pt>
                      <c:pt idx="79">
                        <c:v>103</c:v>
                      </c:pt>
                      <c:pt idx="80">
                        <c:v>105</c:v>
                      </c:pt>
                      <c:pt idx="81">
                        <c:v>112</c:v>
                      </c:pt>
                      <c:pt idx="82">
                        <c:v>114</c:v>
                      </c:pt>
                      <c:pt idx="83">
                        <c:v>118</c:v>
                      </c:pt>
                      <c:pt idx="84">
                        <c:v>122</c:v>
                      </c:pt>
                      <c:pt idx="85">
                        <c:v>125</c:v>
                      </c:pt>
                      <c:pt idx="86">
                        <c:v>136</c:v>
                      </c:pt>
                      <c:pt idx="87">
                        <c:v>139</c:v>
                      </c:pt>
                      <c:pt idx="88">
                        <c:v>131</c:v>
                      </c:pt>
                      <c:pt idx="89">
                        <c:v>119</c:v>
                      </c:pt>
                      <c:pt idx="90">
                        <c:v>86</c:v>
                      </c:pt>
                      <c:pt idx="91">
                        <c:v>65</c:v>
                      </c:pt>
                      <c:pt idx="92">
                        <c:v>49</c:v>
                      </c:pt>
                      <c:pt idx="93">
                        <c:v>50</c:v>
                      </c:pt>
                      <c:pt idx="94">
                        <c:v>35</c:v>
                      </c:pt>
                      <c:pt idx="95">
                        <c:v>33</c:v>
                      </c:pt>
                      <c:pt idx="96">
                        <c:v>27</c:v>
                      </c:pt>
                      <c:pt idx="97">
                        <c:v>13</c:v>
                      </c:pt>
                      <c:pt idx="98">
                        <c:v>14</c:v>
                      </c:pt>
                      <c:pt idx="99">
                        <c:v>10</c:v>
                      </c:pt>
                      <c:pt idx="100">
                        <c:v>10</c:v>
                      </c:pt>
                      <c:pt idx="101">
                        <c:v>3</c:v>
                      </c:pt>
                      <c:pt idx="102">
                        <c:v>3</c:v>
                      </c:pt>
                      <c:pt idx="103">
                        <c:v>3</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extLst xmlns:c15="http://schemas.microsoft.com/office/drawing/2012/chart">
                  <c:ext xmlns:c16="http://schemas.microsoft.com/office/drawing/2014/chart" uri="{C3380CC4-5D6E-409C-BE32-E72D297353CC}">
                    <c16:uniqueId val="{0000000F-2F5A-46CA-AD67-C4CD5570936D}"/>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G1_Characteristics_WorkToGo!$G$25</c15:sqref>
                        </c15:formulaRef>
                      </c:ext>
                    </c:extLst>
                    <c:strCache>
                      <c:ptCount val="1"/>
                      <c:pt idx="0">
                        <c:v>Hammocks (To-Go)</c:v>
                      </c:pt>
                    </c:strCache>
                  </c:strRef>
                </c:tx>
                <c:spPr>
                  <a:solidFill>
                    <a:schemeClr val="accent5">
                      <a:lumMod val="80000"/>
                      <a:lumOff val="20000"/>
                    </a:schemeClr>
                  </a:solidFill>
                  <a:ln>
                    <a:noFill/>
                  </a:ln>
                  <a:effectLst/>
                </c:spPr>
                <c:invertIfNegative val="0"/>
                <c:cat>
                  <c:numRef>
                    <c:extLst xmlns:c15="http://schemas.microsoft.com/office/drawing/2012/chart">
                      <c:ext xmlns:c15="http://schemas.microsoft.com/office/drawing/2012/char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xmlns:c15="http://schemas.microsoft.com/office/drawing/2012/chart">
                      <c:ext xmlns:c15="http://schemas.microsoft.com/office/drawing/2012/chart" uri="{02D57815-91ED-43cb-92C2-25804820EDAC}">
                        <c15:formulaRef>
                          <c15:sqref>G1_Characteristics_WorkToGo!$H$25:$FT$25</c15:sqref>
                        </c15:formulaRef>
                      </c:ext>
                    </c:extLst>
                    <c:numCache>
                      <c:formatCode>General</c:formatCode>
                      <c:ptCount val="16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extLst xmlns:c15="http://schemas.microsoft.com/office/drawing/2012/chart">
                  <c:ext xmlns:c16="http://schemas.microsoft.com/office/drawing/2014/chart" uri="{C3380CC4-5D6E-409C-BE32-E72D297353CC}">
                    <c16:uniqueId val="{00000010-2F5A-46CA-AD67-C4CD5570936D}"/>
                  </c:ext>
                </c:extLst>
              </c15:ser>
            </c15:filteredBarSeries>
          </c:ext>
        </c:extLst>
      </c:barChart>
      <c:lineChart>
        <c:grouping val="standard"/>
        <c:varyColors val="0"/>
        <c:ser>
          <c:idx val="18"/>
          <c:order val="18"/>
          <c:tx>
            <c:strRef>
              <c:f>G1_Characteristics_WorkToGo!$G$27</c:f>
              <c:strCache>
                <c:ptCount val="1"/>
                <c:pt idx="0">
                  <c:v>Longest Path (Tasks &amp; Milestones)</c:v>
                </c:pt>
              </c:strCache>
            </c:strRef>
          </c:tx>
          <c:spPr>
            <a:ln w="28575" cap="rnd">
              <a:solidFill>
                <a:schemeClr val="accent2">
                  <a:lumMod val="75000"/>
                </a:schemeClr>
              </a:solidFill>
              <a:round/>
            </a:ln>
            <a:effectLst/>
          </c:spPr>
          <c:marker>
            <c:symbol val="none"/>
          </c:marker>
          <c:cat>
            <c:numRef>
              <c:f>G1_Characteristics_WorkToGo!$H$8:$FT$8</c:f>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f>G1_Characteristics_WorkToGo!$H$27:$FT$27</c:f>
              <c:numCache>
                <c:formatCode>General</c:formatCode>
                <c:ptCount val="16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1</c:v>
                </c:pt>
                <c:pt idx="87">
                  <c:v>13</c:v>
                </c:pt>
                <c:pt idx="88">
                  <c:v>22</c:v>
                </c:pt>
                <c:pt idx="89">
                  <c:v>26</c:v>
                </c:pt>
                <c:pt idx="90">
                  <c:v>10</c:v>
                </c:pt>
                <c:pt idx="91">
                  <c:v>9</c:v>
                </c:pt>
                <c:pt idx="92">
                  <c:v>5</c:v>
                </c:pt>
                <c:pt idx="93">
                  <c:v>18</c:v>
                </c:pt>
                <c:pt idx="94">
                  <c:v>12</c:v>
                </c:pt>
                <c:pt idx="95">
                  <c:v>13</c:v>
                </c:pt>
                <c:pt idx="96">
                  <c:v>25</c:v>
                </c:pt>
                <c:pt idx="97">
                  <c:v>7</c:v>
                </c:pt>
                <c:pt idx="98">
                  <c:v>6</c:v>
                </c:pt>
                <c:pt idx="99">
                  <c:v>1</c:v>
                </c:pt>
                <c:pt idx="100">
                  <c:v>4</c:v>
                </c:pt>
                <c:pt idx="101">
                  <c:v>1</c:v>
                </c:pt>
                <c:pt idx="102">
                  <c:v>7</c:v>
                </c:pt>
                <c:pt idx="103">
                  <c:v>3</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smooth val="0"/>
          <c:extLst>
            <c:ext xmlns:c16="http://schemas.microsoft.com/office/drawing/2014/chart" uri="{C3380CC4-5D6E-409C-BE32-E72D297353CC}">
              <c16:uniqueId val="{00000012-2F5A-46CA-AD67-C4CD5570936D}"/>
            </c:ext>
          </c:extLst>
        </c:ser>
        <c:dLbls>
          <c:showLegendKey val="0"/>
          <c:showVal val="0"/>
          <c:showCatName val="0"/>
          <c:showSerName val="0"/>
          <c:showPercent val="0"/>
          <c:showBubbleSize val="0"/>
        </c:dLbls>
        <c:marker val="1"/>
        <c:smooth val="0"/>
        <c:axId val="1413648640"/>
        <c:axId val="1413649056"/>
        <c:extLst>
          <c:ext xmlns:c15="http://schemas.microsoft.com/office/drawing/2012/chart" uri="{02D57815-91ED-43cb-92C2-25804820EDAC}">
            <c15:filteredLineSeries>
              <c15:ser>
                <c:idx val="14"/>
                <c:order val="14"/>
                <c:tx>
                  <c:strRef>
                    <c:extLst>
                      <c:ext uri="{02D57815-91ED-43cb-92C2-25804820EDAC}">
                        <c15:formulaRef>
                          <c15:sqref>G1_Characteristics_WorkToGo!$G$23</c15:sqref>
                        </c15:formulaRef>
                      </c:ext>
                    </c:extLst>
                    <c:strCache>
                      <c:ptCount val="1"/>
                      <c:pt idx="0">
                        <c:v>Normal Tasks (To-Go)</c:v>
                      </c:pt>
                    </c:strCache>
                  </c:strRef>
                </c:tx>
                <c:spPr>
                  <a:ln w="28575" cap="rnd">
                    <a:solidFill>
                      <a:schemeClr val="accent2"/>
                    </a:solidFill>
                    <a:round/>
                  </a:ln>
                  <a:effectLst/>
                </c:spPr>
                <c:marker>
                  <c:symbol val="none"/>
                </c:marker>
                <c:cat>
                  <c:numRef>
                    <c:extLst>
                      <c:ex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c:ext uri="{02D57815-91ED-43cb-92C2-25804820EDAC}">
                        <c15:formulaRef>
                          <c15:sqref>G1_Characteristics_WorkToGo!$H$23:$FT$23</c15:sqref>
                        </c15:formulaRef>
                      </c:ext>
                    </c:extLst>
                    <c:numCache>
                      <c:formatCode>General</c:formatCode>
                      <c:ptCount val="16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1</c:v>
                      </c:pt>
                      <c:pt idx="64">
                        <c:v>1</c:v>
                      </c:pt>
                      <c:pt idx="65">
                        <c:v>1</c:v>
                      </c:pt>
                      <c:pt idx="66">
                        <c:v>1</c:v>
                      </c:pt>
                      <c:pt idx="67">
                        <c:v>1</c:v>
                      </c:pt>
                      <c:pt idx="68">
                        <c:v>1</c:v>
                      </c:pt>
                      <c:pt idx="69">
                        <c:v>2</c:v>
                      </c:pt>
                      <c:pt idx="70">
                        <c:v>3</c:v>
                      </c:pt>
                      <c:pt idx="71">
                        <c:v>3</c:v>
                      </c:pt>
                      <c:pt idx="72">
                        <c:v>4</c:v>
                      </c:pt>
                      <c:pt idx="73">
                        <c:v>4</c:v>
                      </c:pt>
                      <c:pt idx="74">
                        <c:v>4</c:v>
                      </c:pt>
                      <c:pt idx="75">
                        <c:v>5</c:v>
                      </c:pt>
                      <c:pt idx="76">
                        <c:v>5</c:v>
                      </c:pt>
                      <c:pt idx="77">
                        <c:v>8</c:v>
                      </c:pt>
                      <c:pt idx="78">
                        <c:v>9</c:v>
                      </c:pt>
                      <c:pt idx="79">
                        <c:v>11</c:v>
                      </c:pt>
                      <c:pt idx="80">
                        <c:v>11</c:v>
                      </c:pt>
                      <c:pt idx="81">
                        <c:v>13</c:v>
                      </c:pt>
                      <c:pt idx="82">
                        <c:v>16</c:v>
                      </c:pt>
                      <c:pt idx="83">
                        <c:v>21</c:v>
                      </c:pt>
                      <c:pt idx="84">
                        <c:v>23</c:v>
                      </c:pt>
                      <c:pt idx="85">
                        <c:v>25</c:v>
                      </c:pt>
                      <c:pt idx="86">
                        <c:v>48</c:v>
                      </c:pt>
                      <c:pt idx="87">
                        <c:v>122</c:v>
                      </c:pt>
                      <c:pt idx="88">
                        <c:v>97</c:v>
                      </c:pt>
                      <c:pt idx="89">
                        <c:v>89</c:v>
                      </c:pt>
                      <c:pt idx="90">
                        <c:v>69</c:v>
                      </c:pt>
                      <c:pt idx="91">
                        <c:v>45</c:v>
                      </c:pt>
                      <c:pt idx="92">
                        <c:v>24</c:v>
                      </c:pt>
                      <c:pt idx="93">
                        <c:v>33</c:v>
                      </c:pt>
                      <c:pt idx="94">
                        <c:v>21</c:v>
                      </c:pt>
                      <c:pt idx="95">
                        <c:v>23</c:v>
                      </c:pt>
                      <c:pt idx="96">
                        <c:v>32</c:v>
                      </c:pt>
                      <c:pt idx="97">
                        <c:v>11</c:v>
                      </c:pt>
                      <c:pt idx="98">
                        <c:v>7</c:v>
                      </c:pt>
                      <c:pt idx="99">
                        <c:v>5</c:v>
                      </c:pt>
                      <c:pt idx="100">
                        <c:v>4</c:v>
                      </c:pt>
                      <c:pt idx="101">
                        <c:v>1</c:v>
                      </c:pt>
                      <c:pt idx="102">
                        <c:v>3</c:v>
                      </c:pt>
                      <c:pt idx="103">
                        <c:v>1</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smooth val="0"/>
                <c:extLst>
                  <c:ext xmlns:c16="http://schemas.microsoft.com/office/drawing/2014/chart" uri="{C3380CC4-5D6E-409C-BE32-E72D297353CC}">
                    <c16:uniqueId val="{00000003-2F5A-46CA-AD67-C4CD5570936D}"/>
                  </c:ext>
                </c:extLst>
              </c15:ser>
            </c15:filteredLineSeries>
            <c15:filteredLineSeries>
              <c15:ser>
                <c:idx val="17"/>
                <c:order val="17"/>
                <c:tx>
                  <c:strRef>
                    <c:extLst xmlns:c15="http://schemas.microsoft.com/office/drawing/2012/chart">
                      <c:ext xmlns:c15="http://schemas.microsoft.com/office/drawing/2012/chart" uri="{02D57815-91ED-43cb-92C2-25804820EDAC}">
                        <c15:formulaRef>
                          <c15:sqref>G1_Characteristics_WorkToGo!$G$26</c15:sqref>
                        </c15:formulaRef>
                      </c:ext>
                    </c:extLst>
                    <c:strCache>
                      <c:ptCount val="1"/>
                      <c:pt idx="0">
                        <c:v>Recurring Tasks (To-Go)</c:v>
                      </c:pt>
                    </c:strCache>
                  </c:strRef>
                </c:tx>
                <c:spPr>
                  <a:ln w="28575" cap="rnd">
                    <a:solidFill>
                      <a:schemeClr val="accent6">
                        <a:lumMod val="80000"/>
                        <a:lumOff val="20000"/>
                      </a:schemeClr>
                    </a:solidFill>
                    <a:round/>
                  </a:ln>
                  <a:effectLst/>
                </c:spPr>
                <c:marker>
                  <c:symbol val="none"/>
                </c:marker>
                <c:cat>
                  <c:numRef>
                    <c:extLst xmlns:c15="http://schemas.microsoft.com/office/drawing/2012/chart">
                      <c:ext xmlns:c15="http://schemas.microsoft.com/office/drawing/2012/char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xmlns:c15="http://schemas.microsoft.com/office/drawing/2012/chart">
                      <c:ext xmlns:c15="http://schemas.microsoft.com/office/drawing/2012/chart" uri="{02D57815-91ED-43cb-92C2-25804820EDAC}">
                        <c15:formulaRef>
                          <c15:sqref>G1_Characteristics_WorkToGo!$H$26:$FT$26</c15:sqref>
                        </c15:formulaRef>
                      </c:ext>
                    </c:extLst>
                    <c:numCache>
                      <c:formatCode>General</c:formatCode>
                      <c:ptCount val="16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smooth val="0"/>
                <c:extLst xmlns:c15="http://schemas.microsoft.com/office/drawing/2012/chart">
                  <c:ext xmlns:c16="http://schemas.microsoft.com/office/drawing/2014/chart" uri="{C3380CC4-5D6E-409C-BE32-E72D297353CC}">
                    <c16:uniqueId val="{00000011-2F5A-46CA-AD67-C4CD5570936D}"/>
                  </c:ext>
                </c:extLst>
              </c15:ser>
            </c15:filteredLineSeries>
            <c15:filteredLineSeries>
              <c15:ser>
                <c:idx val="19"/>
                <c:order val="19"/>
                <c:tx>
                  <c:strRef>
                    <c:extLst xmlns:c15="http://schemas.microsoft.com/office/drawing/2012/chart">
                      <c:ext xmlns:c15="http://schemas.microsoft.com/office/drawing/2012/chart" uri="{02D57815-91ED-43cb-92C2-25804820EDAC}">
                        <c15:formulaRef>
                          <c15:sqref>G1_Characteristics_WorkToGo!$G$28</c15:sqref>
                        </c15:formulaRef>
                      </c:ext>
                    </c:extLst>
                    <c:strCache>
                      <c:ptCount val="1"/>
                      <c:pt idx="0">
                        <c:v>Longest Path (Normal Tasks)</c:v>
                      </c:pt>
                    </c:strCache>
                  </c:strRef>
                </c:tx>
                <c:spPr>
                  <a:ln w="28575" cap="rnd">
                    <a:solidFill>
                      <a:schemeClr val="accent2">
                        <a:lumMod val="80000"/>
                      </a:schemeClr>
                    </a:solidFill>
                    <a:round/>
                  </a:ln>
                  <a:effectLst/>
                </c:spPr>
                <c:marker>
                  <c:symbol val="none"/>
                </c:marker>
                <c:cat>
                  <c:numRef>
                    <c:extLst xmlns:c15="http://schemas.microsoft.com/office/drawing/2012/chart">
                      <c:ext xmlns:c15="http://schemas.microsoft.com/office/drawing/2012/char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xmlns:c15="http://schemas.microsoft.com/office/drawing/2012/chart">
                      <c:ext xmlns:c15="http://schemas.microsoft.com/office/drawing/2012/chart" uri="{02D57815-91ED-43cb-92C2-25804820EDAC}">
                        <c15:formulaRef>
                          <c15:sqref>G1_Characteristics_WorkToGo!$H$28:$FT$28</c15:sqref>
                        </c15:formulaRef>
                      </c:ext>
                    </c:extLst>
                    <c:numCache>
                      <c:formatCode>General</c:formatCode>
                      <c:ptCount val="16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1</c:v>
                      </c:pt>
                      <c:pt idx="87">
                        <c:v>12</c:v>
                      </c:pt>
                      <c:pt idx="88">
                        <c:v>16</c:v>
                      </c:pt>
                      <c:pt idx="89">
                        <c:v>15</c:v>
                      </c:pt>
                      <c:pt idx="90">
                        <c:v>9</c:v>
                      </c:pt>
                      <c:pt idx="91">
                        <c:v>6</c:v>
                      </c:pt>
                      <c:pt idx="92">
                        <c:v>5</c:v>
                      </c:pt>
                      <c:pt idx="93">
                        <c:v>17</c:v>
                      </c:pt>
                      <c:pt idx="94">
                        <c:v>10</c:v>
                      </c:pt>
                      <c:pt idx="95">
                        <c:v>11</c:v>
                      </c:pt>
                      <c:pt idx="96">
                        <c:v>21</c:v>
                      </c:pt>
                      <c:pt idx="97">
                        <c:v>7</c:v>
                      </c:pt>
                      <c:pt idx="98">
                        <c:v>4</c:v>
                      </c:pt>
                      <c:pt idx="99">
                        <c:v>1</c:v>
                      </c:pt>
                      <c:pt idx="100">
                        <c:v>3</c:v>
                      </c:pt>
                      <c:pt idx="101">
                        <c:v>1</c:v>
                      </c:pt>
                      <c:pt idx="102">
                        <c:v>3</c:v>
                      </c:pt>
                      <c:pt idx="103">
                        <c:v>1</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smooth val="0"/>
                <c:extLst xmlns:c15="http://schemas.microsoft.com/office/drawing/2012/chart">
                  <c:ext xmlns:c16="http://schemas.microsoft.com/office/drawing/2014/chart" uri="{C3380CC4-5D6E-409C-BE32-E72D297353CC}">
                    <c16:uniqueId val="{00000013-2F5A-46CA-AD67-C4CD5570936D}"/>
                  </c:ext>
                </c:extLst>
              </c15:ser>
            </c15:filteredLineSeries>
            <c15:filteredLineSeries>
              <c15:ser>
                <c:idx val="20"/>
                <c:order val="20"/>
                <c:tx>
                  <c:strRef>
                    <c:extLst xmlns:c15="http://schemas.microsoft.com/office/drawing/2012/chart">
                      <c:ext xmlns:c15="http://schemas.microsoft.com/office/drawing/2012/chart" uri="{02D57815-91ED-43cb-92C2-25804820EDAC}">
                        <c15:formulaRef>
                          <c15:sqref>G1_Characteristics_WorkToGo!$G$29</c15:sqref>
                        </c15:formulaRef>
                      </c:ext>
                    </c:extLst>
                    <c:strCache>
                      <c:ptCount val="1"/>
                      <c:pt idx="0">
                        <c:v>Longest Path (Milestones)</c:v>
                      </c:pt>
                    </c:strCache>
                  </c:strRef>
                </c:tx>
                <c:spPr>
                  <a:ln w="28575" cap="rnd">
                    <a:solidFill>
                      <a:schemeClr val="accent3">
                        <a:lumMod val="80000"/>
                      </a:schemeClr>
                    </a:solidFill>
                    <a:round/>
                  </a:ln>
                  <a:effectLst/>
                </c:spPr>
                <c:marker>
                  <c:symbol val="none"/>
                </c:marker>
                <c:cat>
                  <c:numRef>
                    <c:extLst xmlns:c15="http://schemas.microsoft.com/office/drawing/2012/chart">
                      <c:ext xmlns:c15="http://schemas.microsoft.com/office/drawing/2012/char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xmlns:c15="http://schemas.microsoft.com/office/drawing/2012/chart">
                      <c:ext xmlns:c15="http://schemas.microsoft.com/office/drawing/2012/chart" uri="{02D57815-91ED-43cb-92C2-25804820EDAC}">
                        <c15:formulaRef>
                          <c15:sqref>G1_Characteristics_WorkToGo!$H$29:$FT$29</c15:sqref>
                        </c15:formulaRef>
                      </c:ext>
                    </c:extLst>
                    <c:numCache>
                      <c:formatCode>General</c:formatCode>
                      <c:ptCount val="16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1</c:v>
                      </c:pt>
                      <c:pt idx="88">
                        <c:v>6</c:v>
                      </c:pt>
                      <c:pt idx="89">
                        <c:v>11</c:v>
                      </c:pt>
                      <c:pt idx="90">
                        <c:v>1</c:v>
                      </c:pt>
                      <c:pt idx="91">
                        <c:v>3</c:v>
                      </c:pt>
                      <c:pt idx="92">
                        <c:v>0</c:v>
                      </c:pt>
                      <c:pt idx="93">
                        <c:v>1</c:v>
                      </c:pt>
                      <c:pt idx="94">
                        <c:v>2</c:v>
                      </c:pt>
                      <c:pt idx="95">
                        <c:v>2</c:v>
                      </c:pt>
                      <c:pt idx="96">
                        <c:v>4</c:v>
                      </c:pt>
                      <c:pt idx="97">
                        <c:v>0</c:v>
                      </c:pt>
                      <c:pt idx="98">
                        <c:v>2</c:v>
                      </c:pt>
                      <c:pt idx="99">
                        <c:v>0</c:v>
                      </c:pt>
                      <c:pt idx="100">
                        <c:v>1</c:v>
                      </c:pt>
                      <c:pt idx="101">
                        <c:v>0</c:v>
                      </c:pt>
                      <c:pt idx="102">
                        <c:v>4</c:v>
                      </c:pt>
                      <c:pt idx="103">
                        <c:v>2</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smooth val="0"/>
                <c:extLst xmlns:c15="http://schemas.microsoft.com/office/drawing/2012/chart">
                  <c:ext xmlns:c16="http://schemas.microsoft.com/office/drawing/2014/chart" uri="{C3380CC4-5D6E-409C-BE32-E72D297353CC}">
                    <c16:uniqueId val="{00000014-2F5A-46CA-AD67-C4CD5570936D}"/>
                  </c:ext>
                </c:extLst>
              </c15:ser>
            </c15:filteredLineSeries>
            <c15:filteredLineSeries>
              <c15:ser>
                <c:idx val="21"/>
                <c:order val="21"/>
                <c:tx>
                  <c:strRef>
                    <c:extLst xmlns:c15="http://schemas.microsoft.com/office/drawing/2012/chart">
                      <c:ext xmlns:c15="http://schemas.microsoft.com/office/drawing/2012/chart" uri="{02D57815-91ED-43cb-92C2-25804820EDAC}">
                        <c15:formulaRef>
                          <c15:sqref>G1_Characteristics_WorkToGo!$G$32</c15:sqref>
                        </c15:formulaRef>
                      </c:ext>
                    </c:extLst>
                    <c:strCache>
                      <c:ptCount val="1"/>
                      <c:pt idx="0">
                        <c:v>Total New Tasks &amp; Milestones in Status Period</c:v>
                      </c:pt>
                    </c:strCache>
                  </c:strRef>
                </c:tx>
                <c:spPr>
                  <a:ln w="28575" cap="rnd">
                    <a:solidFill>
                      <a:schemeClr val="accent4">
                        <a:lumMod val="80000"/>
                      </a:schemeClr>
                    </a:solidFill>
                    <a:round/>
                  </a:ln>
                  <a:effectLst/>
                </c:spPr>
                <c:marker>
                  <c:symbol val="none"/>
                </c:marker>
                <c:cat>
                  <c:numRef>
                    <c:extLst xmlns:c15="http://schemas.microsoft.com/office/drawing/2012/chart">
                      <c:ext xmlns:c15="http://schemas.microsoft.com/office/drawing/2012/char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xmlns:c15="http://schemas.microsoft.com/office/drawing/2012/chart">
                      <c:ext xmlns:c15="http://schemas.microsoft.com/office/drawing/2012/chart" uri="{02D57815-91ED-43cb-92C2-25804820EDAC}">
                        <c15:formulaRef>
                          <c15:sqref>G1_Characteristics_WorkToGo!$H$32:$FT$32</c15:sqref>
                        </c15:formulaRef>
                      </c:ext>
                    </c:extLst>
                    <c:numCache>
                      <c:formatCode>General</c:formatCode>
                      <c:ptCount val="16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smooth val="0"/>
                <c:extLst xmlns:c15="http://schemas.microsoft.com/office/drawing/2012/chart">
                  <c:ext xmlns:c16="http://schemas.microsoft.com/office/drawing/2014/chart" uri="{C3380CC4-5D6E-409C-BE32-E72D297353CC}">
                    <c16:uniqueId val="{00000015-2F5A-46CA-AD67-C4CD5570936D}"/>
                  </c:ext>
                </c:extLst>
              </c15:ser>
            </c15:filteredLineSeries>
            <c15:filteredLineSeries>
              <c15:ser>
                <c:idx val="22"/>
                <c:order val="22"/>
                <c:tx>
                  <c:strRef>
                    <c:extLst xmlns:c15="http://schemas.microsoft.com/office/drawing/2012/chart">
                      <c:ext xmlns:c15="http://schemas.microsoft.com/office/drawing/2012/chart" uri="{02D57815-91ED-43cb-92C2-25804820EDAC}">
                        <c15:formulaRef>
                          <c15:sqref>G1_Characteristics_WorkToGo!$G$33</c15:sqref>
                        </c15:formulaRef>
                      </c:ext>
                    </c:extLst>
                    <c:strCache>
                      <c:ptCount val="1"/>
                      <c:pt idx="0">
                        <c:v>Total New Completed Tasks &amp; Milestones in Status Period</c:v>
                      </c:pt>
                    </c:strCache>
                  </c:strRef>
                </c:tx>
                <c:spPr>
                  <a:ln w="28575" cap="rnd">
                    <a:solidFill>
                      <a:schemeClr val="accent5">
                        <a:lumMod val="80000"/>
                      </a:schemeClr>
                    </a:solidFill>
                    <a:round/>
                  </a:ln>
                  <a:effectLst/>
                </c:spPr>
                <c:marker>
                  <c:symbol val="none"/>
                </c:marker>
                <c:cat>
                  <c:numRef>
                    <c:extLst xmlns:c15="http://schemas.microsoft.com/office/drawing/2012/chart">
                      <c:ext xmlns:c15="http://schemas.microsoft.com/office/drawing/2012/chart" uri="{02D57815-91ED-43cb-92C2-25804820EDAC}">
                        <c15:formulaRef>
                          <c15:sqref>G1_Characteristics_WorkToGo!$H$8:$FT$8</c15:sqref>
                        </c15:formulaRef>
                      </c:ext>
                    </c:extLst>
                    <c:numCache>
                      <c:formatCode>mmm\-yy</c:formatCode>
                      <c:ptCount val="169"/>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pt idx="70">
                        <c:v>45231</c:v>
                      </c:pt>
                      <c:pt idx="71">
                        <c:v>45261</c:v>
                      </c:pt>
                      <c:pt idx="72">
                        <c:v>45292</c:v>
                      </c:pt>
                      <c:pt idx="73">
                        <c:v>45323</c:v>
                      </c:pt>
                      <c:pt idx="74">
                        <c:v>45352</c:v>
                      </c:pt>
                      <c:pt idx="75">
                        <c:v>45383</c:v>
                      </c:pt>
                      <c:pt idx="76">
                        <c:v>45413</c:v>
                      </c:pt>
                      <c:pt idx="77">
                        <c:v>45444</c:v>
                      </c:pt>
                      <c:pt idx="78">
                        <c:v>45474</c:v>
                      </c:pt>
                      <c:pt idx="79">
                        <c:v>45505</c:v>
                      </c:pt>
                      <c:pt idx="80">
                        <c:v>45536</c:v>
                      </c:pt>
                      <c:pt idx="81">
                        <c:v>45566</c:v>
                      </c:pt>
                      <c:pt idx="82">
                        <c:v>45597</c:v>
                      </c:pt>
                      <c:pt idx="83">
                        <c:v>45627</c:v>
                      </c:pt>
                      <c:pt idx="84">
                        <c:v>45658</c:v>
                      </c:pt>
                      <c:pt idx="85">
                        <c:v>45689</c:v>
                      </c:pt>
                      <c:pt idx="86">
                        <c:v>45717</c:v>
                      </c:pt>
                      <c:pt idx="87">
                        <c:v>45748</c:v>
                      </c:pt>
                      <c:pt idx="88">
                        <c:v>45778</c:v>
                      </c:pt>
                      <c:pt idx="89">
                        <c:v>45809</c:v>
                      </c:pt>
                      <c:pt idx="90">
                        <c:v>45839</c:v>
                      </c:pt>
                      <c:pt idx="91">
                        <c:v>45870</c:v>
                      </c:pt>
                      <c:pt idx="92">
                        <c:v>45901</c:v>
                      </c:pt>
                      <c:pt idx="93">
                        <c:v>45931</c:v>
                      </c:pt>
                      <c:pt idx="94">
                        <c:v>45962</c:v>
                      </c:pt>
                      <c:pt idx="95">
                        <c:v>45992</c:v>
                      </c:pt>
                      <c:pt idx="96">
                        <c:v>46023</c:v>
                      </c:pt>
                      <c:pt idx="97">
                        <c:v>46054</c:v>
                      </c:pt>
                      <c:pt idx="98">
                        <c:v>46082</c:v>
                      </c:pt>
                      <c:pt idx="99">
                        <c:v>46113</c:v>
                      </c:pt>
                      <c:pt idx="100">
                        <c:v>46143</c:v>
                      </c:pt>
                      <c:pt idx="101">
                        <c:v>46174</c:v>
                      </c:pt>
                      <c:pt idx="102">
                        <c:v>46204</c:v>
                      </c:pt>
                      <c:pt idx="103">
                        <c:v>46235</c:v>
                      </c:pt>
                      <c:pt idx="104">
                        <c:v>46266</c:v>
                      </c:pt>
                      <c:pt idx="105">
                        <c:v>46296</c:v>
                      </c:pt>
                      <c:pt idx="106">
                        <c:v>46327</c:v>
                      </c:pt>
                      <c:pt idx="107">
                        <c:v>46357</c:v>
                      </c:pt>
                      <c:pt idx="108">
                        <c:v>46388</c:v>
                      </c:pt>
                      <c:pt idx="109">
                        <c:v>46419</c:v>
                      </c:pt>
                      <c:pt idx="110">
                        <c:v>46447</c:v>
                      </c:pt>
                      <c:pt idx="111">
                        <c:v>46478</c:v>
                      </c:pt>
                      <c:pt idx="112">
                        <c:v>46508</c:v>
                      </c:pt>
                      <c:pt idx="113">
                        <c:v>46539</c:v>
                      </c:pt>
                      <c:pt idx="114">
                        <c:v>46569</c:v>
                      </c:pt>
                      <c:pt idx="115">
                        <c:v>46600</c:v>
                      </c:pt>
                      <c:pt idx="116">
                        <c:v>46631</c:v>
                      </c:pt>
                      <c:pt idx="117">
                        <c:v>46661</c:v>
                      </c:pt>
                      <c:pt idx="118">
                        <c:v>46692</c:v>
                      </c:pt>
                      <c:pt idx="119">
                        <c:v>46722</c:v>
                      </c:pt>
                      <c:pt idx="120">
                        <c:v>46753</c:v>
                      </c:pt>
                      <c:pt idx="121">
                        <c:v>46784</c:v>
                      </c:pt>
                      <c:pt idx="122">
                        <c:v>46813</c:v>
                      </c:pt>
                      <c:pt idx="123">
                        <c:v>46844</c:v>
                      </c:pt>
                      <c:pt idx="124">
                        <c:v>46874</c:v>
                      </c:pt>
                      <c:pt idx="125">
                        <c:v>46905</c:v>
                      </c:pt>
                      <c:pt idx="126">
                        <c:v>46935</c:v>
                      </c:pt>
                      <c:pt idx="127">
                        <c:v>46966</c:v>
                      </c:pt>
                      <c:pt idx="128">
                        <c:v>46997</c:v>
                      </c:pt>
                      <c:pt idx="129">
                        <c:v>47027</c:v>
                      </c:pt>
                      <c:pt idx="130">
                        <c:v>47058</c:v>
                      </c:pt>
                      <c:pt idx="131">
                        <c:v>47088</c:v>
                      </c:pt>
                      <c:pt idx="132">
                        <c:v>47119</c:v>
                      </c:pt>
                      <c:pt idx="133">
                        <c:v>47150</c:v>
                      </c:pt>
                      <c:pt idx="134">
                        <c:v>47178</c:v>
                      </c:pt>
                      <c:pt idx="135">
                        <c:v>47209</c:v>
                      </c:pt>
                      <c:pt idx="136">
                        <c:v>47239</c:v>
                      </c:pt>
                      <c:pt idx="137">
                        <c:v>47270</c:v>
                      </c:pt>
                      <c:pt idx="138">
                        <c:v>47300</c:v>
                      </c:pt>
                      <c:pt idx="139">
                        <c:v>47331</c:v>
                      </c:pt>
                      <c:pt idx="140">
                        <c:v>47362</c:v>
                      </c:pt>
                      <c:pt idx="141">
                        <c:v>47392</c:v>
                      </c:pt>
                      <c:pt idx="142">
                        <c:v>47423</c:v>
                      </c:pt>
                      <c:pt idx="143">
                        <c:v>47453</c:v>
                      </c:pt>
                      <c:pt idx="144">
                        <c:v>47484</c:v>
                      </c:pt>
                      <c:pt idx="145">
                        <c:v>47515</c:v>
                      </c:pt>
                      <c:pt idx="146">
                        <c:v>47543</c:v>
                      </c:pt>
                      <c:pt idx="147">
                        <c:v>47574</c:v>
                      </c:pt>
                      <c:pt idx="148">
                        <c:v>47604</c:v>
                      </c:pt>
                      <c:pt idx="149">
                        <c:v>47635</c:v>
                      </c:pt>
                      <c:pt idx="150">
                        <c:v>47665</c:v>
                      </c:pt>
                      <c:pt idx="151">
                        <c:v>47696</c:v>
                      </c:pt>
                      <c:pt idx="152">
                        <c:v>47727</c:v>
                      </c:pt>
                      <c:pt idx="153">
                        <c:v>47757</c:v>
                      </c:pt>
                      <c:pt idx="154">
                        <c:v>47788</c:v>
                      </c:pt>
                      <c:pt idx="155">
                        <c:v>47818</c:v>
                      </c:pt>
                      <c:pt idx="156">
                        <c:v>47849</c:v>
                      </c:pt>
                      <c:pt idx="157">
                        <c:v>47880</c:v>
                      </c:pt>
                      <c:pt idx="158">
                        <c:v>47908</c:v>
                      </c:pt>
                      <c:pt idx="159">
                        <c:v>47939</c:v>
                      </c:pt>
                      <c:pt idx="160">
                        <c:v>47969</c:v>
                      </c:pt>
                      <c:pt idx="161">
                        <c:v>48000</c:v>
                      </c:pt>
                      <c:pt idx="162">
                        <c:v>48030</c:v>
                      </c:pt>
                      <c:pt idx="163">
                        <c:v>48061</c:v>
                      </c:pt>
                      <c:pt idx="164">
                        <c:v>48092</c:v>
                      </c:pt>
                      <c:pt idx="165">
                        <c:v>48122</c:v>
                      </c:pt>
                      <c:pt idx="166">
                        <c:v>48153</c:v>
                      </c:pt>
                      <c:pt idx="167">
                        <c:v>48183</c:v>
                      </c:pt>
                      <c:pt idx="168">
                        <c:v>48214</c:v>
                      </c:pt>
                    </c:numCache>
                  </c:numRef>
                </c:cat>
                <c:val>
                  <c:numRef>
                    <c:extLst xmlns:c15="http://schemas.microsoft.com/office/drawing/2012/chart">
                      <c:ext xmlns:c15="http://schemas.microsoft.com/office/drawing/2012/chart" uri="{02D57815-91ED-43cb-92C2-25804820EDAC}">
                        <c15:formulaRef>
                          <c15:sqref>G1_Characteristics_WorkToGo!$H$33:$FT$33</c15:sqref>
                        </c15:formulaRef>
                      </c:ext>
                    </c:extLst>
                    <c:numCache>
                      <c:formatCode>General</c:formatCode>
                      <c:ptCount val="16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numCache>
                  </c:numRef>
                </c:val>
                <c:smooth val="0"/>
                <c:extLst xmlns:c15="http://schemas.microsoft.com/office/drawing/2012/chart">
                  <c:ext xmlns:c16="http://schemas.microsoft.com/office/drawing/2014/chart" uri="{C3380CC4-5D6E-409C-BE32-E72D297353CC}">
                    <c16:uniqueId val="{00000016-2F5A-46CA-AD67-C4CD5570936D}"/>
                  </c:ext>
                </c:extLst>
              </c15:ser>
            </c15:filteredLineSeries>
          </c:ext>
        </c:extLst>
      </c:lineChart>
      <c:dateAx>
        <c:axId val="1413648640"/>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649056"/>
        <c:crosses val="autoZero"/>
        <c:auto val="1"/>
        <c:lblOffset val="100"/>
        <c:baseTimeUnit val="months"/>
      </c:dateAx>
      <c:valAx>
        <c:axId val="1413649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6486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baseline="0"/>
              <a:t>Activity Finishes - As of March 2025</a:t>
            </a:r>
            <a:endParaRPr lang="en-US" sz="1600" b="1"/>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11"/>
          <c:order val="9"/>
          <c:tx>
            <c:strRef>
              <c:f>'G2&amp;G3_BowWave_2025MAR'!$C$23</c:f>
              <c:strCache>
                <c:ptCount val="1"/>
                <c:pt idx="0">
                  <c:v>Completed Delayed (&gt;60 days)</c:v>
                </c:pt>
              </c:strCache>
              <c:extLst xmlns:c15="http://schemas.microsoft.com/office/drawing/2012/chart"/>
            </c:strRef>
          </c:tx>
          <c:spPr>
            <a:solidFill>
              <a:srgbClr val="CC99FF"/>
            </a:solidFill>
            <a:ln>
              <a:noFill/>
            </a:ln>
            <a:effectLst/>
          </c:spPr>
          <c:cat>
            <c:numRef>
              <c:f>'G2&amp;G3_BowWave_2025MAR'!$D$11:$IX$11</c:f>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extLst xmlns:c15="http://schemas.microsoft.com/office/drawing/2012/chart"/>
            </c:numRef>
          </c:cat>
          <c:val>
            <c:numRef>
              <c:f>'G2&amp;G3_BowWave_2025MAR'!$D$23:$IX$23</c:f>
              <c:numCache>
                <c:formatCode>General</c:formatCode>
                <c:ptCount val="25"/>
                <c:pt idx="0">
                  <c:v>18</c:v>
                </c:pt>
                <c:pt idx="1">
                  <c:v>20</c:v>
                </c:pt>
                <c:pt idx="2">
                  <c:v>19</c:v>
                </c:pt>
                <c:pt idx="3">
                  <c:v>35</c:v>
                </c:pt>
                <c:pt idx="4">
                  <c:v>36</c:v>
                </c:pt>
                <c:pt idx="5">
                  <c:v>47</c:v>
                </c:pt>
                <c:pt idx="6">
                  <c:v>22</c:v>
                </c:pt>
                <c:pt idx="7">
                  <c:v>6</c:v>
                </c:pt>
                <c:pt idx="8">
                  <c:v>5</c:v>
                </c:pt>
                <c:pt idx="9">
                  <c:v>5</c:v>
                </c:pt>
                <c:pt idx="10">
                  <c:v>1</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extLst xmlns:c15="http://schemas.microsoft.com/office/drawing/2012/chart"/>
            </c:numRef>
          </c:val>
          <c:extLst xmlns:c15="http://schemas.microsoft.com/office/drawing/2012/chart">
            <c:ext xmlns:c16="http://schemas.microsoft.com/office/drawing/2014/chart" uri="{C3380CC4-5D6E-409C-BE32-E72D297353CC}">
              <c16:uniqueId val="{00000029-34E7-413D-A3D6-979D96EBF6BB}"/>
            </c:ext>
          </c:extLst>
        </c:ser>
        <c:ser>
          <c:idx val="10"/>
          <c:order val="10"/>
          <c:tx>
            <c:strRef>
              <c:f>'G2&amp;G3_BowWave_2025MAR'!$C$22</c:f>
              <c:strCache>
                <c:ptCount val="1"/>
                <c:pt idx="0">
                  <c:v>Completed Delayed (Between 31 to 60 days)</c:v>
                </c:pt>
              </c:strCache>
              <c:extLst xmlns:c15="http://schemas.microsoft.com/office/drawing/2012/chart"/>
            </c:strRef>
          </c:tx>
          <c:spPr>
            <a:solidFill>
              <a:srgbClr val="FFFFCC"/>
            </a:solidFill>
            <a:ln>
              <a:noFill/>
            </a:ln>
            <a:effectLst/>
          </c:spPr>
          <c:cat>
            <c:numRef>
              <c:f>'G2&amp;G3_BowWave_2025MAR'!$D$11:$IX$11</c:f>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extLst xmlns:c15="http://schemas.microsoft.com/office/drawing/2012/chart"/>
            </c:numRef>
          </c:cat>
          <c:val>
            <c:numRef>
              <c:f>'G2&amp;G3_BowWave_2025MAR'!$D$22:$IX$22</c:f>
              <c:numCache>
                <c:formatCode>General</c:formatCode>
                <c:ptCount val="25"/>
                <c:pt idx="0">
                  <c:v>0</c:v>
                </c:pt>
                <c:pt idx="1">
                  <c:v>3</c:v>
                </c:pt>
                <c:pt idx="2">
                  <c:v>6</c:v>
                </c:pt>
                <c:pt idx="3">
                  <c:v>8</c:v>
                </c:pt>
                <c:pt idx="4">
                  <c:v>3</c:v>
                </c:pt>
                <c:pt idx="5">
                  <c:v>4</c:v>
                </c:pt>
                <c:pt idx="6">
                  <c:v>1</c:v>
                </c:pt>
                <c:pt idx="7">
                  <c:v>2</c:v>
                </c:pt>
                <c:pt idx="8">
                  <c:v>4</c:v>
                </c:pt>
                <c:pt idx="9">
                  <c:v>1</c:v>
                </c:pt>
                <c:pt idx="10">
                  <c:v>3</c:v>
                </c:pt>
                <c:pt idx="11">
                  <c:v>1</c:v>
                </c:pt>
                <c:pt idx="12">
                  <c:v>0</c:v>
                </c:pt>
                <c:pt idx="13">
                  <c:v>0</c:v>
                </c:pt>
                <c:pt idx="14">
                  <c:v>0</c:v>
                </c:pt>
                <c:pt idx="15">
                  <c:v>0</c:v>
                </c:pt>
                <c:pt idx="16">
                  <c:v>0</c:v>
                </c:pt>
                <c:pt idx="17">
                  <c:v>0</c:v>
                </c:pt>
                <c:pt idx="18">
                  <c:v>0</c:v>
                </c:pt>
                <c:pt idx="19">
                  <c:v>0</c:v>
                </c:pt>
                <c:pt idx="20">
                  <c:v>0</c:v>
                </c:pt>
                <c:pt idx="21">
                  <c:v>0</c:v>
                </c:pt>
                <c:pt idx="22">
                  <c:v>0</c:v>
                </c:pt>
                <c:pt idx="23">
                  <c:v>0</c:v>
                </c:pt>
                <c:pt idx="24">
                  <c:v>0</c:v>
                </c:pt>
              </c:numCache>
              <c:extLst xmlns:c15="http://schemas.microsoft.com/office/drawing/2012/chart"/>
            </c:numRef>
          </c:val>
          <c:extLst xmlns:c15="http://schemas.microsoft.com/office/drawing/2012/chart">
            <c:ext xmlns:c16="http://schemas.microsoft.com/office/drawing/2014/chart" uri="{C3380CC4-5D6E-409C-BE32-E72D297353CC}">
              <c16:uniqueId val="{00000028-34E7-413D-A3D6-979D96EBF6BB}"/>
            </c:ext>
          </c:extLst>
        </c:ser>
        <c:ser>
          <c:idx val="9"/>
          <c:order val="11"/>
          <c:tx>
            <c:strRef>
              <c:f>'G2&amp;G3_BowWave_2025MAR'!$C$21</c:f>
              <c:strCache>
                <c:ptCount val="1"/>
                <c:pt idx="0">
                  <c:v>Completed Delayed (&lt;=30 days)</c:v>
                </c:pt>
              </c:strCache>
              <c:extLst xmlns:c15="http://schemas.microsoft.com/office/drawing/2012/chart"/>
            </c:strRef>
          </c:tx>
          <c:spPr>
            <a:solidFill>
              <a:srgbClr val="00FFFF"/>
            </a:solidFill>
            <a:ln>
              <a:noFill/>
            </a:ln>
            <a:effectLst/>
          </c:spPr>
          <c:cat>
            <c:numRef>
              <c:f>'G2&amp;G3_BowWave_2025MAR'!$D$11:$IX$11</c:f>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extLst xmlns:c15="http://schemas.microsoft.com/office/drawing/2012/chart"/>
            </c:numRef>
          </c:cat>
          <c:val>
            <c:numRef>
              <c:f>'G2&amp;G3_BowWave_2025MAR'!$D$21:$IX$21</c:f>
              <c:numCache>
                <c:formatCode>General</c:formatCode>
                <c:ptCount val="25"/>
                <c:pt idx="0">
                  <c:v>6</c:v>
                </c:pt>
                <c:pt idx="1">
                  <c:v>0</c:v>
                </c:pt>
                <c:pt idx="2">
                  <c:v>1</c:v>
                </c:pt>
                <c:pt idx="3">
                  <c:v>6</c:v>
                </c:pt>
                <c:pt idx="4">
                  <c:v>8</c:v>
                </c:pt>
                <c:pt idx="5">
                  <c:v>8</c:v>
                </c:pt>
                <c:pt idx="6">
                  <c:v>2</c:v>
                </c:pt>
                <c:pt idx="7">
                  <c:v>3</c:v>
                </c:pt>
                <c:pt idx="8">
                  <c:v>0</c:v>
                </c:pt>
                <c:pt idx="9">
                  <c:v>2</c:v>
                </c:pt>
                <c:pt idx="10">
                  <c:v>1</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extLst xmlns:c15="http://schemas.microsoft.com/office/drawing/2012/chart"/>
            </c:numRef>
          </c:val>
          <c:extLst xmlns:c15="http://schemas.microsoft.com/office/drawing/2012/chart">
            <c:ext xmlns:c16="http://schemas.microsoft.com/office/drawing/2014/chart" uri="{C3380CC4-5D6E-409C-BE32-E72D297353CC}">
              <c16:uniqueId val="{00000027-34E7-413D-A3D6-979D96EBF6BB}"/>
            </c:ext>
          </c:extLst>
        </c:ser>
        <c:dLbls>
          <c:showLegendKey val="0"/>
          <c:showVal val="0"/>
          <c:showCatName val="0"/>
          <c:showSerName val="0"/>
          <c:showPercent val="0"/>
          <c:showBubbleSize val="0"/>
        </c:dLbls>
        <c:axId val="2001818015"/>
        <c:axId val="2001820415"/>
        <c:extLst>
          <c:ext xmlns:c15="http://schemas.microsoft.com/office/drawing/2012/chart" uri="{02D57815-91ED-43cb-92C2-25804820EDAC}">
            <c15:filteredAreaSeries>
              <c15:ser>
                <c:idx val="8"/>
                <c:order val="6"/>
                <c:tx>
                  <c:strRef>
                    <c:extLst>
                      <c:ext uri="{02D57815-91ED-43cb-92C2-25804820EDAC}">
                        <c15:formulaRef>
                          <c15:sqref>'G2&amp;G3_BowWave_2025MAR'!$C$20</c15:sqref>
                        </c15:formulaRef>
                      </c:ext>
                    </c:extLst>
                    <c:strCache>
                      <c:ptCount val="1"/>
                      <c:pt idx="0">
                        <c:v>Started Delayed (&gt;60 days)</c:v>
                      </c:pt>
                    </c:strCache>
                  </c:strRef>
                </c:tx>
                <c:spPr>
                  <a:solidFill>
                    <a:srgbClr val="9999FF"/>
                  </a:solidFill>
                  <a:ln>
                    <a:noFill/>
                  </a:ln>
                  <a:effectLst/>
                </c:spPr>
                <c:cat>
                  <c:numRef>
                    <c:extLst>
                      <c:ext uri="{02D57815-91ED-43cb-92C2-25804820EDAC}">
                        <c15:formulaRef>
                          <c15:sqref>'G2&amp;G3_BowWave_2025MAR'!$D$11:$IX$11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c:ext uri="{02D57815-91ED-43cb-92C2-25804820EDAC}">
                        <c15:formulaRef>
                          <c15:sqref>'G2&amp;G3_BowWave_2025MAR'!$D$20:$IX$20</c15:sqref>
                        </c15:formulaRef>
                      </c:ext>
                    </c:extLst>
                    <c:numCache>
                      <c:formatCode>General</c:formatCode>
                      <c:ptCount val="25"/>
                      <c:pt idx="0">
                        <c:v>19</c:v>
                      </c:pt>
                      <c:pt idx="1">
                        <c:v>22</c:v>
                      </c:pt>
                      <c:pt idx="2">
                        <c:v>19</c:v>
                      </c:pt>
                      <c:pt idx="3">
                        <c:v>42</c:v>
                      </c:pt>
                      <c:pt idx="4">
                        <c:v>45</c:v>
                      </c:pt>
                      <c:pt idx="5">
                        <c:v>35</c:v>
                      </c:pt>
                      <c:pt idx="6">
                        <c:v>12</c:v>
                      </c:pt>
                      <c:pt idx="7">
                        <c:v>7</c:v>
                      </c:pt>
                      <c:pt idx="8">
                        <c:v>4</c:v>
                      </c:pt>
                      <c:pt idx="9">
                        <c:v>4</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extLst>
                  <c:ext xmlns:c16="http://schemas.microsoft.com/office/drawing/2014/chart" uri="{C3380CC4-5D6E-409C-BE32-E72D297353CC}">
                    <c16:uniqueId val="{00000000-34E7-413D-A3D6-979D96EBF6BB}"/>
                  </c:ext>
                </c:extLst>
              </c15:ser>
            </c15:filteredAreaSeries>
            <c15:filteredAreaSeries>
              <c15:ser>
                <c:idx val="7"/>
                <c:order val="7"/>
                <c:tx>
                  <c:strRef>
                    <c:extLst xmlns:c15="http://schemas.microsoft.com/office/drawing/2012/chart">
                      <c:ext xmlns:c15="http://schemas.microsoft.com/office/drawing/2012/chart" uri="{02D57815-91ED-43cb-92C2-25804820EDAC}">
                        <c15:formulaRef>
                          <c15:sqref>'G2&amp;G3_BowWave_2025MAR'!$C$19</c15:sqref>
                        </c15:formulaRef>
                      </c:ext>
                    </c:extLst>
                    <c:strCache>
                      <c:ptCount val="1"/>
                      <c:pt idx="0">
                        <c:v>Started Delayed (Between 31 to 60 days)</c:v>
                      </c:pt>
                    </c:strCache>
                  </c:strRef>
                </c:tx>
                <c:spPr>
                  <a:solidFill>
                    <a:srgbClr val="FFFFCC"/>
                  </a:solidFill>
                  <a:ln>
                    <a:noFill/>
                  </a:ln>
                  <a:effectLst/>
                </c:spPr>
                <c:cat>
                  <c:numRef>
                    <c:extLst xmlns:c15="http://schemas.microsoft.com/office/drawing/2012/chart">
                      <c:ext xmlns:c15="http://schemas.microsoft.com/office/drawing/2012/chart" uri="{02D57815-91ED-43cb-92C2-25804820EDAC}">
                        <c15:formulaRef>
                          <c15:sqref>'G2&amp;G3_BowWave_2025MAR'!$D$11:$IX$11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'G2&amp;G3_BowWave_2025MAR'!$D$19:$IX$19</c15:sqref>
                        </c15:formulaRef>
                      </c:ext>
                    </c:extLst>
                    <c:numCache>
                      <c:formatCode>General</c:formatCode>
                      <c:ptCount val="25"/>
                      <c:pt idx="0">
                        <c:v>1</c:v>
                      </c:pt>
                      <c:pt idx="1">
                        <c:v>3</c:v>
                      </c:pt>
                      <c:pt idx="2">
                        <c:v>0</c:v>
                      </c:pt>
                      <c:pt idx="3">
                        <c:v>10</c:v>
                      </c:pt>
                      <c:pt idx="4">
                        <c:v>1</c:v>
                      </c:pt>
                      <c:pt idx="5">
                        <c:v>3</c:v>
                      </c:pt>
                      <c:pt idx="6">
                        <c:v>1</c:v>
                      </c:pt>
                      <c:pt idx="7">
                        <c:v>3</c:v>
                      </c:pt>
                      <c:pt idx="8">
                        <c:v>4</c:v>
                      </c:pt>
                      <c:pt idx="9">
                        <c:v>2</c:v>
                      </c:pt>
                      <c:pt idx="10">
                        <c:v>3</c:v>
                      </c:pt>
                      <c:pt idx="11">
                        <c:v>1</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extLst xmlns:c15="http://schemas.microsoft.com/office/drawing/2012/chart">
                  <c:ext xmlns:c16="http://schemas.microsoft.com/office/drawing/2014/chart" uri="{C3380CC4-5D6E-409C-BE32-E72D297353CC}">
                    <c16:uniqueId val="{00000001-34E7-413D-A3D6-979D96EBF6BB}"/>
                  </c:ext>
                </c:extLst>
              </c15:ser>
            </c15:filteredAreaSeries>
            <c15:filteredAreaSeries>
              <c15:ser>
                <c:idx val="6"/>
                <c:order val="8"/>
                <c:tx>
                  <c:strRef>
                    <c:extLst xmlns:c15="http://schemas.microsoft.com/office/drawing/2012/chart">
                      <c:ext xmlns:c15="http://schemas.microsoft.com/office/drawing/2012/chart" uri="{02D57815-91ED-43cb-92C2-25804820EDAC}">
                        <c15:formulaRef>
                          <c15:sqref>'G2&amp;G3_BowWave_2025MAR'!$C$18</c15:sqref>
                        </c15:formulaRef>
                      </c:ext>
                    </c:extLst>
                    <c:strCache>
                      <c:ptCount val="1"/>
                      <c:pt idx="0">
                        <c:v>Started Delayed (&lt;=30 days)</c:v>
                      </c:pt>
                    </c:strCache>
                  </c:strRef>
                </c:tx>
                <c:spPr>
                  <a:solidFill>
                    <a:srgbClr val="00FFFF"/>
                  </a:solidFill>
                  <a:ln>
                    <a:noFill/>
                  </a:ln>
                  <a:effectLst/>
                </c:spPr>
                <c:cat>
                  <c:numRef>
                    <c:extLst xmlns:c15="http://schemas.microsoft.com/office/drawing/2012/chart">
                      <c:ext xmlns:c15="http://schemas.microsoft.com/office/drawing/2012/chart" uri="{02D57815-91ED-43cb-92C2-25804820EDAC}">
                        <c15:formulaRef>
                          <c15:sqref>'G2&amp;G3_BowWave_2025MAR'!$D$11:$IX$11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'G2&amp;G3_BowWave_2025MAR'!$D$18:$IX$18</c15:sqref>
                        </c15:formulaRef>
                      </c:ext>
                    </c:extLst>
                    <c:numCache>
                      <c:formatCode>General</c:formatCode>
                      <c:ptCount val="25"/>
                      <c:pt idx="0">
                        <c:v>9</c:v>
                      </c:pt>
                      <c:pt idx="1">
                        <c:v>0</c:v>
                      </c:pt>
                      <c:pt idx="2">
                        <c:v>3</c:v>
                      </c:pt>
                      <c:pt idx="3">
                        <c:v>4</c:v>
                      </c:pt>
                      <c:pt idx="4">
                        <c:v>4</c:v>
                      </c:pt>
                      <c:pt idx="5">
                        <c:v>7</c:v>
                      </c:pt>
                      <c:pt idx="6">
                        <c:v>2</c:v>
                      </c:pt>
                      <c:pt idx="7">
                        <c:v>2</c:v>
                      </c:pt>
                      <c:pt idx="8">
                        <c:v>0</c:v>
                      </c:pt>
                      <c:pt idx="9">
                        <c:v>2</c:v>
                      </c:pt>
                      <c:pt idx="10">
                        <c:v>1</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extLst xmlns:c15="http://schemas.microsoft.com/office/drawing/2012/chart">
                  <c:ext xmlns:c16="http://schemas.microsoft.com/office/drawing/2014/chart" uri="{C3380CC4-5D6E-409C-BE32-E72D297353CC}">
                    <c16:uniqueId val="{00000002-34E7-413D-A3D6-979D96EBF6BB}"/>
                  </c:ext>
                </c:extLst>
              </c15:ser>
            </c15:filteredAreaSeries>
          </c:ext>
        </c:extLst>
      </c:areaChart>
      <c:barChart>
        <c:barDir val="col"/>
        <c:grouping val="clustered"/>
        <c:varyColors val="0"/>
        <c:ser>
          <c:idx val="3"/>
          <c:order val="3"/>
          <c:tx>
            <c:strRef>
              <c:f>'G2&amp;G3_BowWave_2025MAR'!$C$15</c:f>
              <c:strCache>
                <c:ptCount val="1"/>
                <c:pt idx="0">
                  <c:v>Baselined to Finish</c:v>
                </c:pt>
              </c:strCache>
              <c:extLst xmlns:c15="http://schemas.microsoft.com/office/drawing/2012/chart"/>
            </c:strRef>
          </c:tx>
          <c:spPr>
            <a:solidFill>
              <a:schemeClr val="accent4">
                <a:lumMod val="60000"/>
                <a:lumOff val="40000"/>
              </a:schemeClr>
            </a:solidFill>
            <a:ln>
              <a:solidFill>
                <a:schemeClr val="accent2"/>
              </a:solidFill>
            </a:ln>
            <a:effectLst/>
          </c:spPr>
          <c:invertIfNegative val="0"/>
          <c:cat>
            <c:numRef>
              <c:f>'G2&amp;G3_BowWave_2025MAR'!$D$11:$IX$11</c:f>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f>'G2&amp;G3_BowWave_2025MAR'!$D$15:$IX$15</c:f>
              <c:numCache>
                <c:formatCode>General</c:formatCode>
                <c:ptCount val="25"/>
                <c:pt idx="0">
                  <c:v>63</c:v>
                </c:pt>
                <c:pt idx="1">
                  <c:v>49</c:v>
                </c:pt>
                <c:pt idx="2">
                  <c:v>56</c:v>
                </c:pt>
                <c:pt idx="3">
                  <c:v>81</c:v>
                </c:pt>
                <c:pt idx="4">
                  <c:v>78</c:v>
                </c:pt>
                <c:pt idx="5">
                  <c:v>106</c:v>
                </c:pt>
                <c:pt idx="6">
                  <c:v>58</c:v>
                </c:pt>
                <c:pt idx="7">
                  <c:v>90</c:v>
                </c:pt>
                <c:pt idx="8">
                  <c:v>47</c:v>
                </c:pt>
                <c:pt idx="9">
                  <c:v>50</c:v>
                </c:pt>
                <c:pt idx="10">
                  <c:v>37</c:v>
                </c:pt>
                <c:pt idx="11">
                  <c:v>16</c:v>
                </c:pt>
                <c:pt idx="12">
                  <c:v>31</c:v>
                </c:pt>
                <c:pt idx="13">
                  <c:v>31</c:v>
                </c:pt>
                <c:pt idx="14">
                  <c:v>16</c:v>
                </c:pt>
                <c:pt idx="15">
                  <c:v>8</c:v>
                </c:pt>
                <c:pt idx="16">
                  <c:v>2</c:v>
                </c:pt>
                <c:pt idx="17">
                  <c:v>3</c:v>
                </c:pt>
                <c:pt idx="18">
                  <c:v>6</c:v>
                </c:pt>
                <c:pt idx="19">
                  <c:v>2</c:v>
                </c:pt>
                <c:pt idx="20">
                  <c:v>2</c:v>
                </c:pt>
                <c:pt idx="21">
                  <c:v>6</c:v>
                </c:pt>
                <c:pt idx="22">
                  <c:v>3</c:v>
                </c:pt>
                <c:pt idx="23">
                  <c:v>1</c:v>
                </c:pt>
                <c:pt idx="24">
                  <c:v>0</c:v>
                </c:pt>
              </c:numCache>
              <c:extLst xmlns:c15="http://schemas.microsoft.com/office/drawing/2012/chart"/>
            </c:numRef>
          </c:val>
          <c:extLst xmlns:c15="http://schemas.microsoft.com/office/drawing/2012/chart">
            <c:ext xmlns:c16="http://schemas.microsoft.com/office/drawing/2014/chart" uri="{C3380CC4-5D6E-409C-BE32-E72D297353CC}">
              <c16:uniqueId val="{00000021-34E7-413D-A3D6-979D96EBF6BB}"/>
            </c:ext>
          </c:extLst>
        </c:ser>
        <c:ser>
          <c:idx val="4"/>
          <c:order val="4"/>
          <c:tx>
            <c:strRef>
              <c:f>'G2&amp;G3_BowWave_2025MAR'!$C$16</c:f>
              <c:strCache>
                <c:ptCount val="1"/>
                <c:pt idx="0">
                  <c:v>Scheduled to Finish</c:v>
                </c:pt>
              </c:strCache>
              <c:extLst xmlns:c15="http://schemas.microsoft.com/office/drawing/2012/chart"/>
            </c:strRef>
          </c:tx>
          <c:spPr>
            <a:solidFill>
              <a:schemeClr val="accent5">
                <a:lumMod val="60000"/>
                <a:lumOff val="40000"/>
              </a:schemeClr>
            </a:solidFill>
            <a:ln>
              <a:solidFill>
                <a:schemeClr val="accent5">
                  <a:lumMod val="75000"/>
                </a:schemeClr>
              </a:solidFill>
            </a:ln>
            <a:effectLst/>
          </c:spPr>
          <c:invertIfNegative val="0"/>
          <c:cat>
            <c:numRef>
              <c:f>'G2&amp;G3_BowWave_2025MAR'!$D$11:$IX$11</c:f>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f>'G2&amp;G3_BowWave_2025MAR'!$D$16:$IX$16</c:f>
              <c:numCache>
                <c:formatCode>General</c:formatCode>
                <c:ptCount val="25"/>
                <c:pt idx="0">
                  <c:v>70</c:v>
                </c:pt>
                <c:pt idx="1">
                  <c:v>56</c:v>
                </c:pt>
                <c:pt idx="2">
                  <c:v>43</c:v>
                </c:pt>
                <c:pt idx="3">
                  <c:v>47</c:v>
                </c:pt>
                <c:pt idx="4">
                  <c:v>45</c:v>
                </c:pt>
                <c:pt idx="5">
                  <c:v>55</c:v>
                </c:pt>
                <c:pt idx="6">
                  <c:v>31</c:v>
                </c:pt>
                <c:pt idx="7">
                  <c:v>31</c:v>
                </c:pt>
                <c:pt idx="8">
                  <c:v>30</c:v>
                </c:pt>
                <c:pt idx="9">
                  <c:v>60</c:v>
                </c:pt>
                <c:pt idx="10">
                  <c:v>47</c:v>
                </c:pt>
                <c:pt idx="11">
                  <c:v>38</c:v>
                </c:pt>
                <c:pt idx="12">
                  <c:v>61</c:v>
                </c:pt>
                <c:pt idx="13">
                  <c:v>95</c:v>
                </c:pt>
                <c:pt idx="14">
                  <c:v>63</c:v>
                </c:pt>
                <c:pt idx="15">
                  <c:v>67</c:v>
                </c:pt>
                <c:pt idx="16">
                  <c:v>48</c:v>
                </c:pt>
                <c:pt idx="17">
                  <c:v>33</c:v>
                </c:pt>
                <c:pt idx="18">
                  <c:v>17</c:v>
                </c:pt>
                <c:pt idx="19">
                  <c:v>31</c:v>
                </c:pt>
                <c:pt idx="20">
                  <c:v>17</c:v>
                </c:pt>
                <c:pt idx="21">
                  <c:v>16</c:v>
                </c:pt>
                <c:pt idx="22">
                  <c:v>29</c:v>
                </c:pt>
                <c:pt idx="23">
                  <c:v>10</c:v>
                </c:pt>
                <c:pt idx="24">
                  <c:v>3</c:v>
                </c:pt>
              </c:numCache>
              <c:extLst xmlns:c15="http://schemas.microsoft.com/office/drawing/2012/chart"/>
            </c:numRef>
          </c:val>
          <c:extLst xmlns:c15="http://schemas.microsoft.com/office/drawing/2012/chart">
            <c:ext xmlns:c16="http://schemas.microsoft.com/office/drawing/2014/chart" uri="{C3380CC4-5D6E-409C-BE32-E72D297353CC}">
              <c16:uniqueId val="{00000022-34E7-413D-A3D6-979D96EBF6BB}"/>
            </c:ext>
          </c:extLst>
        </c:ser>
        <c:ser>
          <c:idx val="22"/>
          <c:order val="5"/>
          <c:tx>
            <c:strRef>
              <c:f>'G2&amp;G3_BowWave_2025MAR'!$C$17</c:f>
              <c:strCache>
                <c:ptCount val="1"/>
                <c:pt idx="0">
                  <c:v>Actual Finishes</c:v>
                </c:pt>
              </c:strCache>
              <c:extLst xmlns:c15="http://schemas.microsoft.com/office/drawing/2012/chart"/>
            </c:strRef>
          </c:tx>
          <c:spPr>
            <a:solidFill>
              <a:srgbClr val="92D050"/>
            </a:solidFill>
            <a:ln>
              <a:solidFill>
                <a:schemeClr val="accent6">
                  <a:lumMod val="75000"/>
                </a:schemeClr>
              </a:solidFill>
            </a:ln>
            <a:effectLst/>
          </c:spPr>
          <c:invertIfNegative val="0"/>
          <c:cat>
            <c:numRef>
              <c:f>'G2&amp;G3_BowWave_2025MAR'!$D$11:$IX$11</c:f>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f>'G2&amp;G3_BowWave_2025MAR'!$D$17:$IX$17</c:f>
              <c:numCache>
                <c:formatCode>General</c:formatCode>
                <c:ptCount val="25"/>
                <c:pt idx="0">
                  <c:v>70</c:v>
                </c:pt>
                <c:pt idx="1">
                  <c:v>56</c:v>
                </c:pt>
                <c:pt idx="2">
                  <c:v>43</c:v>
                </c:pt>
                <c:pt idx="3">
                  <c:v>47</c:v>
                </c:pt>
                <c:pt idx="4">
                  <c:v>45</c:v>
                </c:pt>
                <c:pt idx="5">
                  <c:v>55</c:v>
                </c:pt>
                <c:pt idx="6">
                  <c:v>31</c:v>
                </c:pt>
                <c:pt idx="7">
                  <c:v>31</c:v>
                </c:pt>
                <c:pt idx="8">
                  <c:v>30</c:v>
                </c:pt>
                <c:pt idx="9">
                  <c:v>60</c:v>
                </c:pt>
                <c:pt idx="10">
                  <c:v>47</c:v>
                </c:pt>
                <c:pt idx="11">
                  <c:v>38</c:v>
                </c:pt>
                <c:pt idx="12">
                  <c:v>53</c:v>
                </c:pt>
                <c:pt idx="13">
                  <c:v>0</c:v>
                </c:pt>
                <c:pt idx="14">
                  <c:v>0</c:v>
                </c:pt>
                <c:pt idx="15">
                  <c:v>0</c:v>
                </c:pt>
                <c:pt idx="16">
                  <c:v>0</c:v>
                </c:pt>
                <c:pt idx="17">
                  <c:v>0</c:v>
                </c:pt>
                <c:pt idx="18">
                  <c:v>0</c:v>
                </c:pt>
                <c:pt idx="19">
                  <c:v>0</c:v>
                </c:pt>
                <c:pt idx="20">
                  <c:v>0</c:v>
                </c:pt>
                <c:pt idx="21">
                  <c:v>0</c:v>
                </c:pt>
                <c:pt idx="22">
                  <c:v>0</c:v>
                </c:pt>
                <c:pt idx="23">
                  <c:v>0</c:v>
                </c:pt>
                <c:pt idx="24">
                  <c:v>0</c:v>
                </c:pt>
              </c:numCache>
              <c:extLst xmlns:c15="http://schemas.microsoft.com/office/drawing/2012/chart"/>
            </c:numRef>
          </c:val>
          <c:extLst xmlns:c15="http://schemas.microsoft.com/office/drawing/2012/chart">
            <c:ext xmlns:c16="http://schemas.microsoft.com/office/drawing/2014/chart" uri="{C3380CC4-5D6E-409C-BE32-E72D297353CC}">
              <c16:uniqueId val="{00000023-34E7-413D-A3D6-979D96EBF6BB}"/>
            </c:ext>
          </c:extLst>
        </c:ser>
        <c:ser>
          <c:idx val="18"/>
          <c:order val="18"/>
          <c:tx>
            <c:strRef>
              <c:f>'G2&amp;G3_BowWave_2025MAR'!$C$30</c:f>
              <c:strCache>
                <c:ptCount val="1"/>
                <c:pt idx="0">
                  <c:v>Status Date (6-mo interval)</c:v>
                </c:pt>
              </c:strCache>
            </c:strRef>
          </c:tx>
          <c:spPr>
            <a:noFill/>
            <a:ln w="19050">
              <a:solidFill>
                <a:schemeClr val="accent1"/>
              </a:solidFill>
              <a:prstDash val="dash"/>
            </a:ln>
            <a:effectLst/>
          </c:spPr>
          <c:invertIfNegative val="0"/>
          <c:dPt>
            <c:idx val="0"/>
            <c:invertIfNegative val="0"/>
            <c:bubble3D val="0"/>
            <c:spPr>
              <a:noFill/>
              <a:ln w="19050">
                <a:solidFill>
                  <a:srgbClr val="002060"/>
                </a:solidFill>
                <a:prstDash val="dash"/>
              </a:ln>
              <a:effectLst/>
            </c:spPr>
            <c:extLst>
              <c:ext xmlns:c16="http://schemas.microsoft.com/office/drawing/2014/chart" uri="{C3380CC4-5D6E-409C-BE32-E72D297353CC}">
                <c16:uniqueId val="{00000008-34E7-413D-A3D6-979D96EBF6BB}"/>
              </c:ext>
            </c:extLst>
          </c:dPt>
          <c:dPt>
            <c:idx val="6"/>
            <c:invertIfNegative val="0"/>
            <c:bubble3D val="0"/>
            <c:spPr>
              <a:noFill/>
              <a:ln w="19050">
                <a:solidFill>
                  <a:srgbClr val="FF0000"/>
                </a:solidFill>
                <a:prstDash val="dash"/>
              </a:ln>
              <a:effectLst/>
            </c:spPr>
            <c:extLst>
              <c:ext xmlns:c16="http://schemas.microsoft.com/office/drawing/2014/chart" uri="{C3380CC4-5D6E-409C-BE32-E72D297353CC}">
                <c16:uniqueId val="{0000000A-34E7-413D-A3D6-979D96EBF6BB}"/>
              </c:ext>
            </c:extLst>
          </c:dPt>
          <c:dPt>
            <c:idx val="12"/>
            <c:invertIfNegative val="0"/>
            <c:bubble3D val="0"/>
            <c:spPr>
              <a:noFill/>
              <a:ln w="19050">
                <a:solidFill>
                  <a:srgbClr val="002060"/>
                </a:solidFill>
                <a:prstDash val="dash"/>
              </a:ln>
              <a:effectLst/>
            </c:spPr>
            <c:extLst>
              <c:ext xmlns:c16="http://schemas.microsoft.com/office/drawing/2014/chart" uri="{C3380CC4-5D6E-409C-BE32-E72D297353CC}">
                <c16:uniqueId val="{0000000C-34E7-413D-A3D6-979D96EBF6BB}"/>
              </c:ext>
            </c:extLst>
          </c:dPt>
          <c:dPt>
            <c:idx val="18"/>
            <c:invertIfNegative val="0"/>
            <c:bubble3D val="0"/>
            <c:spPr>
              <a:noFill/>
              <a:ln w="19050">
                <a:solidFill>
                  <a:srgbClr val="FF0000"/>
                </a:solidFill>
                <a:prstDash val="dash"/>
              </a:ln>
              <a:effectLst/>
            </c:spPr>
            <c:extLst>
              <c:ext xmlns:c16="http://schemas.microsoft.com/office/drawing/2014/chart" uri="{C3380CC4-5D6E-409C-BE32-E72D297353CC}">
                <c16:uniqueId val="{0000000E-34E7-413D-A3D6-979D96EBF6BB}"/>
              </c:ext>
            </c:extLst>
          </c:dPt>
          <c:dPt>
            <c:idx val="32"/>
            <c:invertIfNegative val="0"/>
            <c:bubble3D val="0"/>
            <c:spPr>
              <a:noFill/>
              <a:ln w="19050">
                <a:solidFill>
                  <a:srgbClr val="FF0000"/>
                </a:solidFill>
                <a:prstDash val="dash"/>
              </a:ln>
              <a:effectLst/>
            </c:spPr>
            <c:extLst>
              <c:ext xmlns:c16="http://schemas.microsoft.com/office/drawing/2014/chart" uri="{C3380CC4-5D6E-409C-BE32-E72D297353CC}">
                <c16:uniqueId val="{00000010-34E7-413D-A3D6-979D96EBF6BB}"/>
              </c:ext>
            </c:extLst>
          </c:dPt>
          <c:dPt>
            <c:idx val="35"/>
            <c:invertIfNegative val="0"/>
            <c:bubble3D val="0"/>
            <c:spPr>
              <a:noFill/>
              <a:ln w="19050">
                <a:solidFill>
                  <a:srgbClr val="FF0000"/>
                </a:solidFill>
                <a:prstDash val="dash"/>
              </a:ln>
              <a:effectLst/>
            </c:spPr>
            <c:extLst>
              <c:ext xmlns:c16="http://schemas.microsoft.com/office/drawing/2014/chart" uri="{C3380CC4-5D6E-409C-BE32-E72D297353CC}">
                <c16:uniqueId val="{0000002D-34E7-413D-A3D6-979D96EBF6BB}"/>
              </c:ext>
            </c:extLst>
          </c:dPt>
          <c:dPt>
            <c:idx val="44"/>
            <c:invertIfNegative val="0"/>
            <c:bubble3D val="0"/>
            <c:spPr>
              <a:noFill/>
              <a:ln w="19050">
                <a:solidFill>
                  <a:srgbClr val="002060"/>
                </a:solidFill>
                <a:prstDash val="dash"/>
              </a:ln>
              <a:effectLst/>
            </c:spPr>
            <c:extLst>
              <c:ext xmlns:c16="http://schemas.microsoft.com/office/drawing/2014/chart" uri="{C3380CC4-5D6E-409C-BE32-E72D297353CC}">
                <c16:uniqueId val="{00000012-34E7-413D-A3D6-979D96EBF6BB}"/>
              </c:ext>
            </c:extLst>
          </c:dPt>
          <c:dPt>
            <c:idx val="50"/>
            <c:invertIfNegative val="0"/>
            <c:bubble3D val="0"/>
            <c:spPr>
              <a:noFill/>
              <a:ln w="19050">
                <a:solidFill>
                  <a:srgbClr val="CC3300"/>
                </a:solidFill>
                <a:prstDash val="dash"/>
              </a:ln>
              <a:effectLst/>
            </c:spPr>
            <c:extLst>
              <c:ext xmlns:c16="http://schemas.microsoft.com/office/drawing/2014/chart" uri="{C3380CC4-5D6E-409C-BE32-E72D297353CC}">
                <c16:uniqueId val="{00000014-34E7-413D-A3D6-979D96EBF6BB}"/>
              </c:ext>
            </c:extLst>
          </c:dPt>
          <c:dPt>
            <c:idx val="56"/>
            <c:invertIfNegative val="0"/>
            <c:bubble3D val="0"/>
            <c:spPr>
              <a:noFill/>
              <a:ln w="19050">
                <a:solidFill>
                  <a:srgbClr val="002060"/>
                </a:solidFill>
                <a:prstDash val="dash"/>
              </a:ln>
              <a:effectLst/>
            </c:spPr>
            <c:extLst>
              <c:ext xmlns:c16="http://schemas.microsoft.com/office/drawing/2014/chart" uri="{C3380CC4-5D6E-409C-BE32-E72D297353CC}">
                <c16:uniqueId val="{00000016-34E7-413D-A3D6-979D96EBF6BB}"/>
              </c:ext>
            </c:extLst>
          </c:dPt>
          <c:dPt>
            <c:idx val="86"/>
            <c:invertIfNegative val="0"/>
            <c:bubble3D val="0"/>
            <c:spPr>
              <a:noFill/>
              <a:ln w="19050">
                <a:solidFill>
                  <a:srgbClr val="FF0000"/>
                </a:solidFill>
                <a:prstDash val="dash"/>
              </a:ln>
              <a:effectLst/>
            </c:spPr>
            <c:extLst>
              <c:ext xmlns:c16="http://schemas.microsoft.com/office/drawing/2014/chart" uri="{C3380CC4-5D6E-409C-BE32-E72D297353CC}">
                <c16:uniqueId val="{0000002E-34E7-413D-A3D6-979D96EBF6BB}"/>
              </c:ext>
            </c:extLst>
          </c:dPt>
          <c:cat>
            <c:numRef>
              <c:f>'G2&amp;G3_BowWave_2025MAR'!$D$11:$IX$11</c:f>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f>'G2&amp;G3_BowWave_2025MAR'!$D$30:$IX$30</c:f>
              <c:numCache>
                <c:formatCode>General</c:formatCode>
                <c:ptCount val="25"/>
                <c:pt idx="6">
                  <c:v>125</c:v>
                </c:pt>
                <c:pt idx="12">
                  <c:v>125</c:v>
                </c:pt>
                <c:pt idx="18">
                  <c:v>125</c:v>
                </c:pt>
              </c:numCache>
            </c:numRef>
          </c:val>
          <c:extLst>
            <c:ext xmlns:c16="http://schemas.microsoft.com/office/drawing/2014/chart" uri="{C3380CC4-5D6E-409C-BE32-E72D297353CC}">
              <c16:uniqueId val="{00000017-34E7-413D-A3D6-979D96EBF6BB}"/>
            </c:ext>
          </c:extLst>
        </c:ser>
        <c:dLbls>
          <c:showLegendKey val="0"/>
          <c:showVal val="0"/>
          <c:showCatName val="0"/>
          <c:showSerName val="0"/>
          <c:showPercent val="0"/>
          <c:showBubbleSize val="0"/>
        </c:dLbls>
        <c:gapWidth val="150"/>
        <c:axId val="2001818015"/>
        <c:axId val="2001820415"/>
        <c:extLst>
          <c:ext xmlns:c15="http://schemas.microsoft.com/office/drawing/2012/chart" uri="{02D57815-91ED-43cb-92C2-25804820EDAC}">
            <c15:filteredBarSeries>
              <c15:ser>
                <c:idx val="0"/>
                <c:order val="0"/>
                <c:tx>
                  <c:strRef>
                    <c:extLst>
                      <c:ext uri="{02D57815-91ED-43cb-92C2-25804820EDAC}">
                        <c15:formulaRef>
                          <c15:sqref>'G2&amp;G3_BowWave_2025MAR'!$C$12</c15:sqref>
                        </c15:formulaRef>
                      </c:ext>
                    </c:extLst>
                    <c:strCache>
                      <c:ptCount val="1"/>
                      <c:pt idx="0">
                        <c:v>Baselined to Start</c:v>
                      </c:pt>
                    </c:strCache>
                  </c:strRef>
                </c:tx>
                <c:spPr>
                  <a:solidFill>
                    <a:schemeClr val="bg2">
                      <a:lumMod val="50000"/>
                    </a:schemeClr>
                  </a:solidFill>
                  <a:ln>
                    <a:solidFill>
                      <a:schemeClr val="tx1"/>
                    </a:solidFill>
                  </a:ln>
                  <a:effectLst/>
                </c:spPr>
                <c:invertIfNegative val="0"/>
                <c:cat>
                  <c:numRef>
                    <c:extLst>
                      <c:ext uri="{02D57815-91ED-43cb-92C2-25804820EDAC}">
                        <c15:formulaRef>
                          <c15:sqref>'G2&amp;G3_BowWave_2025MAR'!$D$11:$IX$11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c:ext uri="{02D57815-91ED-43cb-92C2-25804820EDAC}">
                        <c15:formulaRef>
                          <c15:sqref>'G2&amp;G3_BowWave_2025MAR'!$D$12:$IX$12</c15:sqref>
                        </c15:formulaRef>
                      </c:ext>
                    </c:extLst>
                    <c:numCache>
                      <c:formatCode>General</c:formatCode>
                      <c:ptCount val="25"/>
                      <c:pt idx="0">
                        <c:v>74</c:v>
                      </c:pt>
                      <c:pt idx="1">
                        <c:v>47</c:v>
                      </c:pt>
                      <c:pt idx="2">
                        <c:v>46</c:v>
                      </c:pt>
                      <c:pt idx="3">
                        <c:v>90</c:v>
                      </c:pt>
                      <c:pt idx="4">
                        <c:v>80</c:v>
                      </c:pt>
                      <c:pt idx="5">
                        <c:v>88</c:v>
                      </c:pt>
                      <c:pt idx="6">
                        <c:v>38</c:v>
                      </c:pt>
                      <c:pt idx="7">
                        <c:v>85</c:v>
                      </c:pt>
                      <c:pt idx="8">
                        <c:v>53</c:v>
                      </c:pt>
                      <c:pt idx="9">
                        <c:v>53</c:v>
                      </c:pt>
                      <c:pt idx="10">
                        <c:v>34</c:v>
                      </c:pt>
                      <c:pt idx="11">
                        <c:v>10</c:v>
                      </c:pt>
                      <c:pt idx="12">
                        <c:v>32</c:v>
                      </c:pt>
                      <c:pt idx="13">
                        <c:v>33</c:v>
                      </c:pt>
                      <c:pt idx="14">
                        <c:v>11</c:v>
                      </c:pt>
                      <c:pt idx="15">
                        <c:v>7</c:v>
                      </c:pt>
                      <c:pt idx="16">
                        <c:v>7</c:v>
                      </c:pt>
                      <c:pt idx="17">
                        <c:v>1</c:v>
                      </c:pt>
                      <c:pt idx="18">
                        <c:v>1</c:v>
                      </c:pt>
                      <c:pt idx="19">
                        <c:v>1</c:v>
                      </c:pt>
                      <c:pt idx="20">
                        <c:v>5</c:v>
                      </c:pt>
                      <c:pt idx="21">
                        <c:v>5</c:v>
                      </c:pt>
                      <c:pt idx="22">
                        <c:v>1</c:v>
                      </c:pt>
                      <c:pt idx="23">
                        <c:v>1</c:v>
                      </c:pt>
                      <c:pt idx="24">
                        <c:v>0</c:v>
                      </c:pt>
                    </c:numCache>
                  </c:numRef>
                </c:val>
                <c:extLst>
                  <c:ext xmlns:c16="http://schemas.microsoft.com/office/drawing/2014/chart" uri="{C3380CC4-5D6E-409C-BE32-E72D297353CC}">
                    <c16:uniqueId val="{00000003-34E7-413D-A3D6-979D96EBF6BB}"/>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'G2&amp;G3_BowWave_2025MAR'!$C$13</c15:sqref>
                        </c15:formulaRef>
                      </c:ext>
                    </c:extLst>
                    <c:strCache>
                      <c:ptCount val="1"/>
                      <c:pt idx="0">
                        <c:v>Scheduled to Start</c:v>
                      </c:pt>
                    </c:strCache>
                  </c:strRef>
                </c:tx>
                <c:spPr>
                  <a:solidFill>
                    <a:srgbClr val="FFC000"/>
                  </a:solidFill>
                  <a:ln>
                    <a:solidFill>
                      <a:schemeClr val="accent2"/>
                    </a:solidFill>
                  </a:ln>
                  <a:effectLst/>
                </c:spPr>
                <c:invertIfNegative val="0"/>
                <c:cat>
                  <c:numRef>
                    <c:extLst xmlns:c15="http://schemas.microsoft.com/office/drawing/2012/chart">
                      <c:ext xmlns:c15="http://schemas.microsoft.com/office/drawing/2012/chart" uri="{02D57815-91ED-43cb-92C2-25804820EDAC}">
                        <c15:formulaRef>
                          <c15:sqref>'G2&amp;G3_BowWave_2025MAR'!$D$11:$IX$11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'G2&amp;G3_BowWave_2025MAR'!$D$13:$IX$13</c15:sqref>
                        </c15:formulaRef>
                      </c:ext>
                    </c:extLst>
                    <c:numCache>
                      <c:formatCode>General</c:formatCode>
                      <c:ptCount val="25"/>
                      <c:pt idx="0">
                        <c:v>61</c:v>
                      </c:pt>
                      <c:pt idx="1">
                        <c:v>59</c:v>
                      </c:pt>
                      <c:pt idx="2">
                        <c:v>40</c:v>
                      </c:pt>
                      <c:pt idx="3">
                        <c:v>49</c:v>
                      </c:pt>
                      <c:pt idx="4">
                        <c:v>52</c:v>
                      </c:pt>
                      <c:pt idx="5">
                        <c:v>39</c:v>
                      </c:pt>
                      <c:pt idx="6">
                        <c:v>22</c:v>
                      </c:pt>
                      <c:pt idx="7">
                        <c:v>42</c:v>
                      </c:pt>
                      <c:pt idx="8">
                        <c:v>33</c:v>
                      </c:pt>
                      <c:pt idx="9">
                        <c:v>56</c:v>
                      </c:pt>
                      <c:pt idx="10">
                        <c:v>42</c:v>
                      </c:pt>
                      <c:pt idx="11">
                        <c:v>36</c:v>
                      </c:pt>
                      <c:pt idx="12">
                        <c:v>56</c:v>
                      </c:pt>
                      <c:pt idx="13">
                        <c:v>82</c:v>
                      </c:pt>
                      <c:pt idx="14">
                        <c:v>70</c:v>
                      </c:pt>
                      <c:pt idx="15">
                        <c:v>55</c:v>
                      </c:pt>
                      <c:pt idx="16">
                        <c:v>47</c:v>
                      </c:pt>
                      <c:pt idx="17">
                        <c:v>24</c:v>
                      </c:pt>
                      <c:pt idx="18">
                        <c:v>12</c:v>
                      </c:pt>
                      <c:pt idx="19">
                        <c:v>26</c:v>
                      </c:pt>
                      <c:pt idx="20">
                        <c:v>19</c:v>
                      </c:pt>
                      <c:pt idx="21">
                        <c:v>19</c:v>
                      </c:pt>
                      <c:pt idx="22">
                        <c:v>25</c:v>
                      </c:pt>
                      <c:pt idx="23">
                        <c:v>8</c:v>
                      </c:pt>
                      <c:pt idx="24">
                        <c:v>6</c:v>
                      </c:pt>
                    </c:numCache>
                  </c:numRef>
                </c:val>
                <c:extLst xmlns:c15="http://schemas.microsoft.com/office/drawing/2012/chart">
                  <c:ext xmlns:c16="http://schemas.microsoft.com/office/drawing/2014/chart" uri="{C3380CC4-5D6E-409C-BE32-E72D297353CC}">
                    <c16:uniqueId val="{00000004-34E7-413D-A3D6-979D96EBF6BB}"/>
                  </c:ext>
                </c:extLst>
              </c15:ser>
            </c15:filteredBarSeries>
            <c15:filteredBarSeries>
              <c15:ser>
                <c:idx val="21"/>
                <c:order val="2"/>
                <c:tx>
                  <c:strRef>
                    <c:extLst xmlns:c15="http://schemas.microsoft.com/office/drawing/2012/chart">
                      <c:ext xmlns:c15="http://schemas.microsoft.com/office/drawing/2012/chart" uri="{02D57815-91ED-43cb-92C2-25804820EDAC}">
                        <c15:formulaRef>
                          <c15:sqref>'G2&amp;G3_BowWave_2025MAR'!$C$14</c15:sqref>
                        </c15:formulaRef>
                      </c:ext>
                    </c:extLst>
                    <c:strCache>
                      <c:ptCount val="1"/>
                      <c:pt idx="0">
                        <c:v>Actual Starts</c:v>
                      </c:pt>
                    </c:strCache>
                  </c:strRef>
                </c:tx>
                <c:spPr>
                  <a:solidFill>
                    <a:srgbClr val="92D050"/>
                  </a:solidFill>
                  <a:ln>
                    <a:solidFill>
                      <a:schemeClr val="accent6">
                        <a:lumMod val="75000"/>
                      </a:schemeClr>
                    </a:solidFill>
                  </a:ln>
                  <a:effectLst/>
                </c:spPr>
                <c:invertIfNegative val="0"/>
                <c:cat>
                  <c:numRef>
                    <c:extLst xmlns:c15="http://schemas.microsoft.com/office/drawing/2012/chart">
                      <c:ext xmlns:c15="http://schemas.microsoft.com/office/drawing/2012/chart" uri="{02D57815-91ED-43cb-92C2-25804820EDAC}">
                        <c15:formulaRef>
                          <c15:sqref>'G2&amp;G3_BowWave_2025MAR'!$D$11:$IX$11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'G2&amp;G3_BowWave_2025MAR'!$D$14:$IX$14</c15:sqref>
                        </c15:formulaRef>
                      </c:ext>
                    </c:extLst>
                    <c:numCache>
                      <c:formatCode>General</c:formatCode>
                      <c:ptCount val="25"/>
                      <c:pt idx="0">
                        <c:v>61</c:v>
                      </c:pt>
                      <c:pt idx="1">
                        <c:v>59</c:v>
                      </c:pt>
                      <c:pt idx="2">
                        <c:v>40</c:v>
                      </c:pt>
                      <c:pt idx="3">
                        <c:v>49</c:v>
                      </c:pt>
                      <c:pt idx="4">
                        <c:v>52</c:v>
                      </c:pt>
                      <c:pt idx="5">
                        <c:v>39</c:v>
                      </c:pt>
                      <c:pt idx="6">
                        <c:v>22</c:v>
                      </c:pt>
                      <c:pt idx="7">
                        <c:v>42</c:v>
                      </c:pt>
                      <c:pt idx="8">
                        <c:v>33</c:v>
                      </c:pt>
                      <c:pt idx="9">
                        <c:v>56</c:v>
                      </c:pt>
                      <c:pt idx="10">
                        <c:v>42</c:v>
                      </c:pt>
                      <c:pt idx="11">
                        <c:v>36</c:v>
                      </c:pt>
                      <c:pt idx="12">
                        <c:v>42</c:v>
                      </c:pt>
                      <c:pt idx="13">
                        <c:v>0</c:v>
                      </c:pt>
                      <c:pt idx="14">
                        <c:v>0</c:v>
                      </c:pt>
                      <c:pt idx="15">
                        <c:v>0</c:v>
                      </c:pt>
                      <c:pt idx="16">
                        <c:v>0</c:v>
                      </c:pt>
                      <c:pt idx="17">
                        <c:v>0</c:v>
                      </c:pt>
                      <c:pt idx="18">
                        <c:v>0</c:v>
                      </c:pt>
                      <c:pt idx="19">
                        <c:v>0</c:v>
                      </c:pt>
                      <c:pt idx="20">
                        <c:v>0</c:v>
                      </c:pt>
                      <c:pt idx="21">
                        <c:v>0</c:v>
                      </c:pt>
                      <c:pt idx="22">
                        <c:v>0</c:v>
                      </c:pt>
                      <c:pt idx="23">
                        <c:v>0</c:v>
                      </c:pt>
                      <c:pt idx="24">
                        <c:v>0</c:v>
                      </c:pt>
                    </c:numCache>
                  </c:numRef>
                </c:val>
                <c:extLst xmlns:c15="http://schemas.microsoft.com/office/drawing/2012/chart">
                  <c:ext xmlns:c16="http://schemas.microsoft.com/office/drawing/2014/chart" uri="{C3380CC4-5D6E-409C-BE32-E72D297353CC}">
                    <c16:uniqueId val="{00000005-34E7-413D-A3D6-979D96EBF6BB}"/>
                  </c:ext>
                </c:extLst>
              </c15:ser>
            </c15:filteredBarSeries>
          </c:ext>
        </c:extLst>
      </c:barChart>
      <c:lineChart>
        <c:grouping val="standard"/>
        <c:varyColors val="0"/>
        <c:ser>
          <c:idx val="13"/>
          <c:order val="13"/>
          <c:tx>
            <c:strRef>
              <c:f>'G2&amp;G3_BowWave_2025MAR'!$C$25</c:f>
              <c:strCache>
                <c:ptCount val="1"/>
                <c:pt idx="0">
                  <c:v>BEI - Finishes</c:v>
                </c:pt>
              </c:strCache>
              <c:extLst xmlns:c15="http://schemas.microsoft.com/office/drawing/2012/chart"/>
            </c:strRef>
          </c:tx>
          <c:spPr>
            <a:ln w="28575"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tx1"/>
                </a:solidFill>
              </a:ln>
              <a:effectLst/>
            </c:spPr>
          </c:marker>
          <c:cat>
            <c:strRef>
              <c:f>'G2&amp;G3_BowWave_2025MAR'!$D$11:$IY$11</c:f>
              <c:strCache>
                <c:ptCount val="26"/>
                <c:pt idx="0">
                  <c:v>Mar-24</c:v>
                </c:pt>
                <c:pt idx="1">
                  <c:v>Apr-24</c:v>
                </c:pt>
                <c:pt idx="2">
                  <c:v>May-24</c:v>
                </c:pt>
                <c:pt idx="3">
                  <c:v>Jun-24</c:v>
                </c:pt>
                <c:pt idx="4">
                  <c:v>Jul-24</c:v>
                </c:pt>
                <c:pt idx="5">
                  <c:v>Aug-24</c:v>
                </c:pt>
                <c:pt idx="6">
                  <c:v>Sep-24</c:v>
                </c:pt>
                <c:pt idx="7">
                  <c:v>Oct-24</c:v>
                </c:pt>
                <c:pt idx="8">
                  <c:v>Nov-24</c:v>
                </c:pt>
                <c:pt idx="9">
                  <c:v>Dec-24</c:v>
                </c:pt>
                <c:pt idx="10">
                  <c:v>Jan-25</c:v>
                </c:pt>
                <c:pt idx="11">
                  <c:v>Feb-25</c:v>
                </c:pt>
                <c:pt idx="12">
                  <c:v>Mar-25</c:v>
                </c:pt>
                <c:pt idx="13">
                  <c:v>Apr-25</c:v>
                </c:pt>
                <c:pt idx="14">
                  <c:v>May-25</c:v>
                </c:pt>
                <c:pt idx="15">
                  <c:v>Jun-25</c:v>
                </c:pt>
                <c:pt idx="16">
                  <c:v>Jul-25</c:v>
                </c:pt>
                <c:pt idx="17">
                  <c:v>Aug-25</c:v>
                </c:pt>
                <c:pt idx="18">
                  <c:v>Sep-25</c:v>
                </c:pt>
                <c:pt idx="19">
                  <c:v>Oct-25</c:v>
                </c:pt>
                <c:pt idx="20">
                  <c:v>Nov-25</c:v>
                </c:pt>
                <c:pt idx="21">
                  <c:v>Dec-25</c:v>
                </c:pt>
                <c:pt idx="22">
                  <c:v>Jan-26</c:v>
                </c:pt>
                <c:pt idx="23">
                  <c:v>Feb-26</c:v>
                </c:pt>
                <c:pt idx="24">
                  <c:v>Mar-26</c:v>
                </c:pt>
                <c:pt idx="25">
                  <c:v>Y-axis (max)</c:v>
                </c:pt>
              </c:strCache>
            </c:strRef>
          </c:cat>
          <c:val>
            <c:numRef>
              <c:f>'G2&amp;G3_BowWave_2025MAR'!$D$25:$IX$25</c:f>
              <c:numCache>
                <c:formatCode>General</c:formatCode>
                <c:ptCount val="25"/>
                <c:pt idx="6">
                  <c:v>0.85</c:v>
                </c:pt>
                <c:pt idx="7">
                  <c:v>0.84</c:v>
                </c:pt>
                <c:pt idx="8">
                  <c:v>0.84</c:v>
                </c:pt>
                <c:pt idx="9">
                  <c:v>0.83</c:v>
                </c:pt>
                <c:pt idx="10">
                  <c:v>0.85</c:v>
                </c:pt>
                <c:pt idx="11">
                  <c:v>0.86</c:v>
                </c:pt>
                <c:pt idx="12">
                  <c:v>0.87</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2A-34E7-413D-A3D6-979D96EBF6BB}"/>
            </c:ext>
          </c:extLst>
        </c:ser>
        <c:ser>
          <c:idx val="33"/>
          <c:order val="26"/>
          <c:tx>
            <c:strRef>
              <c:f>'G2&amp;G3_BowWave_2025MAR'!$C$39</c:f>
              <c:strCache>
                <c:ptCount val="1"/>
                <c:pt idx="0">
                  <c:v>HMI Finishes - 3-mo Rolling Average</c:v>
                </c:pt>
              </c:strCache>
            </c:strRef>
          </c:tx>
          <c:spPr>
            <a:ln w="28575" cap="rnd">
              <a:solidFill>
                <a:schemeClr val="accent4">
                  <a:lumMod val="50000"/>
                </a:schemeClr>
              </a:solidFill>
              <a:round/>
            </a:ln>
            <a:effectLst/>
          </c:spPr>
          <c:marker>
            <c:symbol val="circle"/>
            <c:size val="5"/>
            <c:spPr>
              <a:solidFill>
                <a:schemeClr val="accent4">
                  <a:lumMod val="75000"/>
                </a:schemeClr>
              </a:solidFill>
              <a:ln w="9525">
                <a:solidFill>
                  <a:schemeClr val="accent4">
                    <a:lumMod val="50000"/>
                  </a:schemeClr>
                </a:solidFill>
              </a:ln>
              <a:effectLst/>
            </c:spPr>
          </c:marker>
          <c:cat>
            <c:strRef>
              <c:f>'G2&amp;G3_BowWave_2025MAR'!$D$11:$IY$11</c:f>
              <c:strCache>
                <c:ptCount val="26"/>
                <c:pt idx="0">
                  <c:v>Mar-24</c:v>
                </c:pt>
                <c:pt idx="1">
                  <c:v>Apr-24</c:v>
                </c:pt>
                <c:pt idx="2">
                  <c:v>May-24</c:v>
                </c:pt>
                <c:pt idx="3">
                  <c:v>Jun-24</c:v>
                </c:pt>
                <c:pt idx="4">
                  <c:v>Jul-24</c:v>
                </c:pt>
                <c:pt idx="5">
                  <c:v>Aug-24</c:v>
                </c:pt>
                <c:pt idx="6">
                  <c:v>Sep-24</c:v>
                </c:pt>
                <c:pt idx="7">
                  <c:v>Oct-24</c:v>
                </c:pt>
                <c:pt idx="8">
                  <c:v>Nov-24</c:v>
                </c:pt>
                <c:pt idx="9">
                  <c:v>Dec-24</c:v>
                </c:pt>
                <c:pt idx="10">
                  <c:v>Jan-25</c:v>
                </c:pt>
                <c:pt idx="11">
                  <c:v>Feb-25</c:v>
                </c:pt>
                <c:pt idx="12">
                  <c:v>Mar-25</c:v>
                </c:pt>
                <c:pt idx="13">
                  <c:v>Apr-25</c:v>
                </c:pt>
                <c:pt idx="14">
                  <c:v>May-25</c:v>
                </c:pt>
                <c:pt idx="15">
                  <c:v>Jun-25</c:v>
                </c:pt>
                <c:pt idx="16">
                  <c:v>Jul-25</c:v>
                </c:pt>
                <c:pt idx="17">
                  <c:v>Aug-25</c:v>
                </c:pt>
                <c:pt idx="18">
                  <c:v>Sep-25</c:v>
                </c:pt>
                <c:pt idx="19">
                  <c:v>Oct-25</c:v>
                </c:pt>
                <c:pt idx="20">
                  <c:v>Nov-25</c:v>
                </c:pt>
                <c:pt idx="21">
                  <c:v>Dec-25</c:v>
                </c:pt>
                <c:pt idx="22">
                  <c:v>Jan-26</c:v>
                </c:pt>
                <c:pt idx="23">
                  <c:v>Feb-26</c:v>
                </c:pt>
                <c:pt idx="24">
                  <c:v>Mar-26</c:v>
                </c:pt>
                <c:pt idx="25">
                  <c:v>Y-axis (max)</c:v>
                </c:pt>
              </c:strCache>
            </c:strRef>
          </c:cat>
          <c:val>
            <c:numRef>
              <c:f>'G2&amp;G3_BowWave_2025MAR'!$D$39:$DD$39</c:f>
              <c:numCache>
                <c:formatCode>0.00</c:formatCode>
                <c:ptCount val="25"/>
                <c:pt idx="7">
                  <c:v>0.01</c:v>
                </c:pt>
                <c:pt idx="8">
                  <c:v>2.5000000000000001E-2</c:v>
                </c:pt>
                <c:pt idx="9">
                  <c:v>2.3333333333333334E-2</c:v>
                </c:pt>
                <c:pt idx="10">
                  <c:v>0.02</c:v>
                </c:pt>
                <c:pt idx="11">
                  <c:v>6.6666666666666671E-3</c:v>
                </c:pt>
                <c:pt idx="12">
                  <c:v>0</c:v>
                </c:pt>
              </c:numCache>
            </c:numRef>
          </c:val>
          <c:smooth val="0"/>
          <c:extLst>
            <c:ext xmlns:c16="http://schemas.microsoft.com/office/drawing/2014/chart" uri="{C3380CC4-5D6E-409C-BE32-E72D297353CC}">
              <c16:uniqueId val="{00000038-34E7-413D-A3D6-979D96EBF6BB}"/>
            </c:ext>
          </c:extLst>
        </c:ser>
        <c:ser>
          <c:idx val="35"/>
          <c:order val="28"/>
          <c:tx>
            <c:strRef>
              <c:f>'G2&amp;G3_BowWave_2025MAR'!$C$41</c:f>
              <c:strCache>
                <c:ptCount val="1"/>
                <c:pt idx="0">
                  <c:v>CEI Finishes - 3-mo Rolling Average</c:v>
                </c:pt>
              </c:strCache>
            </c:strRef>
          </c:tx>
          <c:spPr>
            <a:ln w="28575" cap="rnd">
              <a:solidFill>
                <a:schemeClr val="accent6">
                  <a:lumMod val="50000"/>
                </a:schemeClr>
              </a:solidFill>
              <a:round/>
            </a:ln>
            <a:effectLst/>
          </c:spPr>
          <c:marker>
            <c:symbol val="circle"/>
            <c:size val="5"/>
            <c:spPr>
              <a:solidFill>
                <a:schemeClr val="accent6"/>
              </a:solidFill>
              <a:ln w="9525">
                <a:solidFill>
                  <a:schemeClr val="accent6">
                    <a:lumMod val="50000"/>
                  </a:schemeClr>
                </a:solidFill>
              </a:ln>
              <a:effectLst/>
            </c:spPr>
          </c:marker>
          <c:cat>
            <c:strRef>
              <c:f>'G2&amp;G3_BowWave_2025MAR'!$D$11:$IY$11</c:f>
              <c:strCache>
                <c:ptCount val="26"/>
                <c:pt idx="0">
                  <c:v>Mar-24</c:v>
                </c:pt>
                <c:pt idx="1">
                  <c:v>Apr-24</c:v>
                </c:pt>
                <c:pt idx="2">
                  <c:v>May-24</c:v>
                </c:pt>
                <c:pt idx="3">
                  <c:v>Jun-24</c:v>
                </c:pt>
                <c:pt idx="4">
                  <c:v>Jul-24</c:v>
                </c:pt>
                <c:pt idx="5">
                  <c:v>Aug-24</c:v>
                </c:pt>
                <c:pt idx="6">
                  <c:v>Sep-24</c:v>
                </c:pt>
                <c:pt idx="7">
                  <c:v>Oct-24</c:v>
                </c:pt>
                <c:pt idx="8">
                  <c:v>Nov-24</c:v>
                </c:pt>
                <c:pt idx="9">
                  <c:v>Dec-24</c:v>
                </c:pt>
                <c:pt idx="10">
                  <c:v>Jan-25</c:v>
                </c:pt>
                <c:pt idx="11">
                  <c:v>Feb-25</c:v>
                </c:pt>
                <c:pt idx="12">
                  <c:v>Mar-25</c:v>
                </c:pt>
                <c:pt idx="13">
                  <c:v>Apr-25</c:v>
                </c:pt>
                <c:pt idx="14">
                  <c:v>May-25</c:v>
                </c:pt>
                <c:pt idx="15">
                  <c:v>Jun-25</c:v>
                </c:pt>
                <c:pt idx="16">
                  <c:v>Jul-25</c:v>
                </c:pt>
                <c:pt idx="17">
                  <c:v>Aug-25</c:v>
                </c:pt>
                <c:pt idx="18">
                  <c:v>Sep-25</c:v>
                </c:pt>
                <c:pt idx="19">
                  <c:v>Oct-25</c:v>
                </c:pt>
                <c:pt idx="20">
                  <c:v>Nov-25</c:v>
                </c:pt>
                <c:pt idx="21">
                  <c:v>Dec-25</c:v>
                </c:pt>
                <c:pt idx="22">
                  <c:v>Jan-26</c:v>
                </c:pt>
                <c:pt idx="23">
                  <c:v>Feb-26</c:v>
                </c:pt>
                <c:pt idx="24">
                  <c:v>Mar-26</c:v>
                </c:pt>
                <c:pt idx="25">
                  <c:v>Y-axis (max)</c:v>
                </c:pt>
              </c:strCache>
            </c:strRef>
          </c:cat>
          <c:val>
            <c:numRef>
              <c:f>'G2&amp;G3_BowWave_2025MAR'!$D$41:$DD$41</c:f>
              <c:numCache>
                <c:formatCode>0.00</c:formatCode>
                <c:ptCount val="25"/>
                <c:pt idx="7">
                  <c:v>0.3</c:v>
                </c:pt>
                <c:pt idx="8">
                  <c:v>0.36</c:v>
                </c:pt>
                <c:pt idx="9">
                  <c:v>0.35666666666666663</c:v>
                </c:pt>
                <c:pt idx="10">
                  <c:v>0.41333333333333333</c:v>
                </c:pt>
                <c:pt idx="11">
                  <c:v>0.46666666666666662</c:v>
                </c:pt>
                <c:pt idx="12">
                  <c:v>0.53999999999999992</c:v>
                </c:pt>
              </c:numCache>
            </c:numRef>
          </c:val>
          <c:smooth val="0"/>
          <c:extLst>
            <c:ext xmlns:c16="http://schemas.microsoft.com/office/drawing/2014/chart" uri="{C3380CC4-5D6E-409C-BE32-E72D297353CC}">
              <c16:uniqueId val="{0000003A-34E7-413D-A3D6-979D96EBF6BB}"/>
            </c:ext>
          </c:extLst>
        </c:ser>
        <c:dLbls>
          <c:showLegendKey val="0"/>
          <c:showVal val="0"/>
          <c:showCatName val="0"/>
          <c:showSerName val="0"/>
          <c:showPercent val="0"/>
          <c:showBubbleSize val="0"/>
        </c:dLbls>
        <c:marker val="1"/>
        <c:smooth val="0"/>
        <c:axId val="1121466879"/>
        <c:axId val="1121471199"/>
        <c:extLst>
          <c:ext xmlns:c15="http://schemas.microsoft.com/office/drawing/2012/chart" uri="{02D57815-91ED-43cb-92C2-25804820EDAC}">
            <c15:filteredLineSeries>
              <c15:ser>
                <c:idx val="12"/>
                <c:order val="12"/>
                <c:tx>
                  <c:strRef>
                    <c:extLst>
                      <c:ext uri="{02D57815-91ED-43cb-92C2-25804820EDAC}">
                        <c15:formulaRef>
                          <c15:sqref>'G2&amp;G3_BowWave_2025MAR'!$C$24</c15:sqref>
                        </c15:formulaRef>
                      </c:ext>
                    </c:extLst>
                    <c:strCache>
                      <c:ptCount val="1"/>
                      <c:pt idx="0">
                        <c:v>BEI - Starts</c:v>
                      </c:pt>
                    </c:strCache>
                  </c:strRef>
                </c:tx>
                <c:spPr>
                  <a:ln w="28575" cap="rnd">
                    <a:solidFill>
                      <a:schemeClr val="accent2"/>
                    </a:solidFill>
                    <a:round/>
                  </a:ln>
                  <a:effectLst/>
                </c:spPr>
                <c:marker>
                  <c:symbol val="circle"/>
                  <c:size val="5"/>
                  <c:spPr>
                    <a:solidFill>
                      <a:schemeClr val="accent2"/>
                    </a:solidFill>
                    <a:ln w="9525">
                      <a:solidFill>
                        <a:schemeClr val="tx1"/>
                      </a:solidFill>
                    </a:ln>
                    <a:effectLst/>
                  </c:spPr>
                </c:marker>
                <c:cat>
                  <c:strRef>
                    <c:extLst>
                      <c:ext uri="{02D57815-91ED-43cb-92C2-25804820EDAC}">
                        <c15:formulaRef>
                          <c15:sqref>'G2&amp;G3_BowWave_2025MAR'!$D$11:$IY$11</c15:sqref>
                        </c15:formulaRef>
                      </c:ext>
                    </c:extLst>
                    <c:strCache>
                      <c:ptCount val="26"/>
                      <c:pt idx="0">
                        <c:v>Mar-24</c:v>
                      </c:pt>
                      <c:pt idx="1">
                        <c:v>Apr-24</c:v>
                      </c:pt>
                      <c:pt idx="2">
                        <c:v>May-24</c:v>
                      </c:pt>
                      <c:pt idx="3">
                        <c:v>Jun-24</c:v>
                      </c:pt>
                      <c:pt idx="4">
                        <c:v>Jul-24</c:v>
                      </c:pt>
                      <c:pt idx="5">
                        <c:v>Aug-24</c:v>
                      </c:pt>
                      <c:pt idx="6">
                        <c:v>Sep-24</c:v>
                      </c:pt>
                      <c:pt idx="7">
                        <c:v>Oct-24</c:v>
                      </c:pt>
                      <c:pt idx="8">
                        <c:v>Nov-24</c:v>
                      </c:pt>
                      <c:pt idx="9">
                        <c:v>Dec-24</c:v>
                      </c:pt>
                      <c:pt idx="10">
                        <c:v>Jan-25</c:v>
                      </c:pt>
                      <c:pt idx="11">
                        <c:v>Feb-25</c:v>
                      </c:pt>
                      <c:pt idx="12">
                        <c:v>Mar-25</c:v>
                      </c:pt>
                      <c:pt idx="13">
                        <c:v>Apr-25</c:v>
                      </c:pt>
                      <c:pt idx="14">
                        <c:v>May-25</c:v>
                      </c:pt>
                      <c:pt idx="15">
                        <c:v>Jun-25</c:v>
                      </c:pt>
                      <c:pt idx="16">
                        <c:v>Jul-25</c:v>
                      </c:pt>
                      <c:pt idx="17">
                        <c:v>Aug-25</c:v>
                      </c:pt>
                      <c:pt idx="18">
                        <c:v>Sep-25</c:v>
                      </c:pt>
                      <c:pt idx="19">
                        <c:v>Oct-25</c:v>
                      </c:pt>
                      <c:pt idx="20">
                        <c:v>Nov-25</c:v>
                      </c:pt>
                      <c:pt idx="21">
                        <c:v>Dec-25</c:v>
                      </c:pt>
                      <c:pt idx="22">
                        <c:v>Jan-26</c:v>
                      </c:pt>
                      <c:pt idx="23">
                        <c:v>Feb-26</c:v>
                      </c:pt>
                      <c:pt idx="24">
                        <c:v>Mar-26</c:v>
                      </c:pt>
                      <c:pt idx="25">
                        <c:v>Y-axis (max)</c:v>
                      </c:pt>
                    </c:strCache>
                  </c:strRef>
                </c:cat>
                <c:val>
                  <c:numRef>
                    <c:extLst>
                      <c:ext uri="{02D57815-91ED-43cb-92C2-25804820EDAC}">
                        <c15:formulaRef>
                          <c15:sqref>'G2&amp;G3_BowWave_2025MAR'!$D$24:$IX$24</c15:sqref>
                        </c15:formulaRef>
                      </c:ext>
                    </c:extLst>
                    <c:numCache>
                      <c:formatCode>General</c:formatCode>
                      <c:ptCount val="25"/>
                      <c:pt idx="6">
                        <c:v>0.87</c:v>
                      </c:pt>
                      <c:pt idx="7">
                        <c:v>0.85</c:v>
                      </c:pt>
                      <c:pt idx="8">
                        <c:v>0.85</c:v>
                      </c:pt>
                      <c:pt idx="9">
                        <c:v>0.85</c:v>
                      </c:pt>
                      <c:pt idx="10">
                        <c:v>0.86</c:v>
                      </c:pt>
                      <c:pt idx="11">
                        <c:v>0.87</c:v>
                      </c:pt>
                      <c:pt idx="12">
                        <c:v>0.88</c:v>
                      </c:pt>
                    </c:numCache>
                  </c:numRef>
                </c:val>
                <c:smooth val="0"/>
                <c:extLst>
                  <c:ext xmlns:c16="http://schemas.microsoft.com/office/drawing/2014/chart" uri="{C3380CC4-5D6E-409C-BE32-E72D297353CC}">
                    <c16:uniqueId val="{00000018-34E7-413D-A3D6-979D96EBF6BB}"/>
                  </c:ext>
                </c:extLst>
              </c15:ser>
            </c15:filteredLineSeries>
            <c15:filteredLineSeries>
              <c15:ser>
                <c:idx val="14"/>
                <c:order val="14"/>
                <c:tx>
                  <c:strRef>
                    <c:extLst xmlns:c15="http://schemas.microsoft.com/office/drawing/2012/chart">
                      <c:ext xmlns:c15="http://schemas.microsoft.com/office/drawing/2012/chart" uri="{02D57815-91ED-43cb-92C2-25804820EDAC}">
                        <c15:formulaRef>
                          <c15:sqref>'G2&amp;G3_BowWave_2025MAR'!$C$26</c15:sqref>
                        </c15:formulaRef>
                      </c:ext>
                    </c:extLst>
                    <c:strCache>
                      <c:ptCount val="1"/>
                      <c:pt idx="0">
                        <c:v>HMI - Starts</c:v>
                      </c:pt>
                    </c:strCache>
                  </c:strRef>
                </c:tx>
                <c:spPr>
                  <a:ln w="28575" cap="rnd">
                    <a:solidFill>
                      <a:schemeClr val="accent1"/>
                    </a:solidFill>
                    <a:round/>
                  </a:ln>
                  <a:effectLst/>
                </c:spPr>
                <c:marker>
                  <c:symbol val="circle"/>
                  <c:size val="5"/>
                  <c:spPr>
                    <a:solidFill>
                      <a:schemeClr val="accent1"/>
                    </a:solidFill>
                    <a:ln w="9525">
                      <a:solidFill>
                        <a:schemeClr val="tx1"/>
                      </a:solidFill>
                    </a:ln>
                    <a:effectLst/>
                  </c:spPr>
                </c:marker>
                <c:cat>
                  <c:strRef>
                    <c:extLst xmlns:c15="http://schemas.microsoft.com/office/drawing/2012/chart">
                      <c:ext xmlns:c15="http://schemas.microsoft.com/office/drawing/2012/chart" uri="{02D57815-91ED-43cb-92C2-25804820EDAC}">
                        <c15:formulaRef>
                          <c15:sqref>'G2&amp;G3_BowWave_2025MAR'!$D$11:$IY$11</c15:sqref>
                        </c15:formulaRef>
                      </c:ext>
                    </c:extLst>
                    <c:strCache>
                      <c:ptCount val="26"/>
                      <c:pt idx="0">
                        <c:v>Mar-24</c:v>
                      </c:pt>
                      <c:pt idx="1">
                        <c:v>Apr-24</c:v>
                      </c:pt>
                      <c:pt idx="2">
                        <c:v>May-24</c:v>
                      </c:pt>
                      <c:pt idx="3">
                        <c:v>Jun-24</c:v>
                      </c:pt>
                      <c:pt idx="4">
                        <c:v>Jul-24</c:v>
                      </c:pt>
                      <c:pt idx="5">
                        <c:v>Aug-24</c:v>
                      </c:pt>
                      <c:pt idx="6">
                        <c:v>Sep-24</c:v>
                      </c:pt>
                      <c:pt idx="7">
                        <c:v>Oct-24</c:v>
                      </c:pt>
                      <c:pt idx="8">
                        <c:v>Nov-24</c:v>
                      </c:pt>
                      <c:pt idx="9">
                        <c:v>Dec-24</c:v>
                      </c:pt>
                      <c:pt idx="10">
                        <c:v>Jan-25</c:v>
                      </c:pt>
                      <c:pt idx="11">
                        <c:v>Feb-25</c:v>
                      </c:pt>
                      <c:pt idx="12">
                        <c:v>Mar-25</c:v>
                      </c:pt>
                      <c:pt idx="13">
                        <c:v>Apr-25</c:v>
                      </c:pt>
                      <c:pt idx="14">
                        <c:v>May-25</c:v>
                      </c:pt>
                      <c:pt idx="15">
                        <c:v>Jun-25</c:v>
                      </c:pt>
                      <c:pt idx="16">
                        <c:v>Jul-25</c:v>
                      </c:pt>
                      <c:pt idx="17">
                        <c:v>Aug-25</c:v>
                      </c:pt>
                      <c:pt idx="18">
                        <c:v>Sep-25</c:v>
                      </c:pt>
                      <c:pt idx="19">
                        <c:v>Oct-25</c:v>
                      </c:pt>
                      <c:pt idx="20">
                        <c:v>Nov-25</c:v>
                      </c:pt>
                      <c:pt idx="21">
                        <c:v>Dec-25</c:v>
                      </c:pt>
                      <c:pt idx="22">
                        <c:v>Jan-26</c:v>
                      </c:pt>
                      <c:pt idx="23">
                        <c:v>Feb-26</c:v>
                      </c:pt>
                      <c:pt idx="24">
                        <c:v>Mar-26</c:v>
                      </c:pt>
                      <c:pt idx="25">
                        <c:v>Y-axis (max)</c:v>
                      </c:pt>
                    </c:strCache>
                  </c:strRef>
                </c:cat>
                <c:val>
                  <c:numRef>
                    <c:extLst xmlns:c15="http://schemas.microsoft.com/office/drawing/2012/chart">
                      <c:ext xmlns:c15="http://schemas.microsoft.com/office/drawing/2012/chart" uri="{02D57815-91ED-43cb-92C2-25804820EDAC}">
                        <c15:formulaRef>
                          <c15:sqref>'G2&amp;G3_BowWave_2025MAR'!$D$26:$IX$26</c15:sqref>
                        </c15:formulaRef>
                      </c:ext>
                    </c:extLst>
                    <c:numCache>
                      <c:formatCode>General</c:formatCode>
                      <c:ptCount val="25"/>
                      <c:pt idx="7">
                        <c:v>0.02</c:v>
                      </c:pt>
                      <c:pt idx="8">
                        <c:v>0.02</c:v>
                      </c:pt>
                      <c:pt idx="9">
                        <c:v>0.04</c:v>
                      </c:pt>
                      <c:pt idx="10">
                        <c:v>0.03</c:v>
                      </c:pt>
                      <c:pt idx="11">
                        <c:v>0.08</c:v>
                      </c:pt>
                      <c:pt idx="12">
                        <c:v>0.06</c:v>
                      </c:pt>
                    </c:numCache>
                  </c:numRef>
                </c:val>
                <c:smooth val="0"/>
                <c:extLst xmlns:c15="http://schemas.microsoft.com/office/drawing/2012/chart">
                  <c:ext xmlns:c16="http://schemas.microsoft.com/office/drawing/2014/chart" uri="{C3380CC4-5D6E-409C-BE32-E72D297353CC}">
                    <c16:uniqueId val="{00000019-34E7-413D-A3D6-979D96EBF6BB}"/>
                  </c:ext>
                </c:extLst>
              </c15:ser>
            </c15:filteredLineSeries>
            <c15:filteredLineSeries>
              <c15:ser>
                <c:idx val="15"/>
                <c:order val="15"/>
                <c:tx>
                  <c:strRef>
                    <c:extLst xmlns:c15="http://schemas.microsoft.com/office/drawing/2012/chart">
                      <c:ext xmlns:c15="http://schemas.microsoft.com/office/drawing/2012/chart" uri="{02D57815-91ED-43cb-92C2-25804820EDAC}">
                        <c15:formulaRef>
                          <c15:sqref>'G2&amp;G3_BowWave_2025MAR'!$C$27</c15:sqref>
                        </c15:formulaRef>
                      </c:ext>
                    </c:extLst>
                    <c:strCache>
                      <c:ptCount val="1"/>
                      <c:pt idx="0">
                        <c:v>HMI - Finishes</c:v>
                      </c:pt>
                    </c:strCache>
                  </c:strRef>
                </c:tx>
                <c:spPr>
                  <a:ln w="28575"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tx1"/>
                      </a:solidFill>
                    </a:ln>
                    <a:effectLst/>
                  </c:spPr>
                </c:marker>
                <c:cat>
                  <c:strRef>
                    <c:extLst xmlns:c15="http://schemas.microsoft.com/office/drawing/2012/chart">
                      <c:ext xmlns:c15="http://schemas.microsoft.com/office/drawing/2012/chart" uri="{02D57815-91ED-43cb-92C2-25804820EDAC}">
                        <c15:formulaRef>
                          <c15:sqref>'G2&amp;G3_BowWave_2025MAR'!$D$11:$IY$11</c15:sqref>
                        </c15:formulaRef>
                      </c:ext>
                    </c:extLst>
                    <c:strCache>
                      <c:ptCount val="26"/>
                      <c:pt idx="0">
                        <c:v>Mar-24</c:v>
                      </c:pt>
                      <c:pt idx="1">
                        <c:v>Apr-24</c:v>
                      </c:pt>
                      <c:pt idx="2">
                        <c:v>May-24</c:v>
                      </c:pt>
                      <c:pt idx="3">
                        <c:v>Jun-24</c:v>
                      </c:pt>
                      <c:pt idx="4">
                        <c:v>Jul-24</c:v>
                      </c:pt>
                      <c:pt idx="5">
                        <c:v>Aug-24</c:v>
                      </c:pt>
                      <c:pt idx="6">
                        <c:v>Sep-24</c:v>
                      </c:pt>
                      <c:pt idx="7">
                        <c:v>Oct-24</c:v>
                      </c:pt>
                      <c:pt idx="8">
                        <c:v>Nov-24</c:v>
                      </c:pt>
                      <c:pt idx="9">
                        <c:v>Dec-24</c:v>
                      </c:pt>
                      <c:pt idx="10">
                        <c:v>Jan-25</c:v>
                      </c:pt>
                      <c:pt idx="11">
                        <c:v>Feb-25</c:v>
                      </c:pt>
                      <c:pt idx="12">
                        <c:v>Mar-25</c:v>
                      </c:pt>
                      <c:pt idx="13">
                        <c:v>Apr-25</c:v>
                      </c:pt>
                      <c:pt idx="14">
                        <c:v>May-25</c:v>
                      </c:pt>
                      <c:pt idx="15">
                        <c:v>Jun-25</c:v>
                      </c:pt>
                      <c:pt idx="16">
                        <c:v>Jul-25</c:v>
                      </c:pt>
                      <c:pt idx="17">
                        <c:v>Aug-25</c:v>
                      </c:pt>
                      <c:pt idx="18">
                        <c:v>Sep-25</c:v>
                      </c:pt>
                      <c:pt idx="19">
                        <c:v>Oct-25</c:v>
                      </c:pt>
                      <c:pt idx="20">
                        <c:v>Nov-25</c:v>
                      </c:pt>
                      <c:pt idx="21">
                        <c:v>Dec-25</c:v>
                      </c:pt>
                      <c:pt idx="22">
                        <c:v>Jan-26</c:v>
                      </c:pt>
                      <c:pt idx="23">
                        <c:v>Feb-26</c:v>
                      </c:pt>
                      <c:pt idx="24">
                        <c:v>Mar-26</c:v>
                      </c:pt>
                      <c:pt idx="25">
                        <c:v>Y-axis (max)</c:v>
                      </c:pt>
                    </c:strCache>
                  </c:strRef>
                </c:cat>
                <c:val>
                  <c:numRef>
                    <c:extLst xmlns:c15="http://schemas.microsoft.com/office/drawing/2012/chart">
                      <c:ext xmlns:c15="http://schemas.microsoft.com/office/drawing/2012/chart" uri="{02D57815-91ED-43cb-92C2-25804820EDAC}">
                        <c15:formulaRef>
                          <c15:sqref>'G2&amp;G3_BowWave_2025MAR'!$D$27:$IX$27</c15:sqref>
                        </c15:formulaRef>
                      </c:ext>
                    </c:extLst>
                    <c:numCache>
                      <c:formatCode>General</c:formatCode>
                      <c:ptCount val="25"/>
                      <c:pt idx="7">
                        <c:v>0.01</c:v>
                      </c:pt>
                      <c:pt idx="8">
                        <c:v>0.04</c:v>
                      </c:pt>
                      <c:pt idx="9">
                        <c:v>0.02</c:v>
                      </c:pt>
                      <c:pt idx="10">
                        <c:v>0</c:v>
                      </c:pt>
                      <c:pt idx="11">
                        <c:v>0</c:v>
                      </c:pt>
                      <c:pt idx="12">
                        <c:v>0</c:v>
                      </c:pt>
                    </c:numCache>
                  </c:numRef>
                </c:val>
                <c:smooth val="0"/>
                <c:extLst xmlns:c15="http://schemas.microsoft.com/office/drawing/2012/chart">
                  <c:ext xmlns:c16="http://schemas.microsoft.com/office/drawing/2014/chart" uri="{C3380CC4-5D6E-409C-BE32-E72D297353CC}">
                    <c16:uniqueId val="{0000002B-34E7-413D-A3D6-979D96EBF6BB}"/>
                  </c:ext>
                </c:extLst>
              </c15:ser>
            </c15:filteredLineSeries>
            <c15:filteredLineSeries>
              <c15:ser>
                <c:idx val="16"/>
                <c:order val="16"/>
                <c:tx>
                  <c:strRef>
                    <c:extLst xmlns:c15="http://schemas.microsoft.com/office/drawing/2012/chart">
                      <c:ext xmlns:c15="http://schemas.microsoft.com/office/drawing/2012/chart" uri="{02D57815-91ED-43cb-92C2-25804820EDAC}">
                        <c15:formulaRef>
                          <c15:sqref>'G2&amp;G3_BowWave_2025MAR'!$C$28</c15:sqref>
                        </c15:formulaRef>
                      </c:ext>
                    </c:extLst>
                    <c:strCache>
                      <c:ptCount val="1"/>
                      <c:pt idx="0">
                        <c:v>CEI - Starts</c:v>
                      </c:pt>
                    </c:strCache>
                  </c:strRef>
                </c:tx>
                <c:spPr>
                  <a:ln w="28575" cap="rnd">
                    <a:solidFill>
                      <a:schemeClr val="accent6"/>
                    </a:solidFill>
                    <a:round/>
                  </a:ln>
                  <a:effectLst/>
                </c:spPr>
                <c:marker>
                  <c:symbol val="circle"/>
                  <c:size val="5"/>
                  <c:spPr>
                    <a:solidFill>
                      <a:schemeClr val="accent6"/>
                    </a:solidFill>
                    <a:ln w="9525">
                      <a:solidFill>
                        <a:schemeClr val="tx1"/>
                      </a:solidFill>
                    </a:ln>
                    <a:effectLst/>
                  </c:spPr>
                </c:marker>
                <c:cat>
                  <c:strRef>
                    <c:extLst xmlns:c15="http://schemas.microsoft.com/office/drawing/2012/chart">
                      <c:ext xmlns:c15="http://schemas.microsoft.com/office/drawing/2012/chart" uri="{02D57815-91ED-43cb-92C2-25804820EDAC}">
                        <c15:formulaRef>
                          <c15:sqref>'G2&amp;G3_BowWave_2025MAR'!$D$11:$IY$11</c15:sqref>
                        </c15:formulaRef>
                      </c:ext>
                    </c:extLst>
                    <c:strCache>
                      <c:ptCount val="26"/>
                      <c:pt idx="0">
                        <c:v>Mar-24</c:v>
                      </c:pt>
                      <c:pt idx="1">
                        <c:v>Apr-24</c:v>
                      </c:pt>
                      <c:pt idx="2">
                        <c:v>May-24</c:v>
                      </c:pt>
                      <c:pt idx="3">
                        <c:v>Jun-24</c:v>
                      </c:pt>
                      <c:pt idx="4">
                        <c:v>Jul-24</c:v>
                      </c:pt>
                      <c:pt idx="5">
                        <c:v>Aug-24</c:v>
                      </c:pt>
                      <c:pt idx="6">
                        <c:v>Sep-24</c:v>
                      </c:pt>
                      <c:pt idx="7">
                        <c:v>Oct-24</c:v>
                      </c:pt>
                      <c:pt idx="8">
                        <c:v>Nov-24</c:v>
                      </c:pt>
                      <c:pt idx="9">
                        <c:v>Dec-24</c:v>
                      </c:pt>
                      <c:pt idx="10">
                        <c:v>Jan-25</c:v>
                      </c:pt>
                      <c:pt idx="11">
                        <c:v>Feb-25</c:v>
                      </c:pt>
                      <c:pt idx="12">
                        <c:v>Mar-25</c:v>
                      </c:pt>
                      <c:pt idx="13">
                        <c:v>Apr-25</c:v>
                      </c:pt>
                      <c:pt idx="14">
                        <c:v>May-25</c:v>
                      </c:pt>
                      <c:pt idx="15">
                        <c:v>Jun-25</c:v>
                      </c:pt>
                      <c:pt idx="16">
                        <c:v>Jul-25</c:v>
                      </c:pt>
                      <c:pt idx="17">
                        <c:v>Aug-25</c:v>
                      </c:pt>
                      <c:pt idx="18">
                        <c:v>Sep-25</c:v>
                      </c:pt>
                      <c:pt idx="19">
                        <c:v>Oct-25</c:v>
                      </c:pt>
                      <c:pt idx="20">
                        <c:v>Nov-25</c:v>
                      </c:pt>
                      <c:pt idx="21">
                        <c:v>Dec-25</c:v>
                      </c:pt>
                      <c:pt idx="22">
                        <c:v>Jan-26</c:v>
                      </c:pt>
                      <c:pt idx="23">
                        <c:v>Feb-26</c:v>
                      </c:pt>
                      <c:pt idx="24">
                        <c:v>Mar-26</c:v>
                      </c:pt>
                      <c:pt idx="25">
                        <c:v>Y-axis (max)</c:v>
                      </c:pt>
                    </c:strCache>
                  </c:strRef>
                </c:cat>
                <c:val>
                  <c:numRef>
                    <c:extLst xmlns:c15="http://schemas.microsoft.com/office/drawing/2012/chart">
                      <c:ext xmlns:c15="http://schemas.microsoft.com/office/drawing/2012/chart" uri="{02D57815-91ED-43cb-92C2-25804820EDAC}">
                        <c15:formulaRef>
                          <c15:sqref>'G2&amp;G3_BowWave_2025MAR'!$D$28:$IX$28</c15:sqref>
                        </c15:formulaRef>
                      </c:ext>
                    </c:extLst>
                    <c:numCache>
                      <c:formatCode>General</c:formatCode>
                      <c:ptCount val="25"/>
                      <c:pt idx="7">
                        <c:v>0.31</c:v>
                      </c:pt>
                      <c:pt idx="8">
                        <c:v>0.51</c:v>
                      </c:pt>
                      <c:pt idx="9">
                        <c:v>0.43</c:v>
                      </c:pt>
                      <c:pt idx="10">
                        <c:v>0.41</c:v>
                      </c:pt>
                      <c:pt idx="11">
                        <c:v>0.52</c:v>
                      </c:pt>
                      <c:pt idx="12">
                        <c:v>0.61</c:v>
                      </c:pt>
                    </c:numCache>
                  </c:numRef>
                </c:val>
                <c:smooth val="0"/>
                <c:extLst xmlns:c15="http://schemas.microsoft.com/office/drawing/2012/chart">
                  <c:ext xmlns:c16="http://schemas.microsoft.com/office/drawing/2014/chart" uri="{C3380CC4-5D6E-409C-BE32-E72D297353CC}">
                    <c16:uniqueId val="{0000001A-34E7-413D-A3D6-979D96EBF6BB}"/>
                  </c:ext>
                </c:extLst>
              </c15:ser>
            </c15:filteredLineSeries>
            <c15:filteredLineSeries>
              <c15:ser>
                <c:idx val="17"/>
                <c:order val="17"/>
                <c:tx>
                  <c:strRef>
                    <c:extLst xmlns:c15="http://schemas.microsoft.com/office/drawing/2012/chart">
                      <c:ext xmlns:c15="http://schemas.microsoft.com/office/drawing/2012/chart" uri="{02D57815-91ED-43cb-92C2-25804820EDAC}">
                        <c15:formulaRef>
                          <c15:sqref>'G2&amp;G3_BowWave_2025MAR'!$C$29</c15:sqref>
                        </c15:formulaRef>
                      </c:ext>
                    </c:extLst>
                    <c:strCache>
                      <c:ptCount val="1"/>
                      <c:pt idx="0">
                        <c:v>CEI - Finishes</c:v>
                      </c:pt>
                    </c:strCache>
                  </c:strRef>
                </c:tx>
                <c:spPr>
                  <a:ln w="28575" cap="rnd">
                    <a:solidFill>
                      <a:schemeClr val="accent6">
                        <a:lumMod val="80000"/>
                        <a:lumOff val="20000"/>
                      </a:schemeClr>
                    </a:solidFill>
                    <a:round/>
                  </a:ln>
                  <a:effectLst/>
                </c:spPr>
                <c:marker>
                  <c:symbol val="circle"/>
                  <c:size val="5"/>
                  <c:spPr>
                    <a:solidFill>
                      <a:schemeClr val="accent6">
                        <a:lumMod val="80000"/>
                        <a:lumOff val="20000"/>
                      </a:schemeClr>
                    </a:solidFill>
                    <a:ln w="9525">
                      <a:solidFill>
                        <a:schemeClr val="tx1"/>
                      </a:solidFill>
                    </a:ln>
                    <a:effectLst/>
                  </c:spPr>
                </c:marker>
                <c:cat>
                  <c:strRef>
                    <c:extLst xmlns:c15="http://schemas.microsoft.com/office/drawing/2012/chart">
                      <c:ext xmlns:c15="http://schemas.microsoft.com/office/drawing/2012/chart" uri="{02D57815-91ED-43cb-92C2-25804820EDAC}">
                        <c15:formulaRef>
                          <c15:sqref>'G2&amp;G3_BowWave_2025MAR'!$D$11:$IY$11</c15:sqref>
                        </c15:formulaRef>
                      </c:ext>
                    </c:extLst>
                    <c:strCache>
                      <c:ptCount val="26"/>
                      <c:pt idx="0">
                        <c:v>Mar-24</c:v>
                      </c:pt>
                      <c:pt idx="1">
                        <c:v>Apr-24</c:v>
                      </c:pt>
                      <c:pt idx="2">
                        <c:v>May-24</c:v>
                      </c:pt>
                      <c:pt idx="3">
                        <c:v>Jun-24</c:v>
                      </c:pt>
                      <c:pt idx="4">
                        <c:v>Jul-24</c:v>
                      </c:pt>
                      <c:pt idx="5">
                        <c:v>Aug-24</c:v>
                      </c:pt>
                      <c:pt idx="6">
                        <c:v>Sep-24</c:v>
                      </c:pt>
                      <c:pt idx="7">
                        <c:v>Oct-24</c:v>
                      </c:pt>
                      <c:pt idx="8">
                        <c:v>Nov-24</c:v>
                      </c:pt>
                      <c:pt idx="9">
                        <c:v>Dec-24</c:v>
                      </c:pt>
                      <c:pt idx="10">
                        <c:v>Jan-25</c:v>
                      </c:pt>
                      <c:pt idx="11">
                        <c:v>Feb-25</c:v>
                      </c:pt>
                      <c:pt idx="12">
                        <c:v>Mar-25</c:v>
                      </c:pt>
                      <c:pt idx="13">
                        <c:v>Apr-25</c:v>
                      </c:pt>
                      <c:pt idx="14">
                        <c:v>May-25</c:v>
                      </c:pt>
                      <c:pt idx="15">
                        <c:v>Jun-25</c:v>
                      </c:pt>
                      <c:pt idx="16">
                        <c:v>Jul-25</c:v>
                      </c:pt>
                      <c:pt idx="17">
                        <c:v>Aug-25</c:v>
                      </c:pt>
                      <c:pt idx="18">
                        <c:v>Sep-25</c:v>
                      </c:pt>
                      <c:pt idx="19">
                        <c:v>Oct-25</c:v>
                      </c:pt>
                      <c:pt idx="20">
                        <c:v>Nov-25</c:v>
                      </c:pt>
                      <c:pt idx="21">
                        <c:v>Dec-25</c:v>
                      </c:pt>
                      <c:pt idx="22">
                        <c:v>Jan-26</c:v>
                      </c:pt>
                      <c:pt idx="23">
                        <c:v>Feb-26</c:v>
                      </c:pt>
                      <c:pt idx="24">
                        <c:v>Mar-26</c:v>
                      </c:pt>
                      <c:pt idx="25">
                        <c:v>Y-axis (max)</c:v>
                      </c:pt>
                    </c:strCache>
                  </c:strRef>
                </c:cat>
                <c:val>
                  <c:numRef>
                    <c:extLst xmlns:c15="http://schemas.microsoft.com/office/drawing/2012/chart">
                      <c:ext xmlns:c15="http://schemas.microsoft.com/office/drawing/2012/chart" uri="{02D57815-91ED-43cb-92C2-25804820EDAC}">
                        <c15:formulaRef>
                          <c15:sqref>'G2&amp;G3_BowWave_2025MAR'!$D$29:$IX$29</c15:sqref>
                        </c15:formulaRef>
                      </c:ext>
                    </c:extLst>
                    <c:numCache>
                      <c:formatCode>General</c:formatCode>
                      <c:ptCount val="25"/>
                      <c:pt idx="7">
                        <c:v>0.3</c:v>
                      </c:pt>
                      <c:pt idx="8">
                        <c:v>0.42</c:v>
                      </c:pt>
                      <c:pt idx="9">
                        <c:v>0.35</c:v>
                      </c:pt>
                      <c:pt idx="10">
                        <c:v>0.47</c:v>
                      </c:pt>
                      <c:pt idx="11">
                        <c:v>0.57999999999999996</c:v>
                      </c:pt>
                      <c:pt idx="12">
                        <c:v>0.56999999999999995</c:v>
                      </c:pt>
                    </c:numCache>
                  </c:numRef>
                </c:val>
                <c:smooth val="0"/>
                <c:extLst xmlns:c15="http://schemas.microsoft.com/office/drawing/2012/chart">
                  <c:ext xmlns:c16="http://schemas.microsoft.com/office/drawing/2014/chart" uri="{C3380CC4-5D6E-409C-BE32-E72D297353CC}">
                    <c16:uniqueId val="{0000002C-34E7-413D-A3D6-979D96EBF6BB}"/>
                  </c:ext>
                </c:extLst>
              </c15:ser>
            </c15:filteredLineSeries>
            <c15:filteredLineSeries>
              <c15:ser>
                <c:idx val="25"/>
                <c:order val="19"/>
                <c:tx>
                  <c:strRef>
                    <c:extLst xmlns:c15="http://schemas.microsoft.com/office/drawing/2012/chart">
                      <c:ext xmlns:c15="http://schemas.microsoft.com/office/drawing/2012/chart" uri="{02D57815-91ED-43cb-92C2-25804820EDAC}">
                        <c15:formulaRef>
                          <c15:sqref>'G2&amp;G3_BowWave_2025MAR'!$C$32</c15:sqref>
                        </c15:formulaRef>
                      </c:ext>
                    </c:extLst>
                    <c:strCache>
                      <c:ptCount val="1"/>
                      <c:pt idx="0">
                        <c:v>Baselined to Start - Cumulative</c:v>
                      </c:pt>
                    </c:strCache>
                  </c:strRef>
                </c:tx>
                <c:spPr>
                  <a:ln w="28575" cap="rnd">
                    <a:solidFill>
                      <a:schemeClr val="accent2">
                        <a:lumMod val="60000"/>
                        <a:lumOff val="40000"/>
                      </a:schemeClr>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cat>
                  <c:strRef>
                    <c:extLst xmlns:c15="http://schemas.microsoft.com/office/drawing/2012/chart">
                      <c:ext xmlns:c15="http://schemas.microsoft.com/office/drawing/2012/chart" uri="{02D57815-91ED-43cb-92C2-25804820EDAC}">
                        <c15:formulaRef>
                          <c15:sqref>'G2&amp;G3_BowWave_2025MAR'!$D$11:$IY$11</c15:sqref>
                        </c15:formulaRef>
                      </c:ext>
                    </c:extLst>
                    <c:strCache>
                      <c:ptCount val="26"/>
                      <c:pt idx="0">
                        <c:v>Mar-24</c:v>
                      </c:pt>
                      <c:pt idx="1">
                        <c:v>Apr-24</c:v>
                      </c:pt>
                      <c:pt idx="2">
                        <c:v>May-24</c:v>
                      </c:pt>
                      <c:pt idx="3">
                        <c:v>Jun-24</c:v>
                      </c:pt>
                      <c:pt idx="4">
                        <c:v>Jul-24</c:v>
                      </c:pt>
                      <c:pt idx="5">
                        <c:v>Aug-24</c:v>
                      </c:pt>
                      <c:pt idx="6">
                        <c:v>Sep-24</c:v>
                      </c:pt>
                      <c:pt idx="7">
                        <c:v>Oct-24</c:v>
                      </c:pt>
                      <c:pt idx="8">
                        <c:v>Nov-24</c:v>
                      </c:pt>
                      <c:pt idx="9">
                        <c:v>Dec-24</c:v>
                      </c:pt>
                      <c:pt idx="10">
                        <c:v>Jan-25</c:v>
                      </c:pt>
                      <c:pt idx="11">
                        <c:v>Feb-25</c:v>
                      </c:pt>
                      <c:pt idx="12">
                        <c:v>Mar-25</c:v>
                      </c:pt>
                      <c:pt idx="13">
                        <c:v>Apr-25</c:v>
                      </c:pt>
                      <c:pt idx="14">
                        <c:v>May-25</c:v>
                      </c:pt>
                      <c:pt idx="15">
                        <c:v>Jun-25</c:v>
                      </c:pt>
                      <c:pt idx="16">
                        <c:v>Jul-25</c:v>
                      </c:pt>
                      <c:pt idx="17">
                        <c:v>Aug-25</c:v>
                      </c:pt>
                      <c:pt idx="18">
                        <c:v>Sep-25</c:v>
                      </c:pt>
                      <c:pt idx="19">
                        <c:v>Oct-25</c:v>
                      </c:pt>
                      <c:pt idx="20">
                        <c:v>Nov-25</c:v>
                      </c:pt>
                      <c:pt idx="21">
                        <c:v>Dec-25</c:v>
                      </c:pt>
                      <c:pt idx="22">
                        <c:v>Jan-26</c:v>
                      </c:pt>
                      <c:pt idx="23">
                        <c:v>Feb-26</c:v>
                      </c:pt>
                      <c:pt idx="24">
                        <c:v>Mar-26</c:v>
                      </c:pt>
                      <c:pt idx="25">
                        <c:v>Y-axis (max)</c:v>
                      </c:pt>
                    </c:strCache>
                  </c:strRef>
                </c:cat>
                <c:val>
                  <c:numRef>
                    <c:extLst xmlns:c15="http://schemas.microsoft.com/office/drawing/2012/chart">
                      <c:ext xmlns:c15="http://schemas.microsoft.com/office/drawing/2012/chart" uri="{02D57815-91ED-43cb-92C2-25804820EDAC}">
                        <c15:formulaRef>
                          <c15:sqref>'G2&amp;G3_BowWave_2025MAR'!$D$32:$DD$32</c15:sqref>
                        </c15:formulaRef>
                      </c:ext>
                    </c:extLst>
                    <c:numCache>
                      <c:formatCode>0</c:formatCode>
                      <c:ptCount val="25"/>
                      <c:pt idx="0">
                        <c:v>1838</c:v>
                      </c:pt>
                      <c:pt idx="1">
                        <c:v>1885</c:v>
                      </c:pt>
                      <c:pt idx="2">
                        <c:v>1931</c:v>
                      </c:pt>
                      <c:pt idx="3">
                        <c:v>2021</c:v>
                      </c:pt>
                      <c:pt idx="4">
                        <c:v>2101</c:v>
                      </c:pt>
                      <c:pt idx="5">
                        <c:v>2189</c:v>
                      </c:pt>
                      <c:pt idx="6">
                        <c:v>2227</c:v>
                      </c:pt>
                      <c:pt idx="7">
                        <c:v>2312</c:v>
                      </c:pt>
                      <c:pt idx="8">
                        <c:v>2365</c:v>
                      </c:pt>
                      <c:pt idx="9">
                        <c:v>2418</c:v>
                      </c:pt>
                      <c:pt idx="10">
                        <c:v>2452</c:v>
                      </c:pt>
                      <c:pt idx="11">
                        <c:v>2462</c:v>
                      </c:pt>
                      <c:pt idx="12">
                        <c:v>2494</c:v>
                      </c:pt>
                      <c:pt idx="13">
                        <c:v>2527</c:v>
                      </c:pt>
                      <c:pt idx="14">
                        <c:v>2538</c:v>
                      </c:pt>
                      <c:pt idx="15">
                        <c:v>2545</c:v>
                      </c:pt>
                      <c:pt idx="16">
                        <c:v>2552</c:v>
                      </c:pt>
                      <c:pt idx="17">
                        <c:v>2553</c:v>
                      </c:pt>
                      <c:pt idx="18">
                        <c:v>2554</c:v>
                      </c:pt>
                      <c:pt idx="19">
                        <c:v>2555</c:v>
                      </c:pt>
                      <c:pt idx="20">
                        <c:v>2560</c:v>
                      </c:pt>
                      <c:pt idx="21">
                        <c:v>2565</c:v>
                      </c:pt>
                      <c:pt idx="22">
                        <c:v>2566</c:v>
                      </c:pt>
                      <c:pt idx="23">
                        <c:v>2567</c:v>
                      </c:pt>
                      <c:pt idx="24">
                        <c:v>2567</c:v>
                      </c:pt>
                    </c:numCache>
                  </c:numRef>
                </c:val>
                <c:smooth val="0"/>
                <c:extLst xmlns:c15="http://schemas.microsoft.com/office/drawing/2012/chart">
                  <c:ext xmlns:c16="http://schemas.microsoft.com/office/drawing/2014/chart" uri="{C3380CC4-5D6E-409C-BE32-E72D297353CC}">
                    <c16:uniqueId val="{0000002F-34E7-413D-A3D6-979D96EBF6BB}"/>
                  </c:ext>
                </c:extLst>
              </c15:ser>
            </c15:filteredLineSeries>
            <c15:filteredLineSeries>
              <c15:ser>
                <c:idx val="26"/>
                <c:order val="20"/>
                <c:tx>
                  <c:strRef>
                    <c:extLst xmlns:c15="http://schemas.microsoft.com/office/drawing/2012/chart">
                      <c:ext xmlns:c15="http://schemas.microsoft.com/office/drawing/2012/chart" uri="{02D57815-91ED-43cb-92C2-25804820EDAC}">
                        <c15:formulaRef>
                          <c15:sqref>'G2&amp;G3_BowWave_2025MAR'!$C$33</c15:sqref>
                        </c15:formulaRef>
                      </c:ext>
                    </c:extLst>
                    <c:strCache>
                      <c:ptCount val="1"/>
                      <c:pt idx="0">
                        <c:v>Scheduled to Start - Cumulative</c:v>
                      </c:pt>
                    </c:strCache>
                  </c:strRef>
                </c:tx>
                <c:spPr>
                  <a:ln w="28575" cap="rnd">
                    <a:solidFill>
                      <a:schemeClr val="accent3">
                        <a:lumMod val="60000"/>
                        <a:lumOff val="40000"/>
                      </a:schemeClr>
                    </a:solid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cat>
                  <c:strRef>
                    <c:extLst xmlns:c15="http://schemas.microsoft.com/office/drawing/2012/chart">
                      <c:ext xmlns:c15="http://schemas.microsoft.com/office/drawing/2012/chart" uri="{02D57815-91ED-43cb-92C2-25804820EDAC}">
                        <c15:formulaRef>
                          <c15:sqref>'G2&amp;G3_BowWave_2025MAR'!$D$11:$IY$11</c15:sqref>
                        </c15:formulaRef>
                      </c:ext>
                    </c:extLst>
                    <c:strCache>
                      <c:ptCount val="26"/>
                      <c:pt idx="0">
                        <c:v>Mar-24</c:v>
                      </c:pt>
                      <c:pt idx="1">
                        <c:v>Apr-24</c:v>
                      </c:pt>
                      <c:pt idx="2">
                        <c:v>May-24</c:v>
                      </c:pt>
                      <c:pt idx="3">
                        <c:v>Jun-24</c:v>
                      </c:pt>
                      <c:pt idx="4">
                        <c:v>Jul-24</c:v>
                      </c:pt>
                      <c:pt idx="5">
                        <c:v>Aug-24</c:v>
                      </c:pt>
                      <c:pt idx="6">
                        <c:v>Sep-24</c:v>
                      </c:pt>
                      <c:pt idx="7">
                        <c:v>Oct-24</c:v>
                      </c:pt>
                      <c:pt idx="8">
                        <c:v>Nov-24</c:v>
                      </c:pt>
                      <c:pt idx="9">
                        <c:v>Dec-24</c:v>
                      </c:pt>
                      <c:pt idx="10">
                        <c:v>Jan-25</c:v>
                      </c:pt>
                      <c:pt idx="11">
                        <c:v>Feb-25</c:v>
                      </c:pt>
                      <c:pt idx="12">
                        <c:v>Mar-25</c:v>
                      </c:pt>
                      <c:pt idx="13">
                        <c:v>Apr-25</c:v>
                      </c:pt>
                      <c:pt idx="14">
                        <c:v>May-25</c:v>
                      </c:pt>
                      <c:pt idx="15">
                        <c:v>Jun-25</c:v>
                      </c:pt>
                      <c:pt idx="16">
                        <c:v>Jul-25</c:v>
                      </c:pt>
                      <c:pt idx="17">
                        <c:v>Aug-25</c:v>
                      </c:pt>
                      <c:pt idx="18">
                        <c:v>Sep-25</c:v>
                      </c:pt>
                      <c:pt idx="19">
                        <c:v>Oct-25</c:v>
                      </c:pt>
                      <c:pt idx="20">
                        <c:v>Nov-25</c:v>
                      </c:pt>
                      <c:pt idx="21">
                        <c:v>Dec-25</c:v>
                      </c:pt>
                      <c:pt idx="22">
                        <c:v>Jan-26</c:v>
                      </c:pt>
                      <c:pt idx="23">
                        <c:v>Feb-26</c:v>
                      </c:pt>
                      <c:pt idx="24">
                        <c:v>Mar-26</c:v>
                      </c:pt>
                      <c:pt idx="25">
                        <c:v>Y-axis (max)</c:v>
                      </c:pt>
                    </c:strCache>
                  </c:strRef>
                </c:cat>
                <c:val>
                  <c:numRef>
                    <c:extLst xmlns:c15="http://schemas.microsoft.com/office/drawing/2012/chart">
                      <c:ext xmlns:c15="http://schemas.microsoft.com/office/drawing/2012/chart" uri="{02D57815-91ED-43cb-92C2-25804820EDAC}">
                        <c15:formulaRef>
                          <c15:sqref>'G2&amp;G3_BowWave_2025MAR'!$D$33:$DD$33</c15:sqref>
                        </c15:formulaRef>
                      </c:ext>
                    </c:extLst>
                    <c:numCache>
                      <c:formatCode>General</c:formatCode>
                      <c:ptCount val="25"/>
                      <c:pt idx="0">
                        <c:v>1712</c:v>
                      </c:pt>
                      <c:pt idx="1">
                        <c:v>1771</c:v>
                      </c:pt>
                      <c:pt idx="2">
                        <c:v>1811</c:v>
                      </c:pt>
                      <c:pt idx="3">
                        <c:v>1860</c:v>
                      </c:pt>
                      <c:pt idx="4">
                        <c:v>1912</c:v>
                      </c:pt>
                      <c:pt idx="5">
                        <c:v>1951</c:v>
                      </c:pt>
                      <c:pt idx="6">
                        <c:v>1973</c:v>
                      </c:pt>
                      <c:pt idx="7">
                        <c:v>2015</c:v>
                      </c:pt>
                      <c:pt idx="8">
                        <c:v>2048</c:v>
                      </c:pt>
                      <c:pt idx="9">
                        <c:v>2104</c:v>
                      </c:pt>
                      <c:pt idx="10">
                        <c:v>2146</c:v>
                      </c:pt>
                      <c:pt idx="11">
                        <c:v>2182</c:v>
                      </c:pt>
                      <c:pt idx="12">
                        <c:v>2238</c:v>
                      </c:pt>
                      <c:pt idx="13">
                        <c:v>2320</c:v>
                      </c:pt>
                      <c:pt idx="14">
                        <c:v>2390</c:v>
                      </c:pt>
                      <c:pt idx="15">
                        <c:v>2445</c:v>
                      </c:pt>
                      <c:pt idx="16">
                        <c:v>2492</c:v>
                      </c:pt>
                      <c:pt idx="17">
                        <c:v>2516</c:v>
                      </c:pt>
                      <c:pt idx="18">
                        <c:v>2528</c:v>
                      </c:pt>
                      <c:pt idx="19">
                        <c:v>2554</c:v>
                      </c:pt>
                      <c:pt idx="20">
                        <c:v>2573</c:v>
                      </c:pt>
                      <c:pt idx="21">
                        <c:v>2592</c:v>
                      </c:pt>
                      <c:pt idx="22">
                        <c:v>2617</c:v>
                      </c:pt>
                      <c:pt idx="23">
                        <c:v>2625</c:v>
                      </c:pt>
                      <c:pt idx="24">
                        <c:v>2631</c:v>
                      </c:pt>
                    </c:numCache>
                  </c:numRef>
                </c:val>
                <c:smooth val="0"/>
                <c:extLst xmlns:c15="http://schemas.microsoft.com/office/drawing/2012/chart">
                  <c:ext xmlns:c16="http://schemas.microsoft.com/office/drawing/2014/chart" uri="{C3380CC4-5D6E-409C-BE32-E72D297353CC}">
                    <c16:uniqueId val="{00000030-34E7-413D-A3D6-979D96EBF6BB}"/>
                  </c:ext>
                </c:extLst>
              </c15:ser>
            </c15:filteredLineSeries>
            <c15:filteredLineSeries>
              <c15:ser>
                <c:idx val="27"/>
                <c:order val="21"/>
                <c:tx>
                  <c:strRef>
                    <c:extLst xmlns:c15="http://schemas.microsoft.com/office/drawing/2012/chart">
                      <c:ext xmlns:c15="http://schemas.microsoft.com/office/drawing/2012/chart" uri="{02D57815-91ED-43cb-92C2-25804820EDAC}">
                        <c15:formulaRef>
                          <c15:sqref>'G2&amp;G3_BowWave_2025MAR'!$C$34</c15:sqref>
                        </c15:formulaRef>
                      </c:ext>
                    </c:extLst>
                    <c:strCache>
                      <c:ptCount val="1"/>
                      <c:pt idx="0">
                        <c:v>Actual Starts - Cumulative</c:v>
                      </c:pt>
                    </c:strCache>
                  </c:strRef>
                </c:tx>
                <c:spPr>
                  <a:ln w="28575" cap="rnd">
                    <a:solidFill>
                      <a:schemeClr val="accent4">
                        <a:lumMod val="60000"/>
                        <a:lumOff val="40000"/>
                      </a:schemeClr>
                    </a:solid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cat>
                  <c:strRef>
                    <c:extLst xmlns:c15="http://schemas.microsoft.com/office/drawing/2012/chart">
                      <c:ext xmlns:c15="http://schemas.microsoft.com/office/drawing/2012/chart" uri="{02D57815-91ED-43cb-92C2-25804820EDAC}">
                        <c15:formulaRef>
                          <c15:sqref>'G2&amp;G3_BowWave_2025MAR'!$D$11:$IY$11</c15:sqref>
                        </c15:formulaRef>
                      </c:ext>
                    </c:extLst>
                    <c:strCache>
                      <c:ptCount val="26"/>
                      <c:pt idx="0">
                        <c:v>Mar-24</c:v>
                      </c:pt>
                      <c:pt idx="1">
                        <c:v>Apr-24</c:v>
                      </c:pt>
                      <c:pt idx="2">
                        <c:v>May-24</c:v>
                      </c:pt>
                      <c:pt idx="3">
                        <c:v>Jun-24</c:v>
                      </c:pt>
                      <c:pt idx="4">
                        <c:v>Jul-24</c:v>
                      </c:pt>
                      <c:pt idx="5">
                        <c:v>Aug-24</c:v>
                      </c:pt>
                      <c:pt idx="6">
                        <c:v>Sep-24</c:v>
                      </c:pt>
                      <c:pt idx="7">
                        <c:v>Oct-24</c:v>
                      </c:pt>
                      <c:pt idx="8">
                        <c:v>Nov-24</c:v>
                      </c:pt>
                      <c:pt idx="9">
                        <c:v>Dec-24</c:v>
                      </c:pt>
                      <c:pt idx="10">
                        <c:v>Jan-25</c:v>
                      </c:pt>
                      <c:pt idx="11">
                        <c:v>Feb-25</c:v>
                      </c:pt>
                      <c:pt idx="12">
                        <c:v>Mar-25</c:v>
                      </c:pt>
                      <c:pt idx="13">
                        <c:v>Apr-25</c:v>
                      </c:pt>
                      <c:pt idx="14">
                        <c:v>May-25</c:v>
                      </c:pt>
                      <c:pt idx="15">
                        <c:v>Jun-25</c:v>
                      </c:pt>
                      <c:pt idx="16">
                        <c:v>Jul-25</c:v>
                      </c:pt>
                      <c:pt idx="17">
                        <c:v>Aug-25</c:v>
                      </c:pt>
                      <c:pt idx="18">
                        <c:v>Sep-25</c:v>
                      </c:pt>
                      <c:pt idx="19">
                        <c:v>Oct-25</c:v>
                      </c:pt>
                      <c:pt idx="20">
                        <c:v>Nov-25</c:v>
                      </c:pt>
                      <c:pt idx="21">
                        <c:v>Dec-25</c:v>
                      </c:pt>
                      <c:pt idx="22">
                        <c:v>Jan-26</c:v>
                      </c:pt>
                      <c:pt idx="23">
                        <c:v>Feb-26</c:v>
                      </c:pt>
                      <c:pt idx="24">
                        <c:v>Mar-26</c:v>
                      </c:pt>
                      <c:pt idx="25">
                        <c:v>Y-axis (max)</c:v>
                      </c:pt>
                    </c:strCache>
                  </c:strRef>
                </c:cat>
                <c:val>
                  <c:numRef>
                    <c:extLst xmlns:c15="http://schemas.microsoft.com/office/drawing/2012/chart">
                      <c:ext xmlns:c15="http://schemas.microsoft.com/office/drawing/2012/chart" uri="{02D57815-91ED-43cb-92C2-25804820EDAC}">
                        <c15:formulaRef>
                          <c15:sqref>'G2&amp;G3_BowWave_2025MAR'!$D$34:$DD$34</c15:sqref>
                        </c15:formulaRef>
                      </c:ext>
                    </c:extLst>
                    <c:numCache>
                      <c:formatCode>General</c:formatCode>
                      <c:ptCount val="25"/>
                      <c:pt idx="0">
                        <c:v>1712</c:v>
                      </c:pt>
                      <c:pt idx="1">
                        <c:v>1771</c:v>
                      </c:pt>
                      <c:pt idx="2">
                        <c:v>1811</c:v>
                      </c:pt>
                      <c:pt idx="3">
                        <c:v>1860</c:v>
                      </c:pt>
                      <c:pt idx="4">
                        <c:v>1912</c:v>
                      </c:pt>
                      <c:pt idx="5">
                        <c:v>1951</c:v>
                      </c:pt>
                      <c:pt idx="6">
                        <c:v>1973</c:v>
                      </c:pt>
                      <c:pt idx="7">
                        <c:v>2015</c:v>
                      </c:pt>
                      <c:pt idx="8">
                        <c:v>2048</c:v>
                      </c:pt>
                      <c:pt idx="9">
                        <c:v>2104</c:v>
                      </c:pt>
                      <c:pt idx="10">
                        <c:v>2146</c:v>
                      </c:pt>
                      <c:pt idx="11">
                        <c:v>2182</c:v>
                      </c:pt>
                      <c:pt idx="12">
                        <c:v>2224</c:v>
                      </c:pt>
                      <c:pt idx="13">
                        <c:v>2224</c:v>
                      </c:pt>
                      <c:pt idx="14">
                        <c:v>2224</c:v>
                      </c:pt>
                      <c:pt idx="15">
                        <c:v>2224</c:v>
                      </c:pt>
                      <c:pt idx="16">
                        <c:v>2224</c:v>
                      </c:pt>
                      <c:pt idx="17">
                        <c:v>2224</c:v>
                      </c:pt>
                      <c:pt idx="18">
                        <c:v>2224</c:v>
                      </c:pt>
                      <c:pt idx="19">
                        <c:v>2224</c:v>
                      </c:pt>
                      <c:pt idx="20">
                        <c:v>2224</c:v>
                      </c:pt>
                      <c:pt idx="21">
                        <c:v>2224</c:v>
                      </c:pt>
                      <c:pt idx="22">
                        <c:v>2224</c:v>
                      </c:pt>
                      <c:pt idx="23">
                        <c:v>2224</c:v>
                      </c:pt>
                      <c:pt idx="24">
                        <c:v>2224</c:v>
                      </c:pt>
                    </c:numCache>
                  </c:numRef>
                </c:val>
                <c:smooth val="0"/>
                <c:extLst xmlns:c15="http://schemas.microsoft.com/office/drawing/2012/chart">
                  <c:ext xmlns:c16="http://schemas.microsoft.com/office/drawing/2014/chart" uri="{C3380CC4-5D6E-409C-BE32-E72D297353CC}">
                    <c16:uniqueId val="{00000031-34E7-413D-A3D6-979D96EBF6BB}"/>
                  </c:ext>
                </c:extLst>
              </c15:ser>
            </c15:filteredLineSeries>
            <c15:filteredLineSeries>
              <c15:ser>
                <c:idx val="28"/>
                <c:order val="22"/>
                <c:tx>
                  <c:strRef>
                    <c:extLst xmlns:c15="http://schemas.microsoft.com/office/drawing/2012/chart">
                      <c:ext xmlns:c15="http://schemas.microsoft.com/office/drawing/2012/chart" uri="{02D57815-91ED-43cb-92C2-25804820EDAC}">
                        <c15:formulaRef>
                          <c15:sqref>'G2&amp;G3_BowWave_2025MAR'!$C$35</c15:sqref>
                        </c15:formulaRef>
                      </c:ext>
                    </c:extLst>
                    <c:strCache>
                      <c:ptCount val="1"/>
                      <c:pt idx="0">
                        <c:v>Baselined to Finish  - Cumulative</c:v>
                      </c:pt>
                    </c:strCache>
                  </c:strRef>
                </c:tx>
                <c:spPr>
                  <a:ln w="28575" cap="rnd">
                    <a:solidFill>
                      <a:schemeClr val="accent5">
                        <a:lumMod val="60000"/>
                        <a:lumOff val="40000"/>
                      </a:schemeClr>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cat>
                  <c:strRef>
                    <c:extLst xmlns:c15="http://schemas.microsoft.com/office/drawing/2012/chart">
                      <c:ext xmlns:c15="http://schemas.microsoft.com/office/drawing/2012/chart" uri="{02D57815-91ED-43cb-92C2-25804820EDAC}">
                        <c15:formulaRef>
                          <c15:sqref>'G2&amp;G3_BowWave_2025MAR'!$D$11:$IY$11</c15:sqref>
                        </c15:formulaRef>
                      </c:ext>
                    </c:extLst>
                    <c:strCache>
                      <c:ptCount val="26"/>
                      <c:pt idx="0">
                        <c:v>Mar-24</c:v>
                      </c:pt>
                      <c:pt idx="1">
                        <c:v>Apr-24</c:v>
                      </c:pt>
                      <c:pt idx="2">
                        <c:v>May-24</c:v>
                      </c:pt>
                      <c:pt idx="3">
                        <c:v>Jun-24</c:v>
                      </c:pt>
                      <c:pt idx="4">
                        <c:v>Jul-24</c:v>
                      </c:pt>
                      <c:pt idx="5">
                        <c:v>Aug-24</c:v>
                      </c:pt>
                      <c:pt idx="6">
                        <c:v>Sep-24</c:v>
                      </c:pt>
                      <c:pt idx="7">
                        <c:v>Oct-24</c:v>
                      </c:pt>
                      <c:pt idx="8">
                        <c:v>Nov-24</c:v>
                      </c:pt>
                      <c:pt idx="9">
                        <c:v>Dec-24</c:v>
                      </c:pt>
                      <c:pt idx="10">
                        <c:v>Jan-25</c:v>
                      </c:pt>
                      <c:pt idx="11">
                        <c:v>Feb-25</c:v>
                      </c:pt>
                      <c:pt idx="12">
                        <c:v>Mar-25</c:v>
                      </c:pt>
                      <c:pt idx="13">
                        <c:v>Apr-25</c:v>
                      </c:pt>
                      <c:pt idx="14">
                        <c:v>May-25</c:v>
                      </c:pt>
                      <c:pt idx="15">
                        <c:v>Jun-25</c:v>
                      </c:pt>
                      <c:pt idx="16">
                        <c:v>Jul-25</c:v>
                      </c:pt>
                      <c:pt idx="17">
                        <c:v>Aug-25</c:v>
                      </c:pt>
                      <c:pt idx="18">
                        <c:v>Sep-25</c:v>
                      </c:pt>
                      <c:pt idx="19">
                        <c:v>Oct-25</c:v>
                      </c:pt>
                      <c:pt idx="20">
                        <c:v>Nov-25</c:v>
                      </c:pt>
                      <c:pt idx="21">
                        <c:v>Dec-25</c:v>
                      </c:pt>
                      <c:pt idx="22">
                        <c:v>Jan-26</c:v>
                      </c:pt>
                      <c:pt idx="23">
                        <c:v>Feb-26</c:v>
                      </c:pt>
                      <c:pt idx="24">
                        <c:v>Mar-26</c:v>
                      </c:pt>
                      <c:pt idx="25">
                        <c:v>Y-axis (max)</c:v>
                      </c:pt>
                    </c:strCache>
                  </c:strRef>
                </c:cat>
                <c:val>
                  <c:numRef>
                    <c:extLst xmlns:c15="http://schemas.microsoft.com/office/drawing/2012/chart">
                      <c:ext xmlns:c15="http://schemas.microsoft.com/office/drawing/2012/chart" uri="{02D57815-91ED-43cb-92C2-25804820EDAC}">
                        <c15:formulaRef>
                          <c15:sqref>'G2&amp;G3_BowWave_2025MAR'!$D$35:$DD$35</c15:sqref>
                        </c15:formulaRef>
                      </c:ext>
                    </c:extLst>
                    <c:numCache>
                      <c:formatCode>General</c:formatCode>
                      <c:ptCount val="25"/>
                      <c:pt idx="0">
                        <c:v>1788</c:v>
                      </c:pt>
                      <c:pt idx="1">
                        <c:v>1837</c:v>
                      </c:pt>
                      <c:pt idx="2">
                        <c:v>1893</c:v>
                      </c:pt>
                      <c:pt idx="3">
                        <c:v>1974</c:v>
                      </c:pt>
                      <c:pt idx="4">
                        <c:v>2052</c:v>
                      </c:pt>
                      <c:pt idx="5">
                        <c:v>2158</c:v>
                      </c:pt>
                      <c:pt idx="6">
                        <c:v>2216</c:v>
                      </c:pt>
                      <c:pt idx="7">
                        <c:v>2306</c:v>
                      </c:pt>
                      <c:pt idx="8">
                        <c:v>2353</c:v>
                      </c:pt>
                      <c:pt idx="9">
                        <c:v>2403</c:v>
                      </c:pt>
                      <c:pt idx="10">
                        <c:v>2440</c:v>
                      </c:pt>
                      <c:pt idx="11">
                        <c:v>2456</c:v>
                      </c:pt>
                      <c:pt idx="12">
                        <c:v>2487</c:v>
                      </c:pt>
                      <c:pt idx="13">
                        <c:v>2518</c:v>
                      </c:pt>
                      <c:pt idx="14">
                        <c:v>2534</c:v>
                      </c:pt>
                      <c:pt idx="15">
                        <c:v>2542</c:v>
                      </c:pt>
                      <c:pt idx="16">
                        <c:v>2544</c:v>
                      </c:pt>
                      <c:pt idx="17">
                        <c:v>2547</c:v>
                      </c:pt>
                      <c:pt idx="18">
                        <c:v>2553</c:v>
                      </c:pt>
                      <c:pt idx="19">
                        <c:v>2555</c:v>
                      </c:pt>
                      <c:pt idx="20">
                        <c:v>2557</c:v>
                      </c:pt>
                      <c:pt idx="21">
                        <c:v>2563</c:v>
                      </c:pt>
                      <c:pt idx="22">
                        <c:v>2566</c:v>
                      </c:pt>
                      <c:pt idx="23">
                        <c:v>2567</c:v>
                      </c:pt>
                      <c:pt idx="24">
                        <c:v>2567</c:v>
                      </c:pt>
                    </c:numCache>
                  </c:numRef>
                </c:val>
                <c:smooth val="0"/>
                <c:extLst xmlns:c15="http://schemas.microsoft.com/office/drawing/2012/chart">
                  <c:ext xmlns:c16="http://schemas.microsoft.com/office/drawing/2014/chart" uri="{C3380CC4-5D6E-409C-BE32-E72D297353CC}">
                    <c16:uniqueId val="{00000032-34E7-413D-A3D6-979D96EBF6BB}"/>
                  </c:ext>
                </c:extLst>
              </c15:ser>
            </c15:filteredLineSeries>
            <c15:filteredLineSeries>
              <c15:ser>
                <c:idx val="29"/>
                <c:order val="23"/>
                <c:tx>
                  <c:strRef>
                    <c:extLst xmlns:c15="http://schemas.microsoft.com/office/drawing/2012/chart">
                      <c:ext xmlns:c15="http://schemas.microsoft.com/office/drawing/2012/chart" uri="{02D57815-91ED-43cb-92C2-25804820EDAC}">
                        <c15:formulaRef>
                          <c15:sqref>'G2&amp;G3_BowWave_2025MAR'!$C$36</c15:sqref>
                        </c15:formulaRef>
                      </c:ext>
                    </c:extLst>
                    <c:strCache>
                      <c:ptCount val="1"/>
                      <c:pt idx="0">
                        <c:v>Scheduled to Finish  - Cumulative</c:v>
                      </c:pt>
                    </c:strCache>
                  </c:strRef>
                </c:tx>
                <c:spPr>
                  <a:ln w="28575" cap="rnd">
                    <a:solidFill>
                      <a:schemeClr val="accent6">
                        <a:lumMod val="60000"/>
                        <a:lumOff val="40000"/>
                      </a:schemeClr>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cat>
                  <c:strRef>
                    <c:extLst xmlns:c15="http://schemas.microsoft.com/office/drawing/2012/chart">
                      <c:ext xmlns:c15="http://schemas.microsoft.com/office/drawing/2012/chart" uri="{02D57815-91ED-43cb-92C2-25804820EDAC}">
                        <c15:formulaRef>
                          <c15:sqref>'G2&amp;G3_BowWave_2025MAR'!$D$11:$IY$11</c15:sqref>
                        </c15:formulaRef>
                      </c:ext>
                    </c:extLst>
                    <c:strCache>
                      <c:ptCount val="26"/>
                      <c:pt idx="0">
                        <c:v>Mar-24</c:v>
                      </c:pt>
                      <c:pt idx="1">
                        <c:v>Apr-24</c:v>
                      </c:pt>
                      <c:pt idx="2">
                        <c:v>May-24</c:v>
                      </c:pt>
                      <c:pt idx="3">
                        <c:v>Jun-24</c:v>
                      </c:pt>
                      <c:pt idx="4">
                        <c:v>Jul-24</c:v>
                      </c:pt>
                      <c:pt idx="5">
                        <c:v>Aug-24</c:v>
                      </c:pt>
                      <c:pt idx="6">
                        <c:v>Sep-24</c:v>
                      </c:pt>
                      <c:pt idx="7">
                        <c:v>Oct-24</c:v>
                      </c:pt>
                      <c:pt idx="8">
                        <c:v>Nov-24</c:v>
                      </c:pt>
                      <c:pt idx="9">
                        <c:v>Dec-24</c:v>
                      </c:pt>
                      <c:pt idx="10">
                        <c:v>Jan-25</c:v>
                      </c:pt>
                      <c:pt idx="11">
                        <c:v>Feb-25</c:v>
                      </c:pt>
                      <c:pt idx="12">
                        <c:v>Mar-25</c:v>
                      </c:pt>
                      <c:pt idx="13">
                        <c:v>Apr-25</c:v>
                      </c:pt>
                      <c:pt idx="14">
                        <c:v>May-25</c:v>
                      </c:pt>
                      <c:pt idx="15">
                        <c:v>Jun-25</c:v>
                      </c:pt>
                      <c:pt idx="16">
                        <c:v>Jul-25</c:v>
                      </c:pt>
                      <c:pt idx="17">
                        <c:v>Aug-25</c:v>
                      </c:pt>
                      <c:pt idx="18">
                        <c:v>Sep-25</c:v>
                      </c:pt>
                      <c:pt idx="19">
                        <c:v>Oct-25</c:v>
                      </c:pt>
                      <c:pt idx="20">
                        <c:v>Nov-25</c:v>
                      </c:pt>
                      <c:pt idx="21">
                        <c:v>Dec-25</c:v>
                      </c:pt>
                      <c:pt idx="22">
                        <c:v>Jan-26</c:v>
                      </c:pt>
                      <c:pt idx="23">
                        <c:v>Feb-26</c:v>
                      </c:pt>
                      <c:pt idx="24">
                        <c:v>Mar-26</c:v>
                      </c:pt>
                      <c:pt idx="25">
                        <c:v>Y-axis (max)</c:v>
                      </c:pt>
                    </c:strCache>
                  </c:strRef>
                </c:cat>
                <c:val>
                  <c:numRef>
                    <c:extLst xmlns:c15="http://schemas.microsoft.com/office/drawing/2012/chart">
                      <c:ext xmlns:c15="http://schemas.microsoft.com/office/drawing/2012/chart" uri="{02D57815-91ED-43cb-92C2-25804820EDAC}">
                        <c15:formulaRef>
                          <c15:sqref>'G2&amp;G3_BowWave_2025MAR'!$D$36:$DD$36</c15:sqref>
                        </c15:formulaRef>
                      </c:ext>
                    </c:extLst>
                    <c:numCache>
                      <c:formatCode>General</c:formatCode>
                      <c:ptCount val="25"/>
                      <c:pt idx="0">
                        <c:v>1654</c:v>
                      </c:pt>
                      <c:pt idx="1">
                        <c:v>1710</c:v>
                      </c:pt>
                      <c:pt idx="2">
                        <c:v>1753</c:v>
                      </c:pt>
                      <c:pt idx="3">
                        <c:v>1800</c:v>
                      </c:pt>
                      <c:pt idx="4">
                        <c:v>1845</c:v>
                      </c:pt>
                      <c:pt idx="5">
                        <c:v>1900</c:v>
                      </c:pt>
                      <c:pt idx="6">
                        <c:v>1931</c:v>
                      </c:pt>
                      <c:pt idx="7">
                        <c:v>1962</c:v>
                      </c:pt>
                      <c:pt idx="8">
                        <c:v>1992</c:v>
                      </c:pt>
                      <c:pt idx="9">
                        <c:v>2052</c:v>
                      </c:pt>
                      <c:pt idx="10">
                        <c:v>2099</c:v>
                      </c:pt>
                      <c:pt idx="11">
                        <c:v>2137</c:v>
                      </c:pt>
                      <c:pt idx="12">
                        <c:v>2198</c:v>
                      </c:pt>
                      <c:pt idx="13">
                        <c:v>2293</c:v>
                      </c:pt>
                      <c:pt idx="14">
                        <c:v>2356</c:v>
                      </c:pt>
                      <c:pt idx="15">
                        <c:v>2423</c:v>
                      </c:pt>
                      <c:pt idx="16">
                        <c:v>2471</c:v>
                      </c:pt>
                      <c:pt idx="17">
                        <c:v>2504</c:v>
                      </c:pt>
                      <c:pt idx="18">
                        <c:v>2521</c:v>
                      </c:pt>
                      <c:pt idx="19">
                        <c:v>2552</c:v>
                      </c:pt>
                      <c:pt idx="20">
                        <c:v>2569</c:v>
                      </c:pt>
                      <c:pt idx="21">
                        <c:v>2585</c:v>
                      </c:pt>
                      <c:pt idx="22">
                        <c:v>2614</c:v>
                      </c:pt>
                      <c:pt idx="23">
                        <c:v>2624</c:v>
                      </c:pt>
                      <c:pt idx="24">
                        <c:v>2627</c:v>
                      </c:pt>
                    </c:numCache>
                  </c:numRef>
                </c:val>
                <c:smooth val="0"/>
                <c:extLst xmlns:c15="http://schemas.microsoft.com/office/drawing/2012/chart">
                  <c:ext xmlns:c16="http://schemas.microsoft.com/office/drawing/2014/chart" uri="{C3380CC4-5D6E-409C-BE32-E72D297353CC}">
                    <c16:uniqueId val="{00000033-34E7-413D-A3D6-979D96EBF6BB}"/>
                  </c:ext>
                </c:extLst>
              </c15:ser>
            </c15:filteredLineSeries>
            <c15:filteredLineSeries>
              <c15:ser>
                <c:idx val="30"/>
                <c:order val="24"/>
                <c:tx>
                  <c:strRef>
                    <c:extLst xmlns:c15="http://schemas.microsoft.com/office/drawing/2012/chart">
                      <c:ext xmlns:c15="http://schemas.microsoft.com/office/drawing/2012/chart" uri="{02D57815-91ED-43cb-92C2-25804820EDAC}">
                        <c15:formulaRef>
                          <c15:sqref>'G2&amp;G3_BowWave_2025MAR'!$C$37</c15:sqref>
                        </c15:formulaRef>
                      </c:ext>
                    </c:extLst>
                    <c:strCache>
                      <c:ptCount val="1"/>
                      <c:pt idx="0">
                        <c:v>Actual Finishes  - Cumulative</c:v>
                      </c:pt>
                    </c:strCache>
                  </c:strRef>
                </c:tx>
                <c:spPr>
                  <a:ln w="28575" cap="rnd">
                    <a:solidFill>
                      <a:schemeClr val="accent1">
                        <a:lumMod val="50000"/>
                      </a:schemeClr>
                    </a:solidFill>
                    <a:round/>
                  </a:ln>
                  <a:effectLst/>
                </c:spPr>
                <c:marker>
                  <c:symbol val="circle"/>
                  <c:size val="5"/>
                  <c:spPr>
                    <a:solidFill>
                      <a:schemeClr val="accent1">
                        <a:lumMod val="50000"/>
                      </a:schemeClr>
                    </a:solidFill>
                    <a:ln w="9525">
                      <a:solidFill>
                        <a:schemeClr val="accent1">
                          <a:lumMod val="50000"/>
                        </a:schemeClr>
                      </a:solidFill>
                    </a:ln>
                    <a:effectLst/>
                  </c:spPr>
                </c:marker>
                <c:cat>
                  <c:strRef>
                    <c:extLst xmlns:c15="http://schemas.microsoft.com/office/drawing/2012/chart">
                      <c:ext xmlns:c15="http://schemas.microsoft.com/office/drawing/2012/chart" uri="{02D57815-91ED-43cb-92C2-25804820EDAC}">
                        <c15:formulaRef>
                          <c15:sqref>'G2&amp;G3_BowWave_2025MAR'!$D$11:$IY$11</c15:sqref>
                        </c15:formulaRef>
                      </c:ext>
                    </c:extLst>
                    <c:strCache>
                      <c:ptCount val="26"/>
                      <c:pt idx="0">
                        <c:v>Mar-24</c:v>
                      </c:pt>
                      <c:pt idx="1">
                        <c:v>Apr-24</c:v>
                      </c:pt>
                      <c:pt idx="2">
                        <c:v>May-24</c:v>
                      </c:pt>
                      <c:pt idx="3">
                        <c:v>Jun-24</c:v>
                      </c:pt>
                      <c:pt idx="4">
                        <c:v>Jul-24</c:v>
                      </c:pt>
                      <c:pt idx="5">
                        <c:v>Aug-24</c:v>
                      </c:pt>
                      <c:pt idx="6">
                        <c:v>Sep-24</c:v>
                      </c:pt>
                      <c:pt idx="7">
                        <c:v>Oct-24</c:v>
                      </c:pt>
                      <c:pt idx="8">
                        <c:v>Nov-24</c:v>
                      </c:pt>
                      <c:pt idx="9">
                        <c:v>Dec-24</c:v>
                      </c:pt>
                      <c:pt idx="10">
                        <c:v>Jan-25</c:v>
                      </c:pt>
                      <c:pt idx="11">
                        <c:v>Feb-25</c:v>
                      </c:pt>
                      <c:pt idx="12">
                        <c:v>Mar-25</c:v>
                      </c:pt>
                      <c:pt idx="13">
                        <c:v>Apr-25</c:v>
                      </c:pt>
                      <c:pt idx="14">
                        <c:v>May-25</c:v>
                      </c:pt>
                      <c:pt idx="15">
                        <c:v>Jun-25</c:v>
                      </c:pt>
                      <c:pt idx="16">
                        <c:v>Jul-25</c:v>
                      </c:pt>
                      <c:pt idx="17">
                        <c:v>Aug-25</c:v>
                      </c:pt>
                      <c:pt idx="18">
                        <c:v>Sep-25</c:v>
                      </c:pt>
                      <c:pt idx="19">
                        <c:v>Oct-25</c:v>
                      </c:pt>
                      <c:pt idx="20">
                        <c:v>Nov-25</c:v>
                      </c:pt>
                      <c:pt idx="21">
                        <c:v>Dec-25</c:v>
                      </c:pt>
                      <c:pt idx="22">
                        <c:v>Jan-26</c:v>
                      </c:pt>
                      <c:pt idx="23">
                        <c:v>Feb-26</c:v>
                      </c:pt>
                      <c:pt idx="24">
                        <c:v>Mar-26</c:v>
                      </c:pt>
                      <c:pt idx="25">
                        <c:v>Y-axis (max)</c:v>
                      </c:pt>
                    </c:strCache>
                  </c:strRef>
                </c:cat>
                <c:val>
                  <c:numRef>
                    <c:extLst xmlns:c15="http://schemas.microsoft.com/office/drawing/2012/chart">
                      <c:ext xmlns:c15="http://schemas.microsoft.com/office/drawing/2012/chart" uri="{02D57815-91ED-43cb-92C2-25804820EDAC}">
                        <c15:formulaRef>
                          <c15:sqref>'G2&amp;G3_BowWave_2025MAR'!$D$37:$DD$37</c15:sqref>
                        </c15:formulaRef>
                      </c:ext>
                    </c:extLst>
                    <c:numCache>
                      <c:formatCode>General</c:formatCode>
                      <c:ptCount val="25"/>
                      <c:pt idx="0">
                        <c:v>1654</c:v>
                      </c:pt>
                      <c:pt idx="1">
                        <c:v>1710</c:v>
                      </c:pt>
                      <c:pt idx="2">
                        <c:v>1753</c:v>
                      </c:pt>
                      <c:pt idx="3">
                        <c:v>1800</c:v>
                      </c:pt>
                      <c:pt idx="4">
                        <c:v>1845</c:v>
                      </c:pt>
                      <c:pt idx="5">
                        <c:v>1900</c:v>
                      </c:pt>
                      <c:pt idx="6">
                        <c:v>1931</c:v>
                      </c:pt>
                      <c:pt idx="7">
                        <c:v>1962</c:v>
                      </c:pt>
                      <c:pt idx="8">
                        <c:v>1992</c:v>
                      </c:pt>
                      <c:pt idx="9">
                        <c:v>2052</c:v>
                      </c:pt>
                      <c:pt idx="10">
                        <c:v>2099</c:v>
                      </c:pt>
                      <c:pt idx="11">
                        <c:v>2137</c:v>
                      </c:pt>
                      <c:pt idx="12">
                        <c:v>2190</c:v>
                      </c:pt>
                      <c:pt idx="13">
                        <c:v>2190</c:v>
                      </c:pt>
                      <c:pt idx="14">
                        <c:v>2190</c:v>
                      </c:pt>
                      <c:pt idx="15">
                        <c:v>2190</c:v>
                      </c:pt>
                      <c:pt idx="16">
                        <c:v>2190</c:v>
                      </c:pt>
                      <c:pt idx="17">
                        <c:v>2190</c:v>
                      </c:pt>
                      <c:pt idx="18">
                        <c:v>2190</c:v>
                      </c:pt>
                      <c:pt idx="19">
                        <c:v>2190</c:v>
                      </c:pt>
                      <c:pt idx="20">
                        <c:v>2190</c:v>
                      </c:pt>
                      <c:pt idx="21">
                        <c:v>2190</c:v>
                      </c:pt>
                      <c:pt idx="22">
                        <c:v>2190</c:v>
                      </c:pt>
                      <c:pt idx="23">
                        <c:v>2190</c:v>
                      </c:pt>
                      <c:pt idx="24">
                        <c:v>2190</c:v>
                      </c:pt>
                    </c:numCache>
                  </c:numRef>
                </c:val>
                <c:smooth val="0"/>
                <c:extLst xmlns:c15="http://schemas.microsoft.com/office/drawing/2012/chart">
                  <c:ext xmlns:c16="http://schemas.microsoft.com/office/drawing/2014/chart" uri="{C3380CC4-5D6E-409C-BE32-E72D297353CC}">
                    <c16:uniqueId val="{00000034-34E7-413D-A3D6-979D96EBF6BB}"/>
                  </c:ext>
                </c:extLst>
              </c15:ser>
            </c15:filteredLineSeries>
            <c15:filteredLineSeries>
              <c15:ser>
                <c:idx val="32"/>
                <c:order val="25"/>
                <c:tx>
                  <c:strRef>
                    <c:extLst xmlns:c15="http://schemas.microsoft.com/office/drawing/2012/chart">
                      <c:ext xmlns:c15="http://schemas.microsoft.com/office/drawing/2012/chart" uri="{02D57815-91ED-43cb-92C2-25804820EDAC}">
                        <c15:formulaRef>
                          <c15:sqref>'G2&amp;G3_BowWave_2025MAR'!$C$38</c15:sqref>
                        </c15:formulaRef>
                      </c:ext>
                    </c:extLst>
                    <c:strCache>
                      <c:ptCount val="1"/>
                      <c:pt idx="0">
                        <c:v>HMI Starts - 3-mo Rolling Average</c:v>
                      </c:pt>
                    </c:strCache>
                  </c:strRef>
                </c:tx>
                <c:spPr>
                  <a:ln w="28575" cap="rnd">
                    <a:solidFill>
                      <a:schemeClr val="accent3">
                        <a:lumMod val="50000"/>
                      </a:schemeClr>
                    </a:solidFill>
                    <a:round/>
                  </a:ln>
                  <a:effectLst/>
                </c:spPr>
                <c:marker>
                  <c:symbol val="circle"/>
                  <c:size val="5"/>
                  <c:spPr>
                    <a:solidFill>
                      <a:schemeClr val="accent3">
                        <a:lumMod val="50000"/>
                      </a:schemeClr>
                    </a:solidFill>
                    <a:ln w="9525">
                      <a:solidFill>
                        <a:schemeClr val="accent3">
                          <a:lumMod val="50000"/>
                        </a:schemeClr>
                      </a:solidFill>
                    </a:ln>
                    <a:effectLst/>
                  </c:spPr>
                </c:marker>
                <c:cat>
                  <c:strRef>
                    <c:extLst xmlns:c15="http://schemas.microsoft.com/office/drawing/2012/chart">
                      <c:ext xmlns:c15="http://schemas.microsoft.com/office/drawing/2012/chart" uri="{02D57815-91ED-43cb-92C2-25804820EDAC}">
                        <c15:formulaRef>
                          <c15:sqref>'G2&amp;G3_BowWave_2025MAR'!$D$11:$IY$11</c15:sqref>
                        </c15:formulaRef>
                      </c:ext>
                    </c:extLst>
                    <c:strCache>
                      <c:ptCount val="26"/>
                      <c:pt idx="0">
                        <c:v>Mar-24</c:v>
                      </c:pt>
                      <c:pt idx="1">
                        <c:v>Apr-24</c:v>
                      </c:pt>
                      <c:pt idx="2">
                        <c:v>May-24</c:v>
                      </c:pt>
                      <c:pt idx="3">
                        <c:v>Jun-24</c:v>
                      </c:pt>
                      <c:pt idx="4">
                        <c:v>Jul-24</c:v>
                      </c:pt>
                      <c:pt idx="5">
                        <c:v>Aug-24</c:v>
                      </c:pt>
                      <c:pt idx="6">
                        <c:v>Sep-24</c:v>
                      </c:pt>
                      <c:pt idx="7">
                        <c:v>Oct-24</c:v>
                      </c:pt>
                      <c:pt idx="8">
                        <c:v>Nov-24</c:v>
                      </c:pt>
                      <c:pt idx="9">
                        <c:v>Dec-24</c:v>
                      </c:pt>
                      <c:pt idx="10">
                        <c:v>Jan-25</c:v>
                      </c:pt>
                      <c:pt idx="11">
                        <c:v>Feb-25</c:v>
                      </c:pt>
                      <c:pt idx="12">
                        <c:v>Mar-25</c:v>
                      </c:pt>
                      <c:pt idx="13">
                        <c:v>Apr-25</c:v>
                      </c:pt>
                      <c:pt idx="14">
                        <c:v>May-25</c:v>
                      </c:pt>
                      <c:pt idx="15">
                        <c:v>Jun-25</c:v>
                      </c:pt>
                      <c:pt idx="16">
                        <c:v>Jul-25</c:v>
                      </c:pt>
                      <c:pt idx="17">
                        <c:v>Aug-25</c:v>
                      </c:pt>
                      <c:pt idx="18">
                        <c:v>Sep-25</c:v>
                      </c:pt>
                      <c:pt idx="19">
                        <c:v>Oct-25</c:v>
                      </c:pt>
                      <c:pt idx="20">
                        <c:v>Nov-25</c:v>
                      </c:pt>
                      <c:pt idx="21">
                        <c:v>Dec-25</c:v>
                      </c:pt>
                      <c:pt idx="22">
                        <c:v>Jan-26</c:v>
                      </c:pt>
                      <c:pt idx="23">
                        <c:v>Feb-26</c:v>
                      </c:pt>
                      <c:pt idx="24">
                        <c:v>Mar-26</c:v>
                      </c:pt>
                      <c:pt idx="25">
                        <c:v>Y-axis (max)</c:v>
                      </c:pt>
                    </c:strCache>
                  </c:strRef>
                </c:cat>
                <c:val>
                  <c:numRef>
                    <c:extLst xmlns:c15="http://schemas.microsoft.com/office/drawing/2012/chart">
                      <c:ext xmlns:c15="http://schemas.microsoft.com/office/drawing/2012/chart" uri="{02D57815-91ED-43cb-92C2-25804820EDAC}">
                        <c15:formulaRef>
                          <c15:sqref>'G2&amp;G3_BowWave_2025MAR'!$D$38:$DD$38</c15:sqref>
                        </c15:formulaRef>
                      </c:ext>
                    </c:extLst>
                    <c:numCache>
                      <c:formatCode>0.00</c:formatCode>
                      <c:ptCount val="25"/>
                      <c:pt idx="7">
                        <c:v>0.02</c:v>
                      </c:pt>
                      <c:pt idx="8">
                        <c:v>0.02</c:v>
                      </c:pt>
                      <c:pt idx="9">
                        <c:v>2.6666666666666668E-2</c:v>
                      </c:pt>
                      <c:pt idx="10">
                        <c:v>0.03</c:v>
                      </c:pt>
                      <c:pt idx="11">
                        <c:v>5.000000000000001E-2</c:v>
                      </c:pt>
                      <c:pt idx="12">
                        <c:v>5.6666666666666664E-2</c:v>
                      </c:pt>
                    </c:numCache>
                  </c:numRef>
                </c:val>
                <c:smooth val="0"/>
                <c:extLst xmlns:c15="http://schemas.microsoft.com/office/drawing/2012/chart">
                  <c:ext xmlns:c16="http://schemas.microsoft.com/office/drawing/2014/chart" uri="{C3380CC4-5D6E-409C-BE32-E72D297353CC}">
                    <c16:uniqueId val="{00000037-34E7-413D-A3D6-979D96EBF6BB}"/>
                  </c:ext>
                </c:extLst>
              </c15:ser>
            </c15:filteredLineSeries>
            <c15:filteredLineSeries>
              <c15:ser>
                <c:idx val="34"/>
                <c:order val="27"/>
                <c:tx>
                  <c:strRef>
                    <c:extLst xmlns:c15="http://schemas.microsoft.com/office/drawing/2012/chart">
                      <c:ext xmlns:c15="http://schemas.microsoft.com/office/drawing/2012/chart" uri="{02D57815-91ED-43cb-92C2-25804820EDAC}">
                        <c15:formulaRef>
                          <c15:sqref>'G2&amp;G3_BowWave_2025MAR'!$C$40</c15:sqref>
                        </c15:formulaRef>
                      </c:ext>
                    </c:extLst>
                    <c:strCache>
                      <c:ptCount val="1"/>
                      <c:pt idx="0">
                        <c:v>CEI Starts - 3-mo Rolling Average</c:v>
                      </c:pt>
                    </c:strCache>
                  </c:strRef>
                </c:tx>
                <c:spPr>
                  <a:ln w="28575" cap="rnd">
                    <a:solidFill>
                      <a:schemeClr val="accent5">
                        <a:lumMod val="50000"/>
                      </a:schemeClr>
                    </a:solidFill>
                    <a:round/>
                  </a:ln>
                  <a:effectLst/>
                </c:spPr>
                <c:marker>
                  <c:symbol val="circle"/>
                  <c:size val="5"/>
                  <c:spPr>
                    <a:solidFill>
                      <a:schemeClr val="accent5">
                        <a:lumMod val="50000"/>
                      </a:schemeClr>
                    </a:solidFill>
                    <a:ln w="9525">
                      <a:solidFill>
                        <a:schemeClr val="accent5">
                          <a:lumMod val="50000"/>
                        </a:schemeClr>
                      </a:solidFill>
                    </a:ln>
                    <a:effectLst/>
                  </c:spPr>
                </c:marker>
                <c:cat>
                  <c:strRef>
                    <c:extLst xmlns:c15="http://schemas.microsoft.com/office/drawing/2012/chart">
                      <c:ext xmlns:c15="http://schemas.microsoft.com/office/drawing/2012/chart" uri="{02D57815-91ED-43cb-92C2-25804820EDAC}">
                        <c15:formulaRef>
                          <c15:sqref>'G2&amp;G3_BowWave_2025MAR'!$D$11:$IY$11</c15:sqref>
                        </c15:formulaRef>
                      </c:ext>
                    </c:extLst>
                    <c:strCache>
                      <c:ptCount val="26"/>
                      <c:pt idx="0">
                        <c:v>Mar-24</c:v>
                      </c:pt>
                      <c:pt idx="1">
                        <c:v>Apr-24</c:v>
                      </c:pt>
                      <c:pt idx="2">
                        <c:v>May-24</c:v>
                      </c:pt>
                      <c:pt idx="3">
                        <c:v>Jun-24</c:v>
                      </c:pt>
                      <c:pt idx="4">
                        <c:v>Jul-24</c:v>
                      </c:pt>
                      <c:pt idx="5">
                        <c:v>Aug-24</c:v>
                      </c:pt>
                      <c:pt idx="6">
                        <c:v>Sep-24</c:v>
                      </c:pt>
                      <c:pt idx="7">
                        <c:v>Oct-24</c:v>
                      </c:pt>
                      <c:pt idx="8">
                        <c:v>Nov-24</c:v>
                      </c:pt>
                      <c:pt idx="9">
                        <c:v>Dec-24</c:v>
                      </c:pt>
                      <c:pt idx="10">
                        <c:v>Jan-25</c:v>
                      </c:pt>
                      <c:pt idx="11">
                        <c:v>Feb-25</c:v>
                      </c:pt>
                      <c:pt idx="12">
                        <c:v>Mar-25</c:v>
                      </c:pt>
                      <c:pt idx="13">
                        <c:v>Apr-25</c:v>
                      </c:pt>
                      <c:pt idx="14">
                        <c:v>May-25</c:v>
                      </c:pt>
                      <c:pt idx="15">
                        <c:v>Jun-25</c:v>
                      </c:pt>
                      <c:pt idx="16">
                        <c:v>Jul-25</c:v>
                      </c:pt>
                      <c:pt idx="17">
                        <c:v>Aug-25</c:v>
                      </c:pt>
                      <c:pt idx="18">
                        <c:v>Sep-25</c:v>
                      </c:pt>
                      <c:pt idx="19">
                        <c:v>Oct-25</c:v>
                      </c:pt>
                      <c:pt idx="20">
                        <c:v>Nov-25</c:v>
                      </c:pt>
                      <c:pt idx="21">
                        <c:v>Dec-25</c:v>
                      </c:pt>
                      <c:pt idx="22">
                        <c:v>Jan-26</c:v>
                      </c:pt>
                      <c:pt idx="23">
                        <c:v>Feb-26</c:v>
                      </c:pt>
                      <c:pt idx="24">
                        <c:v>Mar-26</c:v>
                      </c:pt>
                      <c:pt idx="25">
                        <c:v>Y-axis (max)</c:v>
                      </c:pt>
                    </c:strCache>
                  </c:strRef>
                </c:cat>
                <c:val>
                  <c:numRef>
                    <c:extLst xmlns:c15="http://schemas.microsoft.com/office/drawing/2012/chart">
                      <c:ext xmlns:c15="http://schemas.microsoft.com/office/drawing/2012/chart" uri="{02D57815-91ED-43cb-92C2-25804820EDAC}">
                        <c15:formulaRef>
                          <c15:sqref>'G2&amp;G3_BowWave_2025MAR'!$D$40:$DD$40</c15:sqref>
                        </c15:formulaRef>
                      </c:ext>
                    </c:extLst>
                    <c:numCache>
                      <c:formatCode>0.00</c:formatCode>
                      <c:ptCount val="25"/>
                      <c:pt idx="7">
                        <c:v>0.31</c:v>
                      </c:pt>
                      <c:pt idx="8">
                        <c:v>0.41000000000000003</c:v>
                      </c:pt>
                      <c:pt idx="9">
                        <c:v>0.41666666666666669</c:v>
                      </c:pt>
                      <c:pt idx="10">
                        <c:v>0.44999999999999996</c:v>
                      </c:pt>
                      <c:pt idx="11">
                        <c:v>0.45333333333333331</c:v>
                      </c:pt>
                      <c:pt idx="12">
                        <c:v>0.51333333333333331</c:v>
                      </c:pt>
                    </c:numCache>
                  </c:numRef>
                </c:val>
                <c:smooth val="0"/>
                <c:extLst xmlns:c15="http://schemas.microsoft.com/office/drawing/2012/chart">
                  <c:ext xmlns:c16="http://schemas.microsoft.com/office/drawing/2014/chart" uri="{C3380CC4-5D6E-409C-BE32-E72D297353CC}">
                    <c16:uniqueId val="{00000039-34E7-413D-A3D6-979D96EBF6BB}"/>
                  </c:ext>
                </c:extLst>
              </c15:ser>
            </c15:filteredLineSeries>
          </c:ext>
        </c:extLst>
      </c:lineChart>
      <c:dateAx>
        <c:axId val="2001818015"/>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2001820415"/>
        <c:crosses val="autoZero"/>
        <c:auto val="1"/>
        <c:lblOffset val="100"/>
        <c:baseTimeUnit val="months"/>
      </c:dateAx>
      <c:valAx>
        <c:axId val="2001820415"/>
        <c:scaling>
          <c:orientation val="minMax"/>
          <c:max val="125"/>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 of Activities</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001818015"/>
        <c:crosses val="autoZero"/>
        <c:crossBetween val="between"/>
        <c:majorUnit val="25"/>
      </c:valAx>
      <c:valAx>
        <c:axId val="1121471199"/>
        <c:scaling>
          <c:orientation val="minMax"/>
          <c:max val="1"/>
        </c:scaling>
        <c:delete val="0"/>
        <c:axPos val="r"/>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Schedule Execution Index</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121466879"/>
        <c:crosses val="max"/>
        <c:crossBetween val="between"/>
      </c:valAx>
      <c:catAx>
        <c:axId val="1121466879"/>
        <c:scaling>
          <c:orientation val="minMax"/>
        </c:scaling>
        <c:delete val="1"/>
        <c:axPos val="b"/>
        <c:numFmt formatCode="General" sourceLinked="1"/>
        <c:majorTickMark val="out"/>
        <c:minorTickMark val="none"/>
        <c:tickLblPos val="nextTo"/>
        <c:crossAx val="1121471199"/>
        <c:crosses val="autoZero"/>
        <c:auto val="1"/>
        <c:lblAlgn val="ctr"/>
        <c:lblOffset val="100"/>
        <c:tickLblSkip val="1"/>
        <c:tickMarkSkip val="1"/>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baseline="0"/>
              <a:t>Activity Starts - As of March 2025</a:t>
            </a:r>
            <a:endParaRPr lang="en-US" sz="1600" b="1"/>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8"/>
          <c:order val="6"/>
          <c:tx>
            <c:strRef>
              <c:f>'G2&amp;G3_BowWave_2025MAR'!$C$20</c:f>
              <c:strCache>
                <c:ptCount val="1"/>
                <c:pt idx="0">
                  <c:v>Started Delayed (&gt;60 days)</c:v>
                </c:pt>
              </c:strCache>
            </c:strRef>
          </c:tx>
          <c:spPr>
            <a:solidFill>
              <a:srgbClr val="9999FF"/>
            </a:solidFill>
            <a:ln>
              <a:noFill/>
            </a:ln>
            <a:effectLst/>
          </c:spPr>
          <c:cat>
            <c:numRef>
              <c:f>'G2&amp;G3_BowWave_2025MAR'!$D$11:$IX$11</c:f>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f>'G2&amp;G3_BowWave_2025MAR'!$D$20:$IX$20</c:f>
              <c:numCache>
                <c:formatCode>General</c:formatCode>
                <c:ptCount val="25"/>
                <c:pt idx="0">
                  <c:v>19</c:v>
                </c:pt>
                <c:pt idx="1">
                  <c:v>22</c:v>
                </c:pt>
                <c:pt idx="2">
                  <c:v>19</c:v>
                </c:pt>
                <c:pt idx="3">
                  <c:v>42</c:v>
                </c:pt>
                <c:pt idx="4">
                  <c:v>45</c:v>
                </c:pt>
                <c:pt idx="5">
                  <c:v>35</c:v>
                </c:pt>
                <c:pt idx="6">
                  <c:v>12</c:v>
                </c:pt>
                <c:pt idx="7">
                  <c:v>7</c:v>
                </c:pt>
                <c:pt idx="8">
                  <c:v>4</c:v>
                </c:pt>
                <c:pt idx="9">
                  <c:v>4</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extLst>
            <c:ext xmlns:c16="http://schemas.microsoft.com/office/drawing/2014/chart" uri="{C3380CC4-5D6E-409C-BE32-E72D297353CC}">
              <c16:uniqueId val="{00000000-D83A-4EEE-911C-73F848DF2FF4}"/>
            </c:ext>
          </c:extLst>
        </c:ser>
        <c:ser>
          <c:idx val="7"/>
          <c:order val="7"/>
          <c:tx>
            <c:strRef>
              <c:f>'G2&amp;G3_BowWave_2025MAR'!$C$19</c:f>
              <c:strCache>
                <c:ptCount val="1"/>
                <c:pt idx="0">
                  <c:v>Started Delayed (Between 31 to 60 days)</c:v>
                </c:pt>
              </c:strCache>
            </c:strRef>
          </c:tx>
          <c:spPr>
            <a:solidFill>
              <a:srgbClr val="FFFFCC"/>
            </a:solidFill>
            <a:ln>
              <a:noFill/>
            </a:ln>
            <a:effectLst/>
          </c:spPr>
          <c:cat>
            <c:numRef>
              <c:f>'G2&amp;G3_BowWave_2025MAR'!$D$11:$IX$11</c:f>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f>'G2&amp;G3_BowWave_2025MAR'!$D$19:$IX$19</c:f>
              <c:numCache>
                <c:formatCode>General</c:formatCode>
                <c:ptCount val="25"/>
                <c:pt idx="0">
                  <c:v>1</c:v>
                </c:pt>
                <c:pt idx="1">
                  <c:v>3</c:v>
                </c:pt>
                <c:pt idx="2">
                  <c:v>0</c:v>
                </c:pt>
                <c:pt idx="3">
                  <c:v>10</c:v>
                </c:pt>
                <c:pt idx="4">
                  <c:v>1</c:v>
                </c:pt>
                <c:pt idx="5">
                  <c:v>3</c:v>
                </c:pt>
                <c:pt idx="6">
                  <c:v>1</c:v>
                </c:pt>
                <c:pt idx="7">
                  <c:v>3</c:v>
                </c:pt>
                <c:pt idx="8">
                  <c:v>4</c:v>
                </c:pt>
                <c:pt idx="9">
                  <c:v>2</c:v>
                </c:pt>
                <c:pt idx="10">
                  <c:v>3</c:v>
                </c:pt>
                <c:pt idx="11">
                  <c:v>1</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extLst>
            <c:ext xmlns:c16="http://schemas.microsoft.com/office/drawing/2014/chart" uri="{C3380CC4-5D6E-409C-BE32-E72D297353CC}">
              <c16:uniqueId val="{00000001-D83A-4EEE-911C-73F848DF2FF4}"/>
            </c:ext>
          </c:extLst>
        </c:ser>
        <c:ser>
          <c:idx val="6"/>
          <c:order val="8"/>
          <c:tx>
            <c:strRef>
              <c:f>'G2&amp;G3_BowWave_2025MAR'!$C$18</c:f>
              <c:strCache>
                <c:ptCount val="1"/>
                <c:pt idx="0">
                  <c:v>Started Delayed (&lt;=30 days)</c:v>
                </c:pt>
              </c:strCache>
            </c:strRef>
          </c:tx>
          <c:spPr>
            <a:solidFill>
              <a:srgbClr val="00FFFF"/>
            </a:solidFill>
            <a:ln>
              <a:noFill/>
            </a:ln>
            <a:effectLst/>
          </c:spPr>
          <c:cat>
            <c:numRef>
              <c:f>'G2&amp;G3_BowWave_2025MAR'!$D$11:$IX$11</c:f>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f>'G2&amp;G3_BowWave_2025MAR'!$D$18:$IX$18</c:f>
              <c:numCache>
                <c:formatCode>General</c:formatCode>
                <c:ptCount val="25"/>
                <c:pt idx="0">
                  <c:v>9</c:v>
                </c:pt>
                <c:pt idx="1">
                  <c:v>0</c:v>
                </c:pt>
                <c:pt idx="2">
                  <c:v>3</c:v>
                </c:pt>
                <c:pt idx="3">
                  <c:v>4</c:v>
                </c:pt>
                <c:pt idx="4">
                  <c:v>4</c:v>
                </c:pt>
                <c:pt idx="5">
                  <c:v>7</c:v>
                </c:pt>
                <c:pt idx="6">
                  <c:v>2</c:v>
                </c:pt>
                <c:pt idx="7">
                  <c:v>2</c:v>
                </c:pt>
                <c:pt idx="8">
                  <c:v>0</c:v>
                </c:pt>
                <c:pt idx="9">
                  <c:v>2</c:v>
                </c:pt>
                <c:pt idx="10">
                  <c:v>1</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extLst>
            <c:ext xmlns:c16="http://schemas.microsoft.com/office/drawing/2014/chart" uri="{C3380CC4-5D6E-409C-BE32-E72D297353CC}">
              <c16:uniqueId val="{00000002-D83A-4EEE-911C-73F848DF2FF4}"/>
            </c:ext>
          </c:extLst>
        </c:ser>
        <c:dLbls>
          <c:showLegendKey val="0"/>
          <c:showVal val="0"/>
          <c:showCatName val="0"/>
          <c:showSerName val="0"/>
          <c:showPercent val="0"/>
          <c:showBubbleSize val="0"/>
        </c:dLbls>
        <c:axId val="2001818015"/>
        <c:axId val="2001820415"/>
        <c:extLst>
          <c:ext xmlns:c15="http://schemas.microsoft.com/office/drawing/2012/chart" uri="{02D57815-91ED-43cb-92C2-25804820EDAC}">
            <c15:filteredAreaSeries>
              <c15:ser>
                <c:idx val="9"/>
                <c:order val="9"/>
                <c:tx>
                  <c:strRef>
                    <c:extLst>
                      <c:ext uri="{02D57815-91ED-43cb-92C2-25804820EDAC}">
                        <c15:formulaRef>
                          <c15:sqref>'G2&amp;G3_BowWave_2025MAR'!$C$21</c15:sqref>
                        </c15:formulaRef>
                      </c:ext>
                    </c:extLst>
                    <c:strCache>
                      <c:ptCount val="1"/>
                      <c:pt idx="0">
                        <c:v>Completed Delayed (&lt;=30 days)</c:v>
                      </c:pt>
                    </c:strCache>
                  </c:strRef>
                </c:tx>
                <c:spPr>
                  <a:solidFill>
                    <a:schemeClr val="accent4">
                      <a:lumMod val="60000"/>
                    </a:schemeClr>
                  </a:solidFill>
                  <a:ln>
                    <a:noFill/>
                  </a:ln>
                  <a:effectLst/>
                </c:spPr>
                <c:cat>
                  <c:numRef>
                    <c:extLst>
                      <c:ext uri="{02D57815-91ED-43cb-92C2-25804820EDAC}">
                        <c15:formulaRef>
                          <c15:sqref>'G2&amp;G3_BowWave_2025MAR'!$D$11:$IX$11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c:ext uri="{02D57815-91ED-43cb-92C2-25804820EDAC}">
                        <c15:formulaRef>
                          <c15:sqref>'G2&amp;G3_BowWave_2025MAR'!$D$21:$IX$21</c15:sqref>
                        </c15:formulaRef>
                      </c:ext>
                    </c:extLst>
                    <c:numCache>
                      <c:formatCode>General</c:formatCode>
                      <c:ptCount val="25"/>
                      <c:pt idx="0">
                        <c:v>6</c:v>
                      </c:pt>
                      <c:pt idx="1">
                        <c:v>0</c:v>
                      </c:pt>
                      <c:pt idx="2">
                        <c:v>1</c:v>
                      </c:pt>
                      <c:pt idx="3">
                        <c:v>6</c:v>
                      </c:pt>
                      <c:pt idx="4">
                        <c:v>8</c:v>
                      </c:pt>
                      <c:pt idx="5">
                        <c:v>8</c:v>
                      </c:pt>
                      <c:pt idx="6">
                        <c:v>2</c:v>
                      </c:pt>
                      <c:pt idx="7">
                        <c:v>3</c:v>
                      </c:pt>
                      <c:pt idx="8">
                        <c:v>0</c:v>
                      </c:pt>
                      <c:pt idx="9">
                        <c:v>2</c:v>
                      </c:pt>
                      <c:pt idx="10">
                        <c:v>1</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extLst>
                  <c:ext xmlns:c16="http://schemas.microsoft.com/office/drawing/2014/chart" uri="{C3380CC4-5D6E-409C-BE32-E72D297353CC}">
                    <c16:uniqueId val="{00000016-D83A-4EEE-911C-73F848DF2FF4}"/>
                  </c:ext>
                </c:extLst>
              </c15:ser>
            </c15:filteredAreaSeries>
            <c15:filteredAreaSeries>
              <c15:ser>
                <c:idx val="10"/>
                <c:order val="10"/>
                <c:tx>
                  <c:strRef>
                    <c:extLst xmlns:c15="http://schemas.microsoft.com/office/drawing/2012/chart">
                      <c:ext xmlns:c15="http://schemas.microsoft.com/office/drawing/2012/chart" uri="{02D57815-91ED-43cb-92C2-25804820EDAC}">
                        <c15:formulaRef>
                          <c15:sqref>'G2&amp;G3_BowWave_2025MAR'!$C$22</c15:sqref>
                        </c15:formulaRef>
                      </c:ext>
                    </c:extLst>
                    <c:strCache>
                      <c:ptCount val="1"/>
                      <c:pt idx="0">
                        <c:v>Completed Delayed (Between 31 to 60 days)</c:v>
                      </c:pt>
                    </c:strCache>
                  </c:strRef>
                </c:tx>
                <c:spPr>
                  <a:solidFill>
                    <a:schemeClr val="accent5">
                      <a:lumMod val="60000"/>
                    </a:schemeClr>
                  </a:solidFill>
                  <a:ln>
                    <a:noFill/>
                  </a:ln>
                  <a:effectLst/>
                </c:spPr>
                <c:cat>
                  <c:numRef>
                    <c:extLst xmlns:c15="http://schemas.microsoft.com/office/drawing/2012/chart">
                      <c:ext xmlns:c15="http://schemas.microsoft.com/office/drawing/2012/chart" uri="{02D57815-91ED-43cb-92C2-25804820EDAC}">
                        <c15:formulaRef>
                          <c15:sqref>'G2&amp;G3_BowWave_2025MAR'!$D$11:$IX$11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'G2&amp;G3_BowWave_2025MAR'!$D$22:$IX$22</c15:sqref>
                        </c15:formulaRef>
                      </c:ext>
                    </c:extLst>
                    <c:numCache>
                      <c:formatCode>General</c:formatCode>
                      <c:ptCount val="25"/>
                      <c:pt idx="0">
                        <c:v>0</c:v>
                      </c:pt>
                      <c:pt idx="1">
                        <c:v>3</c:v>
                      </c:pt>
                      <c:pt idx="2">
                        <c:v>6</c:v>
                      </c:pt>
                      <c:pt idx="3">
                        <c:v>8</c:v>
                      </c:pt>
                      <c:pt idx="4">
                        <c:v>3</c:v>
                      </c:pt>
                      <c:pt idx="5">
                        <c:v>4</c:v>
                      </c:pt>
                      <c:pt idx="6">
                        <c:v>1</c:v>
                      </c:pt>
                      <c:pt idx="7">
                        <c:v>2</c:v>
                      </c:pt>
                      <c:pt idx="8">
                        <c:v>4</c:v>
                      </c:pt>
                      <c:pt idx="9">
                        <c:v>1</c:v>
                      </c:pt>
                      <c:pt idx="10">
                        <c:v>3</c:v>
                      </c:pt>
                      <c:pt idx="11">
                        <c:v>1</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extLst xmlns:c15="http://schemas.microsoft.com/office/drawing/2012/chart">
                  <c:ext xmlns:c16="http://schemas.microsoft.com/office/drawing/2014/chart" uri="{C3380CC4-5D6E-409C-BE32-E72D297353CC}">
                    <c16:uniqueId val="{00000017-D83A-4EEE-911C-73F848DF2FF4}"/>
                  </c:ext>
                </c:extLst>
              </c15:ser>
            </c15:filteredAreaSeries>
            <c15:filteredAreaSeries>
              <c15:ser>
                <c:idx val="11"/>
                <c:order val="11"/>
                <c:tx>
                  <c:strRef>
                    <c:extLst xmlns:c15="http://schemas.microsoft.com/office/drawing/2012/chart">
                      <c:ext xmlns:c15="http://schemas.microsoft.com/office/drawing/2012/chart" uri="{02D57815-91ED-43cb-92C2-25804820EDAC}">
                        <c15:formulaRef>
                          <c15:sqref>'G2&amp;G3_BowWave_2025MAR'!$C$23</c15:sqref>
                        </c15:formulaRef>
                      </c:ext>
                    </c:extLst>
                    <c:strCache>
                      <c:ptCount val="1"/>
                      <c:pt idx="0">
                        <c:v>Completed Delayed (&gt;60 days)</c:v>
                      </c:pt>
                    </c:strCache>
                  </c:strRef>
                </c:tx>
                <c:spPr>
                  <a:solidFill>
                    <a:schemeClr val="accent6">
                      <a:lumMod val="60000"/>
                    </a:schemeClr>
                  </a:solidFill>
                  <a:ln>
                    <a:noFill/>
                  </a:ln>
                  <a:effectLst/>
                </c:spPr>
                <c:cat>
                  <c:numRef>
                    <c:extLst xmlns:c15="http://schemas.microsoft.com/office/drawing/2012/chart">
                      <c:ext xmlns:c15="http://schemas.microsoft.com/office/drawing/2012/chart" uri="{02D57815-91ED-43cb-92C2-25804820EDAC}">
                        <c15:formulaRef>
                          <c15:sqref>'G2&amp;G3_BowWave_2025MAR'!$D$11:$IX$11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'G2&amp;G3_BowWave_2025MAR'!$D$23:$IX$23</c15:sqref>
                        </c15:formulaRef>
                      </c:ext>
                    </c:extLst>
                    <c:numCache>
                      <c:formatCode>General</c:formatCode>
                      <c:ptCount val="25"/>
                      <c:pt idx="0">
                        <c:v>18</c:v>
                      </c:pt>
                      <c:pt idx="1">
                        <c:v>20</c:v>
                      </c:pt>
                      <c:pt idx="2">
                        <c:v>19</c:v>
                      </c:pt>
                      <c:pt idx="3">
                        <c:v>35</c:v>
                      </c:pt>
                      <c:pt idx="4">
                        <c:v>36</c:v>
                      </c:pt>
                      <c:pt idx="5">
                        <c:v>47</c:v>
                      </c:pt>
                      <c:pt idx="6">
                        <c:v>22</c:v>
                      </c:pt>
                      <c:pt idx="7">
                        <c:v>6</c:v>
                      </c:pt>
                      <c:pt idx="8">
                        <c:v>5</c:v>
                      </c:pt>
                      <c:pt idx="9">
                        <c:v>5</c:v>
                      </c:pt>
                      <c:pt idx="10">
                        <c:v>1</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extLst xmlns:c15="http://schemas.microsoft.com/office/drawing/2012/chart">
                  <c:ext xmlns:c16="http://schemas.microsoft.com/office/drawing/2014/chart" uri="{C3380CC4-5D6E-409C-BE32-E72D297353CC}">
                    <c16:uniqueId val="{00000018-D83A-4EEE-911C-73F848DF2FF4}"/>
                  </c:ext>
                </c:extLst>
              </c15:ser>
            </c15:filteredAreaSeries>
          </c:ext>
        </c:extLst>
      </c:areaChart>
      <c:barChart>
        <c:barDir val="col"/>
        <c:grouping val="clustered"/>
        <c:varyColors val="0"/>
        <c:ser>
          <c:idx val="0"/>
          <c:order val="0"/>
          <c:tx>
            <c:strRef>
              <c:f>'G2&amp;G3_BowWave_2025MAR'!$C$12</c:f>
              <c:strCache>
                <c:ptCount val="1"/>
                <c:pt idx="0">
                  <c:v>Baselined to Start</c:v>
                </c:pt>
              </c:strCache>
            </c:strRef>
          </c:tx>
          <c:spPr>
            <a:solidFill>
              <a:schemeClr val="bg2">
                <a:lumMod val="50000"/>
              </a:schemeClr>
            </a:solidFill>
            <a:ln>
              <a:solidFill>
                <a:schemeClr val="tx1"/>
              </a:solidFill>
            </a:ln>
            <a:effectLst/>
          </c:spPr>
          <c:invertIfNegative val="0"/>
          <c:cat>
            <c:strRef>
              <c:f>'G2&amp;G3_BowWave_2025MAR'!$D$11:$IY$11</c:f>
              <c:strCache>
                <c:ptCount val="26"/>
                <c:pt idx="0">
                  <c:v>Mar-24</c:v>
                </c:pt>
                <c:pt idx="1">
                  <c:v>Apr-24</c:v>
                </c:pt>
                <c:pt idx="2">
                  <c:v>May-24</c:v>
                </c:pt>
                <c:pt idx="3">
                  <c:v>Jun-24</c:v>
                </c:pt>
                <c:pt idx="4">
                  <c:v>Jul-24</c:v>
                </c:pt>
                <c:pt idx="5">
                  <c:v>Aug-24</c:v>
                </c:pt>
                <c:pt idx="6">
                  <c:v>Sep-24</c:v>
                </c:pt>
                <c:pt idx="7">
                  <c:v>Oct-24</c:v>
                </c:pt>
                <c:pt idx="8">
                  <c:v>Nov-24</c:v>
                </c:pt>
                <c:pt idx="9">
                  <c:v>Dec-24</c:v>
                </c:pt>
                <c:pt idx="10">
                  <c:v>Jan-25</c:v>
                </c:pt>
                <c:pt idx="11">
                  <c:v>Feb-25</c:v>
                </c:pt>
                <c:pt idx="12">
                  <c:v>Mar-25</c:v>
                </c:pt>
                <c:pt idx="13">
                  <c:v>Apr-25</c:v>
                </c:pt>
                <c:pt idx="14">
                  <c:v>May-25</c:v>
                </c:pt>
                <c:pt idx="15">
                  <c:v>Jun-25</c:v>
                </c:pt>
                <c:pt idx="16">
                  <c:v>Jul-25</c:v>
                </c:pt>
                <c:pt idx="17">
                  <c:v>Aug-25</c:v>
                </c:pt>
                <c:pt idx="18">
                  <c:v>Sep-25</c:v>
                </c:pt>
                <c:pt idx="19">
                  <c:v>Oct-25</c:v>
                </c:pt>
                <c:pt idx="20">
                  <c:v>Nov-25</c:v>
                </c:pt>
                <c:pt idx="21">
                  <c:v>Dec-25</c:v>
                </c:pt>
                <c:pt idx="22">
                  <c:v>Jan-26</c:v>
                </c:pt>
                <c:pt idx="23">
                  <c:v>Feb-26</c:v>
                </c:pt>
                <c:pt idx="24">
                  <c:v>Mar-26</c:v>
                </c:pt>
                <c:pt idx="25">
                  <c:v>Y-axis (max)</c:v>
                </c:pt>
              </c:strCache>
            </c:strRef>
          </c:cat>
          <c:val>
            <c:numRef>
              <c:f>'G2&amp;G3_BowWave_2025MAR'!$D$12:$IX$12</c:f>
              <c:numCache>
                <c:formatCode>General</c:formatCode>
                <c:ptCount val="25"/>
                <c:pt idx="0">
                  <c:v>74</c:v>
                </c:pt>
                <c:pt idx="1">
                  <c:v>47</c:v>
                </c:pt>
                <c:pt idx="2">
                  <c:v>46</c:v>
                </c:pt>
                <c:pt idx="3">
                  <c:v>90</c:v>
                </c:pt>
                <c:pt idx="4">
                  <c:v>80</c:v>
                </c:pt>
                <c:pt idx="5">
                  <c:v>88</c:v>
                </c:pt>
                <c:pt idx="6">
                  <c:v>38</c:v>
                </c:pt>
                <c:pt idx="7">
                  <c:v>85</c:v>
                </c:pt>
                <c:pt idx="8">
                  <c:v>53</c:v>
                </c:pt>
                <c:pt idx="9">
                  <c:v>53</c:v>
                </c:pt>
                <c:pt idx="10">
                  <c:v>34</c:v>
                </c:pt>
                <c:pt idx="11">
                  <c:v>10</c:v>
                </c:pt>
                <c:pt idx="12">
                  <c:v>32</c:v>
                </c:pt>
                <c:pt idx="13">
                  <c:v>33</c:v>
                </c:pt>
                <c:pt idx="14">
                  <c:v>11</c:v>
                </c:pt>
                <c:pt idx="15">
                  <c:v>7</c:v>
                </c:pt>
                <c:pt idx="16">
                  <c:v>7</c:v>
                </c:pt>
                <c:pt idx="17">
                  <c:v>1</c:v>
                </c:pt>
                <c:pt idx="18">
                  <c:v>1</c:v>
                </c:pt>
                <c:pt idx="19">
                  <c:v>1</c:v>
                </c:pt>
                <c:pt idx="20">
                  <c:v>5</c:v>
                </c:pt>
                <c:pt idx="21">
                  <c:v>5</c:v>
                </c:pt>
                <c:pt idx="22">
                  <c:v>1</c:v>
                </c:pt>
                <c:pt idx="23">
                  <c:v>1</c:v>
                </c:pt>
                <c:pt idx="24">
                  <c:v>0</c:v>
                </c:pt>
              </c:numCache>
            </c:numRef>
          </c:val>
          <c:extLst>
            <c:ext xmlns:c16="http://schemas.microsoft.com/office/drawing/2014/chart" uri="{C3380CC4-5D6E-409C-BE32-E72D297353CC}">
              <c16:uniqueId val="{00000003-D83A-4EEE-911C-73F848DF2FF4}"/>
            </c:ext>
          </c:extLst>
        </c:ser>
        <c:ser>
          <c:idx val="1"/>
          <c:order val="1"/>
          <c:tx>
            <c:strRef>
              <c:f>'G2&amp;G3_BowWave_2025MAR'!$C$13</c:f>
              <c:strCache>
                <c:ptCount val="1"/>
                <c:pt idx="0">
                  <c:v>Scheduled to Start</c:v>
                </c:pt>
              </c:strCache>
            </c:strRef>
          </c:tx>
          <c:spPr>
            <a:solidFill>
              <a:srgbClr val="FFC000"/>
            </a:solidFill>
            <a:ln>
              <a:solidFill>
                <a:schemeClr val="accent2"/>
              </a:solidFill>
            </a:ln>
            <a:effectLst/>
          </c:spPr>
          <c:invertIfNegative val="0"/>
          <c:cat>
            <c:strRef>
              <c:f>'G2&amp;G3_BowWave_2025MAR'!$D$11:$IY$11</c:f>
              <c:strCache>
                <c:ptCount val="26"/>
                <c:pt idx="0">
                  <c:v>Mar-24</c:v>
                </c:pt>
                <c:pt idx="1">
                  <c:v>Apr-24</c:v>
                </c:pt>
                <c:pt idx="2">
                  <c:v>May-24</c:v>
                </c:pt>
                <c:pt idx="3">
                  <c:v>Jun-24</c:v>
                </c:pt>
                <c:pt idx="4">
                  <c:v>Jul-24</c:v>
                </c:pt>
                <c:pt idx="5">
                  <c:v>Aug-24</c:v>
                </c:pt>
                <c:pt idx="6">
                  <c:v>Sep-24</c:v>
                </c:pt>
                <c:pt idx="7">
                  <c:v>Oct-24</c:v>
                </c:pt>
                <c:pt idx="8">
                  <c:v>Nov-24</c:v>
                </c:pt>
                <c:pt idx="9">
                  <c:v>Dec-24</c:v>
                </c:pt>
                <c:pt idx="10">
                  <c:v>Jan-25</c:v>
                </c:pt>
                <c:pt idx="11">
                  <c:v>Feb-25</c:v>
                </c:pt>
                <c:pt idx="12">
                  <c:v>Mar-25</c:v>
                </c:pt>
                <c:pt idx="13">
                  <c:v>Apr-25</c:v>
                </c:pt>
                <c:pt idx="14">
                  <c:v>May-25</c:v>
                </c:pt>
                <c:pt idx="15">
                  <c:v>Jun-25</c:v>
                </c:pt>
                <c:pt idx="16">
                  <c:v>Jul-25</c:v>
                </c:pt>
                <c:pt idx="17">
                  <c:v>Aug-25</c:v>
                </c:pt>
                <c:pt idx="18">
                  <c:v>Sep-25</c:v>
                </c:pt>
                <c:pt idx="19">
                  <c:v>Oct-25</c:v>
                </c:pt>
                <c:pt idx="20">
                  <c:v>Nov-25</c:v>
                </c:pt>
                <c:pt idx="21">
                  <c:v>Dec-25</c:v>
                </c:pt>
                <c:pt idx="22">
                  <c:v>Jan-26</c:v>
                </c:pt>
                <c:pt idx="23">
                  <c:v>Feb-26</c:v>
                </c:pt>
                <c:pt idx="24">
                  <c:v>Mar-26</c:v>
                </c:pt>
                <c:pt idx="25">
                  <c:v>Y-axis (max)</c:v>
                </c:pt>
              </c:strCache>
            </c:strRef>
          </c:cat>
          <c:val>
            <c:numRef>
              <c:f>'G2&amp;G3_BowWave_2025MAR'!$D$13:$IX$13</c:f>
              <c:numCache>
                <c:formatCode>General</c:formatCode>
                <c:ptCount val="25"/>
                <c:pt idx="0">
                  <c:v>61</c:v>
                </c:pt>
                <c:pt idx="1">
                  <c:v>59</c:v>
                </c:pt>
                <c:pt idx="2">
                  <c:v>40</c:v>
                </c:pt>
                <c:pt idx="3">
                  <c:v>49</c:v>
                </c:pt>
                <c:pt idx="4">
                  <c:v>52</c:v>
                </c:pt>
                <c:pt idx="5">
                  <c:v>39</c:v>
                </c:pt>
                <c:pt idx="6">
                  <c:v>22</c:v>
                </c:pt>
                <c:pt idx="7">
                  <c:v>42</c:v>
                </c:pt>
                <c:pt idx="8">
                  <c:v>33</c:v>
                </c:pt>
                <c:pt idx="9">
                  <c:v>56</c:v>
                </c:pt>
                <c:pt idx="10">
                  <c:v>42</c:v>
                </c:pt>
                <c:pt idx="11">
                  <c:v>36</c:v>
                </c:pt>
                <c:pt idx="12">
                  <c:v>56</c:v>
                </c:pt>
                <c:pt idx="13">
                  <c:v>82</c:v>
                </c:pt>
                <c:pt idx="14">
                  <c:v>70</c:v>
                </c:pt>
                <c:pt idx="15">
                  <c:v>55</c:v>
                </c:pt>
                <c:pt idx="16">
                  <c:v>47</c:v>
                </c:pt>
                <c:pt idx="17">
                  <c:v>24</c:v>
                </c:pt>
                <c:pt idx="18">
                  <c:v>12</c:v>
                </c:pt>
                <c:pt idx="19">
                  <c:v>26</c:v>
                </c:pt>
                <c:pt idx="20">
                  <c:v>19</c:v>
                </c:pt>
                <c:pt idx="21">
                  <c:v>19</c:v>
                </c:pt>
                <c:pt idx="22">
                  <c:v>25</c:v>
                </c:pt>
                <c:pt idx="23">
                  <c:v>8</c:v>
                </c:pt>
                <c:pt idx="24">
                  <c:v>6</c:v>
                </c:pt>
              </c:numCache>
            </c:numRef>
          </c:val>
          <c:extLst>
            <c:ext xmlns:c16="http://schemas.microsoft.com/office/drawing/2014/chart" uri="{C3380CC4-5D6E-409C-BE32-E72D297353CC}">
              <c16:uniqueId val="{00000004-D83A-4EEE-911C-73F848DF2FF4}"/>
            </c:ext>
          </c:extLst>
        </c:ser>
        <c:ser>
          <c:idx val="21"/>
          <c:order val="2"/>
          <c:tx>
            <c:strRef>
              <c:f>'G2&amp;G3_BowWave_2025MAR'!$C$14</c:f>
              <c:strCache>
                <c:ptCount val="1"/>
                <c:pt idx="0">
                  <c:v>Actual Starts</c:v>
                </c:pt>
              </c:strCache>
            </c:strRef>
          </c:tx>
          <c:spPr>
            <a:solidFill>
              <a:srgbClr val="92D050"/>
            </a:solidFill>
            <a:ln>
              <a:solidFill>
                <a:schemeClr val="accent6">
                  <a:lumMod val="75000"/>
                </a:schemeClr>
              </a:solidFill>
            </a:ln>
            <a:effectLst/>
          </c:spPr>
          <c:invertIfNegative val="0"/>
          <c:cat>
            <c:strRef>
              <c:f>'G2&amp;G3_BowWave_2025MAR'!$D$11:$IY$11</c:f>
              <c:strCache>
                <c:ptCount val="26"/>
                <c:pt idx="0">
                  <c:v>Mar-24</c:v>
                </c:pt>
                <c:pt idx="1">
                  <c:v>Apr-24</c:v>
                </c:pt>
                <c:pt idx="2">
                  <c:v>May-24</c:v>
                </c:pt>
                <c:pt idx="3">
                  <c:v>Jun-24</c:v>
                </c:pt>
                <c:pt idx="4">
                  <c:v>Jul-24</c:v>
                </c:pt>
                <c:pt idx="5">
                  <c:v>Aug-24</c:v>
                </c:pt>
                <c:pt idx="6">
                  <c:v>Sep-24</c:v>
                </c:pt>
                <c:pt idx="7">
                  <c:v>Oct-24</c:v>
                </c:pt>
                <c:pt idx="8">
                  <c:v>Nov-24</c:v>
                </c:pt>
                <c:pt idx="9">
                  <c:v>Dec-24</c:v>
                </c:pt>
                <c:pt idx="10">
                  <c:v>Jan-25</c:v>
                </c:pt>
                <c:pt idx="11">
                  <c:v>Feb-25</c:v>
                </c:pt>
                <c:pt idx="12">
                  <c:v>Mar-25</c:v>
                </c:pt>
                <c:pt idx="13">
                  <c:v>Apr-25</c:v>
                </c:pt>
                <c:pt idx="14">
                  <c:v>May-25</c:v>
                </c:pt>
                <c:pt idx="15">
                  <c:v>Jun-25</c:v>
                </c:pt>
                <c:pt idx="16">
                  <c:v>Jul-25</c:v>
                </c:pt>
                <c:pt idx="17">
                  <c:v>Aug-25</c:v>
                </c:pt>
                <c:pt idx="18">
                  <c:v>Sep-25</c:v>
                </c:pt>
                <c:pt idx="19">
                  <c:v>Oct-25</c:v>
                </c:pt>
                <c:pt idx="20">
                  <c:v>Nov-25</c:v>
                </c:pt>
                <c:pt idx="21">
                  <c:v>Dec-25</c:v>
                </c:pt>
                <c:pt idx="22">
                  <c:v>Jan-26</c:v>
                </c:pt>
                <c:pt idx="23">
                  <c:v>Feb-26</c:v>
                </c:pt>
                <c:pt idx="24">
                  <c:v>Mar-26</c:v>
                </c:pt>
                <c:pt idx="25">
                  <c:v>Y-axis (max)</c:v>
                </c:pt>
              </c:strCache>
            </c:strRef>
          </c:cat>
          <c:val>
            <c:numRef>
              <c:f>'G2&amp;G3_BowWave_2025MAR'!$D$14:$IX$14</c:f>
              <c:numCache>
                <c:formatCode>General</c:formatCode>
                <c:ptCount val="25"/>
                <c:pt idx="0">
                  <c:v>61</c:v>
                </c:pt>
                <c:pt idx="1">
                  <c:v>59</c:v>
                </c:pt>
                <c:pt idx="2">
                  <c:v>40</c:v>
                </c:pt>
                <c:pt idx="3">
                  <c:v>49</c:v>
                </c:pt>
                <c:pt idx="4">
                  <c:v>52</c:v>
                </c:pt>
                <c:pt idx="5">
                  <c:v>39</c:v>
                </c:pt>
                <c:pt idx="6">
                  <c:v>22</c:v>
                </c:pt>
                <c:pt idx="7">
                  <c:v>42</c:v>
                </c:pt>
                <c:pt idx="8">
                  <c:v>33</c:v>
                </c:pt>
                <c:pt idx="9">
                  <c:v>56</c:v>
                </c:pt>
                <c:pt idx="10">
                  <c:v>42</c:v>
                </c:pt>
                <c:pt idx="11">
                  <c:v>36</c:v>
                </c:pt>
                <c:pt idx="12">
                  <c:v>42</c:v>
                </c:pt>
                <c:pt idx="13">
                  <c:v>0</c:v>
                </c:pt>
                <c:pt idx="14">
                  <c:v>0</c:v>
                </c:pt>
                <c:pt idx="15">
                  <c:v>0</c:v>
                </c:pt>
                <c:pt idx="16">
                  <c:v>0</c:v>
                </c:pt>
                <c:pt idx="17">
                  <c:v>0</c:v>
                </c:pt>
                <c:pt idx="18">
                  <c:v>0</c:v>
                </c:pt>
                <c:pt idx="19">
                  <c:v>0</c:v>
                </c:pt>
                <c:pt idx="20">
                  <c:v>0</c:v>
                </c:pt>
                <c:pt idx="21">
                  <c:v>0</c:v>
                </c:pt>
                <c:pt idx="22">
                  <c:v>0</c:v>
                </c:pt>
                <c:pt idx="23">
                  <c:v>0</c:v>
                </c:pt>
                <c:pt idx="24">
                  <c:v>0</c:v>
                </c:pt>
              </c:numCache>
            </c:numRef>
          </c:val>
          <c:extLst>
            <c:ext xmlns:c16="http://schemas.microsoft.com/office/drawing/2014/chart" uri="{C3380CC4-5D6E-409C-BE32-E72D297353CC}">
              <c16:uniqueId val="{00000005-D83A-4EEE-911C-73F848DF2FF4}"/>
            </c:ext>
          </c:extLst>
        </c:ser>
        <c:ser>
          <c:idx val="18"/>
          <c:order val="18"/>
          <c:tx>
            <c:strRef>
              <c:f>'G2&amp;G3_BowWave_2025MAR'!$C$30</c:f>
              <c:strCache>
                <c:ptCount val="1"/>
                <c:pt idx="0">
                  <c:v>Status Date (6-mo interval)</c:v>
                </c:pt>
              </c:strCache>
              <c:extLst xmlns:c15="http://schemas.microsoft.com/office/drawing/2012/chart"/>
            </c:strRef>
          </c:tx>
          <c:spPr>
            <a:noFill/>
            <a:ln w="19050">
              <a:solidFill>
                <a:schemeClr val="accent1"/>
              </a:solidFill>
              <a:prstDash val="dash"/>
            </a:ln>
            <a:effectLst/>
          </c:spPr>
          <c:invertIfNegative val="0"/>
          <c:dPt>
            <c:idx val="0"/>
            <c:invertIfNegative val="0"/>
            <c:bubble3D val="0"/>
            <c:spPr>
              <a:noFill/>
              <a:ln w="19050">
                <a:solidFill>
                  <a:srgbClr val="002060"/>
                </a:solidFill>
                <a:prstDash val="dash"/>
              </a:ln>
              <a:effectLst/>
            </c:spPr>
            <c:extLst xmlns:c15="http://schemas.microsoft.com/office/drawing/2012/chart">
              <c:ext xmlns:c16="http://schemas.microsoft.com/office/drawing/2014/chart" uri="{C3380CC4-5D6E-409C-BE32-E72D297353CC}">
                <c16:uniqueId val="{0000001D-D83A-4EEE-911C-73F848DF2FF4}"/>
              </c:ext>
            </c:extLst>
          </c:dPt>
          <c:dPt>
            <c:idx val="6"/>
            <c:invertIfNegative val="0"/>
            <c:bubble3D val="0"/>
            <c:spPr>
              <a:noFill/>
              <a:ln w="19050">
                <a:solidFill>
                  <a:srgbClr val="FF0000"/>
                </a:solidFill>
                <a:prstDash val="dash"/>
              </a:ln>
              <a:effectLst/>
            </c:spPr>
            <c:extLst xmlns:c15="http://schemas.microsoft.com/office/drawing/2012/chart">
              <c:ext xmlns:c16="http://schemas.microsoft.com/office/drawing/2014/chart" uri="{C3380CC4-5D6E-409C-BE32-E72D297353CC}">
                <c16:uniqueId val="{0000001F-D83A-4EEE-911C-73F848DF2FF4}"/>
              </c:ext>
            </c:extLst>
          </c:dPt>
          <c:dPt>
            <c:idx val="12"/>
            <c:invertIfNegative val="0"/>
            <c:bubble3D val="0"/>
            <c:spPr>
              <a:noFill/>
              <a:ln w="19050">
                <a:solidFill>
                  <a:srgbClr val="002060"/>
                </a:solidFill>
                <a:prstDash val="dash"/>
              </a:ln>
              <a:effectLst/>
            </c:spPr>
            <c:extLst xmlns:c15="http://schemas.microsoft.com/office/drawing/2012/chart">
              <c:ext xmlns:c16="http://schemas.microsoft.com/office/drawing/2014/chart" uri="{C3380CC4-5D6E-409C-BE32-E72D297353CC}">
                <c16:uniqueId val="{00000021-D83A-4EEE-911C-73F848DF2FF4}"/>
              </c:ext>
            </c:extLst>
          </c:dPt>
          <c:dPt>
            <c:idx val="18"/>
            <c:invertIfNegative val="0"/>
            <c:bubble3D val="0"/>
            <c:spPr>
              <a:noFill/>
              <a:ln w="19050">
                <a:solidFill>
                  <a:srgbClr val="FF0000"/>
                </a:solidFill>
                <a:prstDash val="dash"/>
              </a:ln>
              <a:effectLst/>
            </c:spPr>
            <c:extLst xmlns:c15="http://schemas.microsoft.com/office/drawing/2012/chart">
              <c:ext xmlns:c16="http://schemas.microsoft.com/office/drawing/2014/chart" uri="{C3380CC4-5D6E-409C-BE32-E72D297353CC}">
                <c16:uniqueId val="{00000023-D83A-4EEE-911C-73F848DF2FF4}"/>
              </c:ext>
            </c:extLst>
          </c:dPt>
          <c:dPt>
            <c:idx val="32"/>
            <c:invertIfNegative val="0"/>
            <c:bubble3D val="0"/>
            <c:spPr>
              <a:noFill/>
              <a:ln w="19050">
                <a:solidFill>
                  <a:srgbClr val="FF0000"/>
                </a:solidFill>
                <a:prstDash val="dash"/>
              </a:ln>
              <a:effectLst/>
            </c:spPr>
            <c:extLst xmlns:c15="http://schemas.microsoft.com/office/drawing/2012/chart">
              <c:ext xmlns:c16="http://schemas.microsoft.com/office/drawing/2014/chart" uri="{C3380CC4-5D6E-409C-BE32-E72D297353CC}">
                <c16:uniqueId val="{00000025-D83A-4EEE-911C-73F848DF2FF4}"/>
              </c:ext>
            </c:extLst>
          </c:dPt>
          <c:dPt>
            <c:idx val="35"/>
            <c:invertIfNegative val="0"/>
            <c:bubble3D val="0"/>
            <c:spPr>
              <a:noFill/>
              <a:ln w="19050">
                <a:solidFill>
                  <a:srgbClr val="FF0000"/>
                </a:solidFill>
                <a:prstDash val="dash"/>
              </a:ln>
              <a:effectLst/>
            </c:spPr>
            <c:extLst>
              <c:ext xmlns:c16="http://schemas.microsoft.com/office/drawing/2014/chart" uri="{C3380CC4-5D6E-409C-BE32-E72D297353CC}">
                <c16:uniqueId val="{00000027-D83A-4EEE-911C-73F848DF2FF4}"/>
              </c:ext>
            </c:extLst>
          </c:dPt>
          <c:dPt>
            <c:idx val="44"/>
            <c:invertIfNegative val="0"/>
            <c:bubble3D val="0"/>
            <c:spPr>
              <a:noFill/>
              <a:ln w="19050">
                <a:solidFill>
                  <a:srgbClr val="002060"/>
                </a:solidFill>
                <a:prstDash val="dash"/>
              </a:ln>
              <a:effectLst/>
            </c:spPr>
            <c:extLst xmlns:c15="http://schemas.microsoft.com/office/drawing/2012/chart">
              <c:ext xmlns:c16="http://schemas.microsoft.com/office/drawing/2014/chart" uri="{C3380CC4-5D6E-409C-BE32-E72D297353CC}">
                <c16:uniqueId val="{00000029-D83A-4EEE-911C-73F848DF2FF4}"/>
              </c:ext>
            </c:extLst>
          </c:dPt>
          <c:dPt>
            <c:idx val="50"/>
            <c:invertIfNegative val="0"/>
            <c:bubble3D val="0"/>
            <c:spPr>
              <a:noFill/>
              <a:ln w="19050">
                <a:solidFill>
                  <a:srgbClr val="CC3300"/>
                </a:solidFill>
                <a:prstDash val="dash"/>
              </a:ln>
              <a:effectLst/>
            </c:spPr>
            <c:extLst xmlns:c15="http://schemas.microsoft.com/office/drawing/2012/chart">
              <c:ext xmlns:c16="http://schemas.microsoft.com/office/drawing/2014/chart" uri="{C3380CC4-5D6E-409C-BE32-E72D297353CC}">
                <c16:uniqueId val="{0000002B-D83A-4EEE-911C-73F848DF2FF4}"/>
              </c:ext>
            </c:extLst>
          </c:dPt>
          <c:dPt>
            <c:idx val="56"/>
            <c:invertIfNegative val="0"/>
            <c:bubble3D val="0"/>
            <c:spPr>
              <a:noFill/>
              <a:ln w="19050">
                <a:solidFill>
                  <a:srgbClr val="002060"/>
                </a:solidFill>
                <a:prstDash val="dash"/>
              </a:ln>
              <a:effectLst/>
            </c:spPr>
            <c:extLst xmlns:c15="http://schemas.microsoft.com/office/drawing/2012/chart">
              <c:ext xmlns:c16="http://schemas.microsoft.com/office/drawing/2014/chart" uri="{C3380CC4-5D6E-409C-BE32-E72D297353CC}">
                <c16:uniqueId val="{0000002D-D83A-4EEE-911C-73F848DF2FF4}"/>
              </c:ext>
            </c:extLst>
          </c:dPt>
          <c:dPt>
            <c:idx val="86"/>
            <c:invertIfNegative val="0"/>
            <c:bubble3D val="0"/>
            <c:spPr>
              <a:noFill/>
              <a:ln w="19050">
                <a:solidFill>
                  <a:srgbClr val="FF0000"/>
                </a:solidFill>
                <a:prstDash val="dash"/>
              </a:ln>
              <a:effectLst/>
            </c:spPr>
            <c:extLst>
              <c:ext xmlns:c16="http://schemas.microsoft.com/office/drawing/2014/chart" uri="{C3380CC4-5D6E-409C-BE32-E72D297353CC}">
                <c16:uniqueId val="{0000002F-D83A-4EEE-911C-73F848DF2FF4}"/>
              </c:ext>
            </c:extLst>
          </c:dPt>
          <c:cat>
            <c:strRef>
              <c:f>'G2&amp;G3_BowWave_2025MAR'!$D$11:$IY$11</c:f>
              <c:strCache>
                <c:ptCount val="26"/>
                <c:pt idx="0">
                  <c:v>Mar-24</c:v>
                </c:pt>
                <c:pt idx="1">
                  <c:v>Apr-24</c:v>
                </c:pt>
                <c:pt idx="2">
                  <c:v>May-24</c:v>
                </c:pt>
                <c:pt idx="3">
                  <c:v>Jun-24</c:v>
                </c:pt>
                <c:pt idx="4">
                  <c:v>Jul-24</c:v>
                </c:pt>
                <c:pt idx="5">
                  <c:v>Aug-24</c:v>
                </c:pt>
                <c:pt idx="6">
                  <c:v>Sep-24</c:v>
                </c:pt>
                <c:pt idx="7">
                  <c:v>Oct-24</c:v>
                </c:pt>
                <c:pt idx="8">
                  <c:v>Nov-24</c:v>
                </c:pt>
                <c:pt idx="9">
                  <c:v>Dec-24</c:v>
                </c:pt>
                <c:pt idx="10">
                  <c:v>Jan-25</c:v>
                </c:pt>
                <c:pt idx="11">
                  <c:v>Feb-25</c:v>
                </c:pt>
                <c:pt idx="12">
                  <c:v>Mar-25</c:v>
                </c:pt>
                <c:pt idx="13">
                  <c:v>Apr-25</c:v>
                </c:pt>
                <c:pt idx="14">
                  <c:v>May-25</c:v>
                </c:pt>
                <c:pt idx="15">
                  <c:v>Jun-25</c:v>
                </c:pt>
                <c:pt idx="16">
                  <c:v>Jul-25</c:v>
                </c:pt>
                <c:pt idx="17">
                  <c:v>Aug-25</c:v>
                </c:pt>
                <c:pt idx="18">
                  <c:v>Sep-25</c:v>
                </c:pt>
                <c:pt idx="19">
                  <c:v>Oct-25</c:v>
                </c:pt>
                <c:pt idx="20">
                  <c:v>Nov-25</c:v>
                </c:pt>
                <c:pt idx="21">
                  <c:v>Dec-25</c:v>
                </c:pt>
                <c:pt idx="22">
                  <c:v>Jan-26</c:v>
                </c:pt>
                <c:pt idx="23">
                  <c:v>Feb-26</c:v>
                </c:pt>
                <c:pt idx="24">
                  <c:v>Mar-26</c:v>
                </c:pt>
                <c:pt idx="25">
                  <c:v>Y-axis (max)</c:v>
                </c:pt>
              </c:strCache>
            </c:strRef>
          </c:cat>
          <c:val>
            <c:numRef>
              <c:f>'G2&amp;G3_BowWave_2025MAR'!$D$30:$IX$30</c:f>
              <c:numCache>
                <c:formatCode>General</c:formatCode>
                <c:ptCount val="25"/>
                <c:pt idx="6">
                  <c:v>125</c:v>
                </c:pt>
                <c:pt idx="12">
                  <c:v>125</c:v>
                </c:pt>
                <c:pt idx="18">
                  <c:v>125</c:v>
                </c:pt>
              </c:numCache>
              <c:extLst xmlns:c15="http://schemas.microsoft.com/office/drawing/2012/chart"/>
            </c:numRef>
          </c:val>
          <c:extLst xmlns:c15="http://schemas.microsoft.com/office/drawing/2012/chart">
            <c:ext xmlns:c16="http://schemas.microsoft.com/office/drawing/2014/chart" uri="{C3380CC4-5D6E-409C-BE32-E72D297353CC}">
              <c16:uniqueId val="{00000030-D83A-4EEE-911C-73F848DF2FF4}"/>
            </c:ext>
          </c:extLst>
        </c:ser>
        <c:dLbls>
          <c:showLegendKey val="0"/>
          <c:showVal val="0"/>
          <c:showCatName val="0"/>
          <c:showSerName val="0"/>
          <c:showPercent val="0"/>
          <c:showBubbleSize val="0"/>
        </c:dLbls>
        <c:gapWidth val="150"/>
        <c:axId val="2001818015"/>
        <c:axId val="2001820415"/>
        <c:extLst>
          <c:ext xmlns:c15="http://schemas.microsoft.com/office/drawing/2012/chart" uri="{02D57815-91ED-43cb-92C2-25804820EDAC}">
            <c15:filteredBarSeries>
              <c15:ser>
                <c:idx val="3"/>
                <c:order val="3"/>
                <c:tx>
                  <c:strRef>
                    <c:extLst>
                      <c:ext uri="{02D57815-91ED-43cb-92C2-25804820EDAC}">
                        <c15:formulaRef>
                          <c15:sqref>'G2&amp;G3_BowWave_2025MAR'!$C$15</c15:sqref>
                        </c15:formulaRef>
                      </c:ext>
                    </c:extLst>
                    <c:strCache>
                      <c:ptCount val="1"/>
                      <c:pt idx="0">
                        <c:v>Baselined to Finish</c:v>
                      </c:pt>
                    </c:strCache>
                  </c:strRef>
                </c:tx>
                <c:spPr>
                  <a:solidFill>
                    <a:schemeClr val="accent4"/>
                  </a:solidFill>
                  <a:ln>
                    <a:noFill/>
                  </a:ln>
                  <a:effectLst/>
                </c:spPr>
                <c:invertIfNegative val="0"/>
                <c:cat>
                  <c:strRef>
                    <c:extLst>
                      <c:ext uri="{02D57815-91ED-43cb-92C2-25804820EDAC}">
                        <c15:formulaRef>
                          <c15:sqref>'G2&amp;G3_BowWave_2025MAR'!$D$11:$IY$11</c15:sqref>
                        </c15:formulaRef>
                      </c:ext>
                    </c:extLst>
                    <c:strCache>
                      <c:ptCount val="26"/>
                      <c:pt idx="0">
                        <c:v>Mar-24</c:v>
                      </c:pt>
                      <c:pt idx="1">
                        <c:v>Apr-24</c:v>
                      </c:pt>
                      <c:pt idx="2">
                        <c:v>May-24</c:v>
                      </c:pt>
                      <c:pt idx="3">
                        <c:v>Jun-24</c:v>
                      </c:pt>
                      <c:pt idx="4">
                        <c:v>Jul-24</c:v>
                      </c:pt>
                      <c:pt idx="5">
                        <c:v>Aug-24</c:v>
                      </c:pt>
                      <c:pt idx="6">
                        <c:v>Sep-24</c:v>
                      </c:pt>
                      <c:pt idx="7">
                        <c:v>Oct-24</c:v>
                      </c:pt>
                      <c:pt idx="8">
                        <c:v>Nov-24</c:v>
                      </c:pt>
                      <c:pt idx="9">
                        <c:v>Dec-24</c:v>
                      </c:pt>
                      <c:pt idx="10">
                        <c:v>Jan-25</c:v>
                      </c:pt>
                      <c:pt idx="11">
                        <c:v>Feb-25</c:v>
                      </c:pt>
                      <c:pt idx="12">
                        <c:v>Mar-25</c:v>
                      </c:pt>
                      <c:pt idx="13">
                        <c:v>Apr-25</c:v>
                      </c:pt>
                      <c:pt idx="14">
                        <c:v>May-25</c:v>
                      </c:pt>
                      <c:pt idx="15">
                        <c:v>Jun-25</c:v>
                      </c:pt>
                      <c:pt idx="16">
                        <c:v>Jul-25</c:v>
                      </c:pt>
                      <c:pt idx="17">
                        <c:v>Aug-25</c:v>
                      </c:pt>
                      <c:pt idx="18">
                        <c:v>Sep-25</c:v>
                      </c:pt>
                      <c:pt idx="19">
                        <c:v>Oct-25</c:v>
                      </c:pt>
                      <c:pt idx="20">
                        <c:v>Nov-25</c:v>
                      </c:pt>
                      <c:pt idx="21">
                        <c:v>Dec-25</c:v>
                      </c:pt>
                      <c:pt idx="22">
                        <c:v>Jan-26</c:v>
                      </c:pt>
                      <c:pt idx="23">
                        <c:v>Feb-26</c:v>
                      </c:pt>
                      <c:pt idx="24">
                        <c:v>Mar-26</c:v>
                      </c:pt>
                      <c:pt idx="25">
                        <c:v>Y-axis (max)</c:v>
                      </c:pt>
                    </c:strCache>
                  </c:strRef>
                </c:cat>
                <c:val>
                  <c:numRef>
                    <c:extLst>
                      <c:ext uri="{02D57815-91ED-43cb-92C2-25804820EDAC}">
                        <c15:formulaRef>
                          <c15:sqref>'G2&amp;G3_BowWave_2025MAR'!$D$15:$IX$15</c15:sqref>
                        </c15:formulaRef>
                      </c:ext>
                    </c:extLst>
                    <c:numCache>
                      <c:formatCode>General</c:formatCode>
                      <c:ptCount val="25"/>
                      <c:pt idx="0">
                        <c:v>63</c:v>
                      </c:pt>
                      <c:pt idx="1">
                        <c:v>49</c:v>
                      </c:pt>
                      <c:pt idx="2">
                        <c:v>56</c:v>
                      </c:pt>
                      <c:pt idx="3">
                        <c:v>81</c:v>
                      </c:pt>
                      <c:pt idx="4">
                        <c:v>78</c:v>
                      </c:pt>
                      <c:pt idx="5">
                        <c:v>106</c:v>
                      </c:pt>
                      <c:pt idx="6">
                        <c:v>58</c:v>
                      </c:pt>
                      <c:pt idx="7">
                        <c:v>90</c:v>
                      </c:pt>
                      <c:pt idx="8">
                        <c:v>47</c:v>
                      </c:pt>
                      <c:pt idx="9">
                        <c:v>50</c:v>
                      </c:pt>
                      <c:pt idx="10">
                        <c:v>37</c:v>
                      </c:pt>
                      <c:pt idx="11">
                        <c:v>16</c:v>
                      </c:pt>
                      <c:pt idx="12">
                        <c:v>31</c:v>
                      </c:pt>
                      <c:pt idx="13">
                        <c:v>31</c:v>
                      </c:pt>
                      <c:pt idx="14">
                        <c:v>16</c:v>
                      </c:pt>
                      <c:pt idx="15">
                        <c:v>8</c:v>
                      </c:pt>
                      <c:pt idx="16">
                        <c:v>2</c:v>
                      </c:pt>
                      <c:pt idx="17">
                        <c:v>3</c:v>
                      </c:pt>
                      <c:pt idx="18">
                        <c:v>6</c:v>
                      </c:pt>
                      <c:pt idx="19">
                        <c:v>2</c:v>
                      </c:pt>
                      <c:pt idx="20">
                        <c:v>2</c:v>
                      </c:pt>
                      <c:pt idx="21">
                        <c:v>6</c:v>
                      </c:pt>
                      <c:pt idx="22">
                        <c:v>3</c:v>
                      </c:pt>
                      <c:pt idx="23">
                        <c:v>1</c:v>
                      </c:pt>
                      <c:pt idx="24">
                        <c:v>0</c:v>
                      </c:pt>
                    </c:numCache>
                  </c:numRef>
                </c:val>
                <c:extLst>
                  <c:ext xmlns:c16="http://schemas.microsoft.com/office/drawing/2014/chart" uri="{C3380CC4-5D6E-409C-BE32-E72D297353CC}">
                    <c16:uniqueId val="{00000010-D83A-4EEE-911C-73F848DF2FF4}"/>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'G2&amp;G3_BowWave_2025MAR'!$C$16</c15:sqref>
                        </c15:formulaRef>
                      </c:ext>
                    </c:extLst>
                    <c:strCache>
                      <c:ptCount val="1"/>
                      <c:pt idx="0">
                        <c:v>Scheduled to Finish</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'G2&amp;G3_BowWave_2025MAR'!$D$11:$IY$11</c15:sqref>
                        </c15:formulaRef>
                      </c:ext>
                    </c:extLst>
                    <c:strCache>
                      <c:ptCount val="26"/>
                      <c:pt idx="0">
                        <c:v>Mar-24</c:v>
                      </c:pt>
                      <c:pt idx="1">
                        <c:v>Apr-24</c:v>
                      </c:pt>
                      <c:pt idx="2">
                        <c:v>May-24</c:v>
                      </c:pt>
                      <c:pt idx="3">
                        <c:v>Jun-24</c:v>
                      </c:pt>
                      <c:pt idx="4">
                        <c:v>Jul-24</c:v>
                      </c:pt>
                      <c:pt idx="5">
                        <c:v>Aug-24</c:v>
                      </c:pt>
                      <c:pt idx="6">
                        <c:v>Sep-24</c:v>
                      </c:pt>
                      <c:pt idx="7">
                        <c:v>Oct-24</c:v>
                      </c:pt>
                      <c:pt idx="8">
                        <c:v>Nov-24</c:v>
                      </c:pt>
                      <c:pt idx="9">
                        <c:v>Dec-24</c:v>
                      </c:pt>
                      <c:pt idx="10">
                        <c:v>Jan-25</c:v>
                      </c:pt>
                      <c:pt idx="11">
                        <c:v>Feb-25</c:v>
                      </c:pt>
                      <c:pt idx="12">
                        <c:v>Mar-25</c:v>
                      </c:pt>
                      <c:pt idx="13">
                        <c:v>Apr-25</c:v>
                      </c:pt>
                      <c:pt idx="14">
                        <c:v>May-25</c:v>
                      </c:pt>
                      <c:pt idx="15">
                        <c:v>Jun-25</c:v>
                      </c:pt>
                      <c:pt idx="16">
                        <c:v>Jul-25</c:v>
                      </c:pt>
                      <c:pt idx="17">
                        <c:v>Aug-25</c:v>
                      </c:pt>
                      <c:pt idx="18">
                        <c:v>Sep-25</c:v>
                      </c:pt>
                      <c:pt idx="19">
                        <c:v>Oct-25</c:v>
                      </c:pt>
                      <c:pt idx="20">
                        <c:v>Nov-25</c:v>
                      </c:pt>
                      <c:pt idx="21">
                        <c:v>Dec-25</c:v>
                      </c:pt>
                      <c:pt idx="22">
                        <c:v>Jan-26</c:v>
                      </c:pt>
                      <c:pt idx="23">
                        <c:v>Feb-26</c:v>
                      </c:pt>
                      <c:pt idx="24">
                        <c:v>Mar-26</c:v>
                      </c:pt>
                      <c:pt idx="25">
                        <c:v>Y-axis (max)</c:v>
                      </c:pt>
                    </c:strCache>
                  </c:strRef>
                </c:cat>
                <c:val>
                  <c:numRef>
                    <c:extLst xmlns:c15="http://schemas.microsoft.com/office/drawing/2012/chart">
                      <c:ext xmlns:c15="http://schemas.microsoft.com/office/drawing/2012/chart" uri="{02D57815-91ED-43cb-92C2-25804820EDAC}">
                        <c15:formulaRef>
                          <c15:sqref>'G2&amp;G3_BowWave_2025MAR'!$D$16:$IX$16</c15:sqref>
                        </c15:formulaRef>
                      </c:ext>
                    </c:extLst>
                    <c:numCache>
                      <c:formatCode>General</c:formatCode>
                      <c:ptCount val="25"/>
                      <c:pt idx="0">
                        <c:v>70</c:v>
                      </c:pt>
                      <c:pt idx="1">
                        <c:v>56</c:v>
                      </c:pt>
                      <c:pt idx="2">
                        <c:v>43</c:v>
                      </c:pt>
                      <c:pt idx="3">
                        <c:v>47</c:v>
                      </c:pt>
                      <c:pt idx="4">
                        <c:v>45</c:v>
                      </c:pt>
                      <c:pt idx="5">
                        <c:v>55</c:v>
                      </c:pt>
                      <c:pt idx="6">
                        <c:v>31</c:v>
                      </c:pt>
                      <c:pt idx="7">
                        <c:v>31</c:v>
                      </c:pt>
                      <c:pt idx="8">
                        <c:v>30</c:v>
                      </c:pt>
                      <c:pt idx="9">
                        <c:v>60</c:v>
                      </c:pt>
                      <c:pt idx="10">
                        <c:v>47</c:v>
                      </c:pt>
                      <c:pt idx="11">
                        <c:v>38</c:v>
                      </c:pt>
                      <c:pt idx="12">
                        <c:v>61</c:v>
                      </c:pt>
                      <c:pt idx="13">
                        <c:v>95</c:v>
                      </c:pt>
                      <c:pt idx="14">
                        <c:v>63</c:v>
                      </c:pt>
                      <c:pt idx="15">
                        <c:v>67</c:v>
                      </c:pt>
                      <c:pt idx="16">
                        <c:v>48</c:v>
                      </c:pt>
                      <c:pt idx="17">
                        <c:v>33</c:v>
                      </c:pt>
                      <c:pt idx="18">
                        <c:v>17</c:v>
                      </c:pt>
                      <c:pt idx="19">
                        <c:v>31</c:v>
                      </c:pt>
                      <c:pt idx="20">
                        <c:v>17</c:v>
                      </c:pt>
                      <c:pt idx="21">
                        <c:v>16</c:v>
                      </c:pt>
                      <c:pt idx="22">
                        <c:v>29</c:v>
                      </c:pt>
                      <c:pt idx="23">
                        <c:v>10</c:v>
                      </c:pt>
                      <c:pt idx="24">
                        <c:v>3</c:v>
                      </c:pt>
                    </c:numCache>
                  </c:numRef>
                </c:val>
                <c:extLst xmlns:c15="http://schemas.microsoft.com/office/drawing/2012/chart">
                  <c:ext xmlns:c16="http://schemas.microsoft.com/office/drawing/2014/chart" uri="{C3380CC4-5D6E-409C-BE32-E72D297353CC}">
                    <c16:uniqueId val="{00000011-D83A-4EEE-911C-73F848DF2FF4}"/>
                  </c:ext>
                </c:extLst>
              </c15:ser>
            </c15:filteredBarSeries>
            <c15:filteredBarSeries>
              <c15:ser>
                <c:idx val="22"/>
                <c:order val="5"/>
                <c:tx>
                  <c:strRef>
                    <c:extLst xmlns:c15="http://schemas.microsoft.com/office/drawing/2012/chart">
                      <c:ext xmlns:c15="http://schemas.microsoft.com/office/drawing/2012/chart" uri="{02D57815-91ED-43cb-92C2-25804820EDAC}">
                        <c15:formulaRef>
                          <c15:sqref>'G2&amp;G3_BowWave_2025MAR'!$C$17</c15:sqref>
                        </c15:formulaRef>
                      </c:ext>
                    </c:extLst>
                    <c:strCache>
                      <c:ptCount val="1"/>
                      <c:pt idx="0">
                        <c:v>Actual Finishes</c:v>
                      </c:pt>
                    </c:strCache>
                  </c:strRef>
                </c:tx>
                <c:spPr>
                  <a:solidFill>
                    <a:schemeClr val="accent5">
                      <a:lumMod val="80000"/>
                    </a:schemeClr>
                  </a:solidFill>
                  <a:ln>
                    <a:noFill/>
                  </a:ln>
                  <a:effectLst/>
                </c:spPr>
                <c:invertIfNegative val="0"/>
                <c:cat>
                  <c:strRef>
                    <c:extLst xmlns:c15="http://schemas.microsoft.com/office/drawing/2012/chart">
                      <c:ext xmlns:c15="http://schemas.microsoft.com/office/drawing/2012/chart" uri="{02D57815-91ED-43cb-92C2-25804820EDAC}">
                        <c15:formulaRef>
                          <c15:sqref>'G2&amp;G3_BowWave_2025MAR'!$D$11:$IY$11</c15:sqref>
                        </c15:formulaRef>
                      </c:ext>
                    </c:extLst>
                    <c:strCache>
                      <c:ptCount val="26"/>
                      <c:pt idx="0">
                        <c:v>Mar-24</c:v>
                      </c:pt>
                      <c:pt idx="1">
                        <c:v>Apr-24</c:v>
                      </c:pt>
                      <c:pt idx="2">
                        <c:v>May-24</c:v>
                      </c:pt>
                      <c:pt idx="3">
                        <c:v>Jun-24</c:v>
                      </c:pt>
                      <c:pt idx="4">
                        <c:v>Jul-24</c:v>
                      </c:pt>
                      <c:pt idx="5">
                        <c:v>Aug-24</c:v>
                      </c:pt>
                      <c:pt idx="6">
                        <c:v>Sep-24</c:v>
                      </c:pt>
                      <c:pt idx="7">
                        <c:v>Oct-24</c:v>
                      </c:pt>
                      <c:pt idx="8">
                        <c:v>Nov-24</c:v>
                      </c:pt>
                      <c:pt idx="9">
                        <c:v>Dec-24</c:v>
                      </c:pt>
                      <c:pt idx="10">
                        <c:v>Jan-25</c:v>
                      </c:pt>
                      <c:pt idx="11">
                        <c:v>Feb-25</c:v>
                      </c:pt>
                      <c:pt idx="12">
                        <c:v>Mar-25</c:v>
                      </c:pt>
                      <c:pt idx="13">
                        <c:v>Apr-25</c:v>
                      </c:pt>
                      <c:pt idx="14">
                        <c:v>May-25</c:v>
                      </c:pt>
                      <c:pt idx="15">
                        <c:v>Jun-25</c:v>
                      </c:pt>
                      <c:pt idx="16">
                        <c:v>Jul-25</c:v>
                      </c:pt>
                      <c:pt idx="17">
                        <c:v>Aug-25</c:v>
                      </c:pt>
                      <c:pt idx="18">
                        <c:v>Sep-25</c:v>
                      </c:pt>
                      <c:pt idx="19">
                        <c:v>Oct-25</c:v>
                      </c:pt>
                      <c:pt idx="20">
                        <c:v>Nov-25</c:v>
                      </c:pt>
                      <c:pt idx="21">
                        <c:v>Dec-25</c:v>
                      </c:pt>
                      <c:pt idx="22">
                        <c:v>Jan-26</c:v>
                      </c:pt>
                      <c:pt idx="23">
                        <c:v>Feb-26</c:v>
                      </c:pt>
                      <c:pt idx="24">
                        <c:v>Mar-26</c:v>
                      </c:pt>
                      <c:pt idx="25">
                        <c:v>Y-axis (max)</c:v>
                      </c:pt>
                    </c:strCache>
                  </c:strRef>
                </c:cat>
                <c:val>
                  <c:numRef>
                    <c:extLst xmlns:c15="http://schemas.microsoft.com/office/drawing/2012/chart">
                      <c:ext xmlns:c15="http://schemas.microsoft.com/office/drawing/2012/chart" uri="{02D57815-91ED-43cb-92C2-25804820EDAC}">
                        <c15:formulaRef>
                          <c15:sqref>'G2&amp;G3_BowWave_2025MAR'!$D$17:$IX$17</c15:sqref>
                        </c15:formulaRef>
                      </c:ext>
                    </c:extLst>
                    <c:numCache>
                      <c:formatCode>General</c:formatCode>
                      <c:ptCount val="25"/>
                      <c:pt idx="0">
                        <c:v>70</c:v>
                      </c:pt>
                      <c:pt idx="1">
                        <c:v>56</c:v>
                      </c:pt>
                      <c:pt idx="2">
                        <c:v>43</c:v>
                      </c:pt>
                      <c:pt idx="3">
                        <c:v>47</c:v>
                      </c:pt>
                      <c:pt idx="4">
                        <c:v>45</c:v>
                      </c:pt>
                      <c:pt idx="5">
                        <c:v>55</c:v>
                      </c:pt>
                      <c:pt idx="6">
                        <c:v>31</c:v>
                      </c:pt>
                      <c:pt idx="7">
                        <c:v>31</c:v>
                      </c:pt>
                      <c:pt idx="8">
                        <c:v>30</c:v>
                      </c:pt>
                      <c:pt idx="9">
                        <c:v>60</c:v>
                      </c:pt>
                      <c:pt idx="10">
                        <c:v>47</c:v>
                      </c:pt>
                      <c:pt idx="11">
                        <c:v>38</c:v>
                      </c:pt>
                      <c:pt idx="12">
                        <c:v>53</c:v>
                      </c:pt>
                      <c:pt idx="13">
                        <c:v>0</c:v>
                      </c:pt>
                      <c:pt idx="14">
                        <c:v>0</c:v>
                      </c:pt>
                      <c:pt idx="15">
                        <c:v>0</c:v>
                      </c:pt>
                      <c:pt idx="16">
                        <c:v>0</c:v>
                      </c:pt>
                      <c:pt idx="17">
                        <c:v>0</c:v>
                      </c:pt>
                      <c:pt idx="18">
                        <c:v>0</c:v>
                      </c:pt>
                      <c:pt idx="19">
                        <c:v>0</c:v>
                      </c:pt>
                      <c:pt idx="20">
                        <c:v>0</c:v>
                      </c:pt>
                      <c:pt idx="21">
                        <c:v>0</c:v>
                      </c:pt>
                      <c:pt idx="22">
                        <c:v>0</c:v>
                      </c:pt>
                      <c:pt idx="23">
                        <c:v>0</c:v>
                      </c:pt>
                      <c:pt idx="24">
                        <c:v>0</c:v>
                      </c:pt>
                    </c:numCache>
                  </c:numRef>
                </c:val>
                <c:extLst xmlns:c15="http://schemas.microsoft.com/office/drawing/2012/chart">
                  <c:ext xmlns:c16="http://schemas.microsoft.com/office/drawing/2014/chart" uri="{C3380CC4-5D6E-409C-BE32-E72D297353CC}">
                    <c16:uniqueId val="{00000012-D83A-4EEE-911C-73F848DF2FF4}"/>
                  </c:ext>
                </c:extLst>
              </c15:ser>
            </c15:filteredBarSeries>
          </c:ext>
        </c:extLst>
      </c:barChart>
      <c:lineChart>
        <c:grouping val="standard"/>
        <c:varyColors val="0"/>
        <c:ser>
          <c:idx val="25"/>
          <c:order val="19"/>
          <c:tx>
            <c:strRef>
              <c:f>'G2&amp;G3_BowWave_2025MAR'!$C$32</c:f>
              <c:strCache>
                <c:ptCount val="1"/>
                <c:pt idx="0">
                  <c:v>Baselined to Start - Cumulative</c:v>
                </c:pt>
              </c:strCache>
              <c:extLst xmlns:c15="http://schemas.microsoft.com/office/drawing/2012/chart"/>
            </c:strRef>
          </c:tx>
          <c:spPr>
            <a:ln w="28575" cap="rnd">
              <a:solidFill>
                <a:schemeClr val="accent2">
                  <a:lumMod val="60000"/>
                  <a:lumOff val="40000"/>
                </a:schemeClr>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cat>
            <c:numRef>
              <c:f>'G2&amp;G3_BowWave_2025MAR'!$D$11:$IX$11</c:f>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f>'G2&amp;G3_BowWave_2025MAR'!$D$32:$DD$32</c:f>
              <c:numCache>
                <c:formatCode>0</c:formatCode>
                <c:ptCount val="25"/>
                <c:pt idx="0">
                  <c:v>1838</c:v>
                </c:pt>
                <c:pt idx="1">
                  <c:v>1885</c:v>
                </c:pt>
                <c:pt idx="2">
                  <c:v>1931</c:v>
                </c:pt>
                <c:pt idx="3">
                  <c:v>2021</c:v>
                </c:pt>
                <c:pt idx="4">
                  <c:v>2101</c:v>
                </c:pt>
                <c:pt idx="5">
                  <c:v>2189</c:v>
                </c:pt>
                <c:pt idx="6">
                  <c:v>2227</c:v>
                </c:pt>
                <c:pt idx="7">
                  <c:v>2312</c:v>
                </c:pt>
                <c:pt idx="8">
                  <c:v>2365</c:v>
                </c:pt>
                <c:pt idx="9">
                  <c:v>2418</c:v>
                </c:pt>
                <c:pt idx="10">
                  <c:v>2452</c:v>
                </c:pt>
                <c:pt idx="11">
                  <c:v>2462</c:v>
                </c:pt>
                <c:pt idx="12">
                  <c:v>2494</c:v>
                </c:pt>
                <c:pt idx="13">
                  <c:v>2527</c:v>
                </c:pt>
                <c:pt idx="14">
                  <c:v>2538</c:v>
                </c:pt>
                <c:pt idx="15">
                  <c:v>2545</c:v>
                </c:pt>
                <c:pt idx="16">
                  <c:v>2552</c:v>
                </c:pt>
                <c:pt idx="17">
                  <c:v>2553</c:v>
                </c:pt>
                <c:pt idx="18">
                  <c:v>2554</c:v>
                </c:pt>
                <c:pt idx="19">
                  <c:v>2555</c:v>
                </c:pt>
                <c:pt idx="20">
                  <c:v>2560</c:v>
                </c:pt>
                <c:pt idx="21">
                  <c:v>2565</c:v>
                </c:pt>
                <c:pt idx="22">
                  <c:v>2566</c:v>
                </c:pt>
                <c:pt idx="23">
                  <c:v>2567</c:v>
                </c:pt>
                <c:pt idx="24">
                  <c:v>2567</c:v>
                </c:pt>
              </c:numCache>
              <c:extLst xmlns:c15="http://schemas.microsoft.com/office/drawing/2012/chart"/>
            </c:numRef>
          </c:val>
          <c:smooth val="0"/>
          <c:extLst>
            <c:ext xmlns:c16="http://schemas.microsoft.com/office/drawing/2014/chart" uri="{C3380CC4-5D6E-409C-BE32-E72D297353CC}">
              <c16:uniqueId val="{00000031-D83A-4EEE-911C-73F848DF2FF4}"/>
            </c:ext>
          </c:extLst>
        </c:ser>
        <c:ser>
          <c:idx val="27"/>
          <c:order val="20"/>
          <c:tx>
            <c:strRef>
              <c:f>'G2&amp;G3_BowWave_2025MAR'!$C$33</c:f>
              <c:strCache>
                <c:ptCount val="1"/>
                <c:pt idx="0">
                  <c:v>Scheduled to Start - Cumulative</c:v>
                </c:pt>
              </c:strCache>
              <c:extLst xmlns:c15="http://schemas.microsoft.com/office/drawing/2012/chart"/>
            </c:strRef>
          </c:tx>
          <c:spPr>
            <a:ln w="28575" cap="rnd">
              <a:solidFill>
                <a:schemeClr val="accent4">
                  <a:lumMod val="60000"/>
                  <a:lumOff val="40000"/>
                </a:schemeClr>
              </a:solid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cat>
            <c:numRef>
              <c:f>'G2&amp;G3_BowWave_2025MAR'!$D$11:$IX$11</c:f>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f>'G2&amp;G3_BowWave_2025MAR'!$D$33:$DD$33</c:f>
              <c:numCache>
                <c:formatCode>General</c:formatCode>
                <c:ptCount val="25"/>
                <c:pt idx="0">
                  <c:v>1712</c:v>
                </c:pt>
                <c:pt idx="1">
                  <c:v>1771</c:v>
                </c:pt>
                <c:pt idx="2">
                  <c:v>1811</c:v>
                </c:pt>
                <c:pt idx="3">
                  <c:v>1860</c:v>
                </c:pt>
                <c:pt idx="4">
                  <c:v>1912</c:v>
                </c:pt>
                <c:pt idx="5">
                  <c:v>1951</c:v>
                </c:pt>
                <c:pt idx="6">
                  <c:v>1973</c:v>
                </c:pt>
                <c:pt idx="7">
                  <c:v>2015</c:v>
                </c:pt>
                <c:pt idx="8">
                  <c:v>2048</c:v>
                </c:pt>
                <c:pt idx="9">
                  <c:v>2104</c:v>
                </c:pt>
                <c:pt idx="10">
                  <c:v>2146</c:v>
                </c:pt>
                <c:pt idx="11">
                  <c:v>2182</c:v>
                </c:pt>
                <c:pt idx="12">
                  <c:v>2238</c:v>
                </c:pt>
                <c:pt idx="13">
                  <c:v>2320</c:v>
                </c:pt>
                <c:pt idx="14">
                  <c:v>2390</c:v>
                </c:pt>
                <c:pt idx="15">
                  <c:v>2445</c:v>
                </c:pt>
                <c:pt idx="16">
                  <c:v>2492</c:v>
                </c:pt>
                <c:pt idx="17">
                  <c:v>2516</c:v>
                </c:pt>
                <c:pt idx="18">
                  <c:v>2528</c:v>
                </c:pt>
                <c:pt idx="19">
                  <c:v>2554</c:v>
                </c:pt>
                <c:pt idx="20">
                  <c:v>2573</c:v>
                </c:pt>
                <c:pt idx="21">
                  <c:v>2592</c:v>
                </c:pt>
                <c:pt idx="22">
                  <c:v>2617</c:v>
                </c:pt>
                <c:pt idx="23">
                  <c:v>2625</c:v>
                </c:pt>
                <c:pt idx="24">
                  <c:v>2631</c:v>
                </c:pt>
              </c:numCache>
            </c:numRef>
          </c:val>
          <c:smooth val="0"/>
          <c:extLst>
            <c:ext xmlns:c16="http://schemas.microsoft.com/office/drawing/2014/chart" uri="{C3380CC4-5D6E-409C-BE32-E72D297353CC}">
              <c16:uniqueId val="{00000032-D83A-4EEE-911C-73F848DF2FF4}"/>
            </c:ext>
          </c:extLst>
        </c:ser>
        <c:ser>
          <c:idx val="26"/>
          <c:order val="21"/>
          <c:tx>
            <c:strRef>
              <c:f>'G2&amp;G3_BowWave_2025MAR'!$C$34</c:f>
              <c:strCache>
                <c:ptCount val="1"/>
                <c:pt idx="0">
                  <c:v>Actual Starts - Cumulative</c:v>
                </c:pt>
              </c:strCache>
              <c:extLst xmlns:c15="http://schemas.microsoft.com/office/drawing/2012/chart"/>
            </c:strRef>
          </c:tx>
          <c:spPr>
            <a:ln w="28575" cap="rnd">
              <a:solidFill>
                <a:schemeClr val="accent1">
                  <a:lumMod val="50000"/>
                </a:schemeClr>
              </a:solidFill>
              <a:round/>
            </a:ln>
            <a:effectLst/>
          </c:spPr>
          <c:marker>
            <c:symbol val="circle"/>
            <c:size val="5"/>
            <c:spPr>
              <a:solidFill>
                <a:schemeClr val="accent1">
                  <a:lumMod val="50000"/>
                </a:schemeClr>
              </a:solidFill>
              <a:ln w="9525">
                <a:solidFill>
                  <a:schemeClr val="accent1">
                    <a:lumMod val="50000"/>
                  </a:schemeClr>
                </a:solidFill>
              </a:ln>
              <a:effectLst/>
            </c:spPr>
          </c:marker>
          <c:cat>
            <c:numRef>
              <c:f>'G2&amp;G3_BowWave_2025MAR'!$D$11:$IX$11</c:f>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f>'G2&amp;G3_BowWave_2025MAR'!$D$34:$DD$34</c:f>
              <c:numCache>
                <c:formatCode>General</c:formatCode>
                <c:ptCount val="25"/>
                <c:pt idx="0">
                  <c:v>1712</c:v>
                </c:pt>
                <c:pt idx="1">
                  <c:v>1771</c:v>
                </c:pt>
                <c:pt idx="2">
                  <c:v>1811</c:v>
                </c:pt>
                <c:pt idx="3">
                  <c:v>1860</c:v>
                </c:pt>
                <c:pt idx="4">
                  <c:v>1912</c:v>
                </c:pt>
                <c:pt idx="5">
                  <c:v>1951</c:v>
                </c:pt>
                <c:pt idx="6">
                  <c:v>1973</c:v>
                </c:pt>
                <c:pt idx="7">
                  <c:v>2015</c:v>
                </c:pt>
                <c:pt idx="8">
                  <c:v>2048</c:v>
                </c:pt>
                <c:pt idx="9">
                  <c:v>2104</c:v>
                </c:pt>
                <c:pt idx="10">
                  <c:v>2146</c:v>
                </c:pt>
                <c:pt idx="11">
                  <c:v>2182</c:v>
                </c:pt>
                <c:pt idx="12">
                  <c:v>2224</c:v>
                </c:pt>
                <c:pt idx="13">
                  <c:v>2224</c:v>
                </c:pt>
                <c:pt idx="14">
                  <c:v>2224</c:v>
                </c:pt>
                <c:pt idx="15">
                  <c:v>2224</c:v>
                </c:pt>
                <c:pt idx="16">
                  <c:v>2224</c:v>
                </c:pt>
                <c:pt idx="17">
                  <c:v>2224</c:v>
                </c:pt>
                <c:pt idx="18">
                  <c:v>2224</c:v>
                </c:pt>
                <c:pt idx="19">
                  <c:v>2224</c:v>
                </c:pt>
                <c:pt idx="20">
                  <c:v>2224</c:v>
                </c:pt>
                <c:pt idx="21">
                  <c:v>2224</c:v>
                </c:pt>
                <c:pt idx="22">
                  <c:v>2224</c:v>
                </c:pt>
                <c:pt idx="23">
                  <c:v>2224</c:v>
                </c:pt>
                <c:pt idx="24">
                  <c:v>2224</c:v>
                </c:pt>
              </c:numCache>
              <c:extLst xmlns:c15="http://schemas.microsoft.com/office/drawing/2012/chart"/>
            </c:numRef>
          </c:val>
          <c:smooth val="0"/>
          <c:extLst>
            <c:ext xmlns:c16="http://schemas.microsoft.com/office/drawing/2014/chart" uri="{C3380CC4-5D6E-409C-BE32-E72D297353CC}">
              <c16:uniqueId val="{00000033-D83A-4EEE-911C-73F848DF2FF4}"/>
            </c:ext>
          </c:extLst>
        </c:ser>
        <c:dLbls>
          <c:showLegendKey val="0"/>
          <c:showVal val="0"/>
          <c:showCatName val="0"/>
          <c:showSerName val="0"/>
          <c:showPercent val="0"/>
          <c:showBubbleSize val="0"/>
        </c:dLbls>
        <c:marker val="1"/>
        <c:smooth val="0"/>
        <c:axId val="1121466879"/>
        <c:axId val="1121471199"/>
        <c:extLst>
          <c:ext xmlns:c15="http://schemas.microsoft.com/office/drawing/2012/chart" uri="{02D57815-91ED-43cb-92C2-25804820EDAC}">
            <c15:filteredLineSeries>
              <c15:ser>
                <c:idx val="12"/>
                <c:order val="12"/>
                <c:tx>
                  <c:strRef>
                    <c:extLst>
                      <c:ext uri="{02D57815-91ED-43cb-92C2-25804820EDAC}">
                        <c15:formulaRef>
                          <c15:sqref>'G2&amp;G3_BowWave_2025MAR'!$C$24</c15:sqref>
                        </c15:formulaRef>
                      </c:ext>
                    </c:extLst>
                    <c:strCache>
                      <c:ptCount val="1"/>
                      <c:pt idx="0">
                        <c:v>BEI - Starts</c:v>
                      </c:pt>
                    </c:strCache>
                  </c:strRef>
                </c:tx>
                <c:spPr>
                  <a:ln w="28575" cap="rnd">
                    <a:solidFill>
                      <a:schemeClr val="accent2"/>
                    </a:solidFill>
                    <a:round/>
                  </a:ln>
                  <a:effectLst/>
                </c:spPr>
                <c:marker>
                  <c:symbol val="circle"/>
                  <c:size val="5"/>
                  <c:spPr>
                    <a:solidFill>
                      <a:schemeClr val="accent2"/>
                    </a:solidFill>
                    <a:ln w="9525">
                      <a:solidFill>
                        <a:schemeClr val="tx1"/>
                      </a:solidFill>
                    </a:ln>
                    <a:effectLst/>
                  </c:spPr>
                </c:marker>
                <c:cat>
                  <c:numRef>
                    <c:extLst>
                      <c:ext uri="{02D57815-91ED-43cb-92C2-25804820EDAC}">
                        <c15:formulaRef>
                          <c15:sqref>'G2&amp;G3_BowWave_2025MAR'!$D$11:$IX$11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c:ext uri="{02D57815-91ED-43cb-92C2-25804820EDAC}">
                        <c15:formulaRef>
                          <c15:sqref>'G2&amp;G3_BowWave_2025MAR'!$D$24:$IX$24</c15:sqref>
                        </c15:formulaRef>
                      </c:ext>
                    </c:extLst>
                    <c:numCache>
                      <c:formatCode>General</c:formatCode>
                      <c:ptCount val="25"/>
                      <c:pt idx="6">
                        <c:v>0.87</c:v>
                      </c:pt>
                      <c:pt idx="7">
                        <c:v>0.85</c:v>
                      </c:pt>
                      <c:pt idx="8">
                        <c:v>0.85</c:v>
                      </c:pt>
                      <c:pt idx="9">
                        <c:v>0.85</c:v>
                      </c:pt>
                      <c:pt idx="10">
                        <c:v>0.86</c:v>
                      </c:pt>
                      <c:pt idx="11">
                        <c:v>0.87</c:v>
                      </c:pt>
                      <c:pt idx="12">
                        <c:v>0.88</c:v>
                      </c:pt>
                    </c:numCache>
                  </c:numRef>
                </c:val>
                <c:smooth val="0"/>
                <c:extLst>
                  <c:ext xmlns:c16="http://schemas.microsoft.com/office/drawing/2014/chart" uri="{C3380CC4-5D6E-409C-BE32-E72D297353CC}">
                    <c16:uniqueId val="{00000006-D83A-4EEE-911C-73F848DF2FF4}"/>
                  </c:ext>
                </c:extLst>
              </c15:ser>
            </c15:filteredLineSeries>
            <c15:filteredLineSeries>
              <c15:ser>
                <c:idx val="13"/>
                <c:order val="13"/>
                <c:tx>
                  <c:strRef>
                    <c:extLst xmlns:c15="http://schemas.microsoft.com/office/drawing/2012/chart">
                      <c:ext xmlns:c15="http://schemas.microsoft.com/office/drawing/2012/chart" uri="{02D57815-91ED-43cb-92C2-25804820EDAC}">
                        <c15:formulaRef>
                          <c15:sqref>'G2&amp;G3_BowWave_2025MAR'!$C$25</c15:sqref>
                        </c15:formulaRef>
                      </c:ext>
                    </c:extLst>
                    <c:strCache>
                      <c:ptCount val="1"/>
                      <c:pt idx="0">
                        <c:v>BEI - Finishes</c:v>
                      </c:pt>
                    </c:strCache>
                  </c:strRef>
                </c:tx>
                <c:spPr>
                  <a:ln w="28575"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tx1"/>
                      </a:solidFill>
                    </a:ln>
                    <a:effectLst/>
                  </c:spPr>
                </c:marker>
                <c:cat>
                  <c:numRef>
                    <c:extLst xmlns:c15="http://schemas.microsoft.com/office/drawing/2012/chart">
                      <c:ext xmlns:c15="http://schemas.microsoft.com/office/drawing/2012/chart" uri="{02D57815-91ED-43cb-92C2-25804820EDAC}">
                        <c15:formulaRef>
                          <c15:sqref>'G2&amp;G3_BowWave_2025MAR'!$D$11:$IX$11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'G2&amp;G3_BowWave_2025MAR'!$D$25:$IX$25</c15:sqref>
                        </c15:formulaRef>
                      </c:ext>
                    </c:extLst>
                    <c:numCache>
                      <c:formatCode>General</c:formatCode>
                      <c:ptCount val="25"/>
                      <c:pt idx="6">
                        <c:v>0.85</c:v>
                      </c:pt>
                      <c:pt idx="7">
                        <c:v>0.84</c:v>
                      </c:pt>
                      <c:pt idx="8">
                        <c:v>0.84</c:v>
                      </c:pt>
                      <c:pt idx="9">
                        <c:v>0.83</c:v>
                      </c:pt>
                      <c:pt idx="10">
                        <c:v>0.85</c:v>
                      </c:pt>
                      <c:pt idx="11">
                        <c:v>0.86</c:v>
                      </c:pt>
                      <c:pt idx="12">
                        <c:v>0.87</c:v>
                      </c:pt>
                    </c:numCache>
                  </c:numRef>
                </c:val>
                <c:smooth val="0"/>
                <c:extLst xmlns:c15="http://schemas.microsoft.com/office/drawing/2012/chart">
                  <c:ext xmlns:c16="http://schemas.microsoft.com/office/drawing/2014/chart" uri="{C3380CC4-5D6E-409C-BE32-E72D297353CC}">
                    <c16:uniqueId val="{00000019-D83A-4EEE-911C-73F848DF2FF4}"/>
                  </c:ext>
                </c:extLst>
              </c15:ser>
            </c15:filteredLineSeries>
            <c15:filteredLineSeries>
              <c15:ser>
                <c:idx val="14"/>
                <c:order val="14"/>
                <c:tx>
                  <c:strRef>
                    <c:extLst xmlns:c15="http://schemas.microsoft.com/office/drawing/2012/chart">
                      <c:ext xmlns:c15="http://schemas.microsoft.com/office/drawing/2012/chart" uri="{02D57815-91ED-43cb-92C2-25804820EDAC}">
                        <c15:formulaRef>
                          <c15:sqref>'G2&amp;G3_BowWave_2025MAR'!$C$26</c15:sqref>
                        </c15:formulaRef>
                      </c:ext>
                    </c:extLst>
                    <c:strCache>
                      <c:ptCount val="1"/>
                      <c:pt idx="0">
                        <c:v>HMI - Starts</c:v>
                      </c:pt>
                    </c:strCache>
                  </c:strRef>
                </c:tx>
                <c:spPr>
                  <a:ln w="28575" cap="rnd">
                    <a:solidFill>
                      <a:schemeClr val="accent1"/>
                    </a:solidFill>
                    <a:round/>
                  </a:ln>
                  <a:effectLst/>
                </c:spPr>
                <c:marker>
                  <c:symbol val="circle"/>
                  <c:size val="5"/>
                  <c:spPr>
                    <a:solidFill>
                      <a:schemeClr val="accent1"/>
                    </a:solidFill>
                    <a:ln w="9525">
                      <a:solidFill>
                        <a:schemeClr val="tx1"/>
                      </a:solidFill>
                    </a:ln>
                    <a:effectLst/>
                  </c:spPr>
                </c:marker>
                <c:cat>
                  <c:numRef>
                    <c:extLst xmlns:c15="http://schemas.microsoft.com/office/drawing/2012/chart">
                      <c:ext xmlns:c15="http://schemas.microsoft.com/office/drawing/2012/chart" uri="{02D57815-91ED-43cb-92C2-25804820EDAC}">
                        <c15:formulaRef>
                          <c15:sqref>'G2&amp;G3_BowWave_2025MAR'!$D$11:$IX$11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'G2&amp;G3_BowWave_2025MAR'!$D$26:$IX$26</c15:sqref>
                        </c15:formulaRef>
                      </c:ext>
                    </c:extLst>
                    <c:numCache>
                      <c:formatCode>General</c:formatCode>
                      <c:ptCount val="25"/>
                      <c:pt idx="7">
                        <c:v>0.02</c:v>
                      </c:pt>
                      <c:pt idx="8">
                        <c:v>0.02</c:v>
                      </c:pt>
                      <c:pt idx="9">
                        <c:v>0.04</c:v>
                      </c:pt>
                      <c:pt idx="10">
                        <c:v>0.03</c:v>
                      </c:pt>
                      <c:pt idx="11">
                        <c:v>0.08</c:v>
                      </c:pt>
                      <c:pt idx="12">
                        <c:v>0.06</c:v>
                      </c:pt>
                    </c:numCache>
                  </c:numRef>
                </c:val>
                <c:smooth val="0"/>
                <c:extLst xmlns:c15="http://schemas.microsoft.com/office/drawing/2012/chart">
                  <c:ext xmlns:c16="http://schemas.microsoft.com/office/drawing/2014/chart" uri="{C3380CC4-5D6E-409C-BE32-E72D297353CC}">
                    <c16:uniqueId val="{00000007-D83A-4EEE-911C-73F848DF2FF4}"/>
                  </c:ext>
                </c:extLst>
              </c15:ser>
            </c15:filteredLineSeries>
            <c15:filteredLineSeries>
              <c15:ser>
                <c:idx val="15"/>
                <c:order val="15"/>
                <c:tx>
                  <c:strRef>
                    <c:extLst xmlns:c15="http://schemas.microsoft.com/office/drawing/2012/chart">
                      <c:ext xmlns:c15="http://schemas.microsoft.com/office/drawing/2012/chart" uri="{02D57815-91ED-43cb-92C2-25804820EDAC}">
                        <c15:formulaRef>
                          <c15:sqref>'G2&amp;G3_BowWave_2025MAR'!$C$27</c15:sqref>
                        </c15:formulaRef>
                      </c:ext>
                    </c:extLst>
                    <c:strCache>
                      <c:ptCount val="1"/>
                      <c:pt idx="0">
                        <c:v>HMI - Finishes</c:v>
                      </c:pt>
                    </c:strCache>
                  </c:strRef>
                </c:tx>
                <c:spPr>
                  <a:ln w="28575"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tx1"/>
                      </a:solidFill>
                    </a:ln>
                    <a:effectLst/>
                  </c:spPr>
                </c:marker>
                <c:cat>
                  <c:numRef>
                    <c:extLst xmlns:c15="http://schemas.microsoft.com/office/drawing/2012/chart">
                      <c:ext xmlns:c15="http://schemas.microsoft.com/office/drawing/2012/chart" uri="{02D57815-91ED-43cb-92C2-25804820EDAC}">
                        <c15:formulaRef>
                          <c15:sqref>'G2&amp;G3_BowWave_2025MAR'!$D$11:$IX$11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'G2&amp;G3_BowWave_2025MAR'!$D$27:$IX$27</c15:sqref>
                        </c15:formulaRef>
                      </c:ext>
                    </c:extLst>
                    <c:numCache>
                      <c:formatCode>General</c:formatCode>
                      <c:ptCount val="25"/>
                      <c:pt idx="7">
                        <c:v>0.01</c:v>
                      </c:pt>
                      <c:pt idx="8">
                        <c:v>0.04</c:v>
                      </c:pt>
                      <c:pt idx="9">
                        <c:v>0.02</c:v>
                      </c:pt>
                      <c:pt idx="10">
                        <c:v>0</c:v>
                      </c:pt>
                      <c:pt idx="11">
                        <c:v>0</c:v>
                      </c:pt>
                      <c:pt idx="12">
                        <c:v>0</c:v>
                      </c:pt>
                    </c:numCache>
                  </c:numRef>
                </c:val>
                <c:smooth val="0"/>
                <c:extLst xmlns:c15="http://schemas.microsoft.com/office/drawing/2012/chart">
                  <c:ext xmlns:c16="http://schemas.microsoft.com/office/drawing/2014/chart" uri="{C3380CC4-5D6E-409C-BE32-E72D297353CC}">
                    <c16:uniqueId val="{0000001A-D83A-4EEE-911C-73F848DF2FF4}"/>
                  </c:ext>
                </c:extLst>
              </c15:ser>
            </c15:filteredLineSeries>
            <c15:filteredLineSeries>
              <c15:ser>
                <c:idx val="16"/>
                <c:order val="16"/>
                <c:tx>
                  <c:strRef>
                    <c:extLst xmlns:c15="http://schemas.microsoft.com/office/drawing/2012/chart">
                      <c:ext xmlns:c15="http://schemas.microsoft.com/office/drawing/2012/chart" uri="{02D57815-91ED-43cb-92C2-25804820EDAC}">
                        <c15:formulaRef>
                          <c15:sqref>'G2&amp;G3_BowWave_2025MAR'!$C$28</c15:sqref>
                        </c15:formulaRef>
                      </c:ext>
                    </c:extLst>
                    <c:strCache>
                      <c:ptCount val="1"/>
                      <c:pt idx="0">
                        <c:v>CEI - Starts</c:v>
                      </c:pt>
                    </c:strCache>
                  </c:strRef>
                </c:tx>
                <c:spPr>
                  <a:ln w="28575" cap="rnd">
                    <a:solidFill>
                      <a:schemeClr val="accent6"/>
                    </a:solidFill>
                    <a:round/>
                  </a:ln>
                  <a:effectLst/>
                </c:spPr>
                <c:marker>
                  <c:symbol val="circle"/>
                  <c:size val="5"/>
                  <c:spPr>
                    <a:solidFill>
                      <a:schemeClr val="accent6"/>
                    </a:solidFill>
                    <a:ln w="9525">
                      <a:solidFill>
                        <a:schemeClr val="tx1"/>
                      </a:solidFill>
                    </a:ln>
                    <a:effectLst/>
                  </c:spPr>
                </c:marker>
                <c:cat>
                  <c:numRef>
                    <c:extLst xmlns:c15="http://schemas.microsoft.com/office/drawing/2012/chart">
                      <c:ext xmlns:c15="http://schemas.microsoft.com/office/drawing/2012/chart" uri="{02D57815-91ED-43cb-92C2-25804820EDAC}">
                        <c15:formulaRef>
                          <c15:sqref>'G2&amp;G3_BowWave_2025MAR'!$D$11:$IX$11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'G2&amp;G3_BowWave_2025MAR'!$D$28:$IX$28</c15:sqref>
                        </c15:formulaRef>
                      </c:ext>
                    </c:extLst>
                    <c:numCache>
                      <c:formatCode>General</c:formatCode>
                      <c:ptCount val="25"/>
                      <c:pt idx="7">
                        <c:v>0.31</c:v>
                      </c:pt>
                      <c:pt idx="8">
                        <c:v>0.51</c:v>
                      </c:pt>
                      <c:pt idx="9">
                        <c:v>0.43</c:v>
                      </c:pt>
                      <c:pt idx="10">
                        <c:v>0.41</c:v>
                      </c:pt>
                      <c:pt idx="11">
                        <c:v>0.52</c:v>
                      </c:pt>
                      <c:pt idx="12">
                        <c:v>0.61</c:v>
                      </c:pt>
                    </c:numCache>
                  </c:numRef>
                </c:val>
                <c:smooth val="0"/>
                <c:extLst xmlns:c15="http://schemas.microsoft.com/office/drawing/2012/chart">
                  <c:ext xmlns:c16="http://schemas.microsoft.com/office/drawing/2014/chart" uri="{C3380CC4-5D6E-409C-BE32-E72D297353CC}">
                    <c16:uniqueId val="{00000008-D83A-4EEE-911C-73F848DF2FF4}"/>
                  </c:ext>
                </c:extLst>
              </c15:ser>
            </c15:filteredLineSeries>
            <c15:filteredLineSeries>
              <c15:ser>
                <c:idx val="17"/>
                <c:order val="17"/>
                <c:tx>
                  <c:strRef>
                    <c:extLst xmlns:c15="http://schemas.microsoft.com/office/drawing/2012/chart">
                      <c:ext xmlns:c15="http://schemas.microsoft.com/office/drawing/2012/chart" uri="{02D57815-91ED-43cb-92C2-25804820EDAC}">
                        <c15:formulaRef>
                          <c15:sqref>'G2&amp;G3_BowWave_2025MAR'!$C$29</c15:sqref>
                        </c15:formulaRef>
                      </c:ext>
                    </c:extLst>
                    <c:strCache>
                      <c:ptCount val="1"/>
                      <c:pt idx="0">
                        <c:v>CEI - Finishes</c:v>
                      </c:pt>
                    </c:strCache>
                  </c:strRef>
                </c:tx>
                <c:spPr>
                  <a:ln w="28575" cap="rnd">
                    <a:solidFill>
                      <a:schemeClr val="accent6">
                        <a:lumMod val="80000"/>
                        <a:lumOff val="20000"/>
                      </a:schemeClr>
                    </a:solidFill>
                    <a:round/>
                  </a:ln>
                  <a:effectLst/>
                </c:spPr>
                <c:marker>
                  <c:symbol val="circle"/>
                  <c:size val="5"/>
                  <c:spPr>
                    <a:solidFill>
                      <a:schemeClr val="accent6">
                        <a:lumMod val="80000"/>
                        <a:lumOff val="20000"/>
                      </a:schemeClr>
                    </a:solidFill>
                    <a:ln w="9525">
                      <a:solidFill>
                        <a:schemeClr val="tx1"/>
                      </a:solidFill>
                    </a:ln>
                    <a:effectLst/>
                  </c:spPr>
                </c:marker>
                <c:cat>
                  <c:numRef>
                    <c:extLst xmlns:c15="http://schemas.microsoft.com/office/drawing/2012/chart">
                      <c:ext xmlns:c15="http://schemas.microsoft.com/office/drawing/2012/chart" uri="{02D57815-91ED-43cb-92C2-25804820EDAC}">
                        <c15:formulaRef>
                          <c15:sqref>'G2&amp;G3_BowWave_2025MAR'!$D$11:$IX$11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'G2&amp;G3_BowWave_2025MAR'!$D$29:$IX$29</c15:sqref>
                        </c15:formulaRef>
                      </c:ext>
                    </c:extLst>
                    <c:numCache>
                      <c:formatCode>General</c:formatCode>
                      <c:ptCount val="25"/>
                      <c:pt idx="7">
                        <c:v>0.3</c:v>
                      </c:pt>
                      <c:pt idx="8">
                        <c:v>0.42</c:v>
                      </c:pt>
                      <c:pt idx="9">
                        <c:v>0.35</c:v>
                      </c:pt>
                      <c:pt idx="10">
                        <c:v>0.47</c:v>
                      </c:pt>
                      <c:pt idx="11">
                        <c:v>0.57999999999999996</c:v>
                      </c:pt>
                      <c:pt idx="12">
                        <c:v>0.56999999999999995</c:v>
                      </c:pt>
                    </c:numCache>
                  </c:numRef>
                </c:val>
                <c:smooth val="0"/>
                <c:extLst xmlns:c15="http://schemas.microsoft.com/office/drawing/2012/chart">
                  <c:ext xmlns:c16="http://schemas.microsoft.com/office/drawing/2014/chart" uri="{C3380CC4-5D6E-409C-BE32-E72D297353CC}">
                    <c16:uniqueId val="{0000001B-D83A-4EEE-911C-73F848DF2FF4}"/>
                  </c:ext>
                </c:extLst>
              </c15:ser>
            </c15:filteredLineSeries>
            <c15:filteredLineSeries>
              <c15:ser>
                <c:idx val="28"/>
                <c:order val="22"/>
                <c:tx>
                  <c:strRef>
                    <c:extLst xmlns:c15="http://schemas.microsoft.com/office/drawing/2012/chart">
                      <c:ext xmlns:c15="http://schemas.microsoft.com/office/drawing/2012/chart" uri="{02D57815-91ED-43cb-92C2-25804820EDAC}">
                        <c15:formulaRef>
                          <c15:sqref>'G2&amp;G3_BowWave_2025MAR'!$C$35</c15:sqref>
                        </c15:formulaRef>
                      </c:ext>
                    </c:extLst>
                    <c:strCache>
                      <c:ptCount val="1"/>
                      <c:pt idx="0">
                        <c:v>Baselined to Finish  - Cumulative</c:v>
                      </c:pt>
                    </c:strCache>
                  </c:strRef>
                </c:tx>
                <c:spPr>
                  <a:ln w="28575" cap="rnd">
                    <a:solidFill>
                      <a:schemeClr val="accent5">
                        <a:lumMod val="60000"/>
                        <a:lumOff val="40000"/>
                      </a:schemeClr>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cat>
                  <c:numRef>
                    <c:extLst xmlns:c15="http://schemas.microsoft.com/office/drawing/2012/chart">
                      <c:ext xmlns:c15="http://schemas.microsoft.com/office/drawing/2012/chart" uri="{02D57815-91ED-43cb-92C2-25804820EDAC}">
                        <c15:formulaRef>
                          <c15:sqref>'G2&amp;G3_BowWave_2025MAR'!$D$11:$IX$11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'G2&amp;G3_BowWave_2025MAR'!$D$35</c15:sqref>
                        </c15:formulaRef>
                      </c:ext>
                    </c:extLst>
                  </c:numRef>
                </c:val>
                <c:smooth val="0"/>
                <c:extLst xmlns:c15="http://schemas.microsoft.com/office/drawing/2012/chart">
                  <c:ext xmlns:c16="http://schemas.microsoft.com/office/drawing/2014/chart" uri="{C3380CC4-5D6E-409C-BE32-E72D297353CC}">
                    <c16:uniqueId val="{00000034-D83A-4EEE-911C-73F848DF2FF4}"/>
                  </c:ext>
                </c:extLst>
              </c15:ser>
            </c15:filteredLineSeries>
            <c15:filteredLineSeries>
              <c15:ser>
                <c:idx val="29"/>
                <c:order val="23"/>
                <c:tx>
                  <c:strRef>
                    <c:extLst xmlns:c15="http://schemas.microsoft.com/office/drawing/2012/chart">
                      <c:ext xmlns:c15="http://schemas.microsoft.com/office/drawing/2012/chart" uri="{02D57815-91ED-43cb-92C2-25804820EDAC}">
                        <c15:formulaRef>
                          <c15:sqref>'G2&amp;G3_BowWave_2025MAR'!$C$36</c15:sqref>
                        </c15:formulaRef>
                      </c:ext>
                    </c:extLst>
                    <c:strCache>
                      <c:ptCount val="1"/>
                      <c:pt idx="0">
                        <c:v>Scheduled to Finish  - Cumulative</c:v>
                      </c:pt>
                    </c:strCache>
                  </c:strRef>
                </c:tx>
                <c:spPr>
                  <a:ln w="28575" cap="rnd">
                    <a:solidFill>
                      <a:schemeClr val="accent6">
                        <a:lumMod val="60000"/>
                        <a:lumOff val="40000"/>
                      </a:schemeClr>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cat>
                  <c:numRef>
                    <c:extLst xmlns:c15="http://schemas.microsoft.com/office/drawing/2012/chart">
                      <c:ext xmlns:c15="http://schemas.microsoft.com/office/drawing/2012/chart" uri="{02D57815-91ED-43cb-92C2-25804820EDAC}">
                        <c15:formulaRef>
                          <c15:sqref>'G2&amp;G3_BowWave_2025MAR'!$D$11:$IX$11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'G2&amp;G3_BowWave_2025MAR'!$D$36</c15:sqref>
                        </c15:formulaRef>
                      </c:ext>
                    </c:extLst>
                  </c:numRef>
                </c:val>
                <c:smooth val="0"/>
                <c:extLst xmlns:c15="http://schemas.microsoft.com/office/drawing/2012/chart">
                  <c:ext xmlns:c16="http://schemas.microsoft.com/office/drawing/2014/chart" uri="{C3380CC4-5D6E-409C-BE32-E72D297353CC}">
                    <c16:uniqueId val="{00000035-D83A-4EEE-911C-73F848DF2FF4}"/>
                  </c:ext>
                </c:extLst>
              </c15:ser>
            </c15:filteredLineSeries>
            <c15:filteredLineSeries>
              <c15:ser>
                <c:idx val="30"/>
                <c:order val="24"/>
                <c:tx>
                  <c:strRef>
                    <c:extLst xmlns:c15="http://schemas.microsoft.com/office/drawing/2012/chart">
                      <c:ext xmlns:c15="http://schemas.microsoft.com/office/drawing/2012/chart" uri="{02D57815-91ED-43cb-92C2-25804820EDAC}">
                        <c15:formulaRef>
                          <c15:sqref>'G2&amp;G3_BowWave_2025MAR'!$C$37</c15:sqref>
                        </c15:formulaRef>
                      </c:ext>
                    </c:extLst>
                    <c:strCache>
                      <c:ptCount val="1"/>
                      <c:pt idx="0">
                        <c:v>Actual Finishes  - Cumulative</c:v>
                      </c:pt>
                    </c:strCache>
                  </c:strRef>
                </c:tx>
                <c:spPr>
                  <a:ln w="28575" cap="rnd">
                    <a:solidFill>
                      <a:schemeClr val="accent1">
                        <a:lumMod val="50000"/>
                      </a:schemeClr>
                    </a:solidFill>
                    <a:round/>
                  </a:ln>
                  <a:effectLst/>
                </c:spPr>
                <c:marker>
                  <c:symbol val="circle"/>
                  <c:size val="5"/>
                  <c:spPr>
                    <a:solidFill>
                      <a:schemeClr val="accent1">
                        <a:lumMod val="50000"/>
                      </a:schemeClr>
                    </a:solidFill>
                    <a:ln w="9525">
                      <a:solidFill>
                        <a:schemeClr val="accent1">
                          <a:lumMod val="50000"/>
                        </a:schemeClr>
                      </a:solidFill>
                    </a:ln>
                    <a:effectLst/>
                  </c:spPr>
                </c:marker>
                <c:cat>
                  <c:numRef>
                    <c:extLst xmlns:c15="http://schemas.microsoft.com/office/drawing/2012/chart">
                      <c:ext xmlns:c15="http://schemas.microsoft.com/office/drawing/2012/chart" uri="{02D57815-91ED-43cb-92C2-25804820EDAC}">
                        <c15:formulaRef>
                          <c15:sqref>'G2&amp;G3_BowWave_2025MAR'!$D$11:$IX$11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'G2&amp;G3_BowWave_2025MAR'!$D$37:$DD$37</c15:sqref>
                        </c15:formulaRef>
                      </c:ext>
                    </c:extLst>
                    <c:numCache>
                      <c:formatCode>General</c:formatCode>
                      <c:ptCount val="25"/>
                      <c:pt idx="0">
                        <c:v>1654</c:v>
                      </c:pt>
                      <c:pt idx="1">
                        <c:v>1710</c:v>
                      </c:pt>
                      <c:pt idx="2">
                        <c:v>1753</c:v>
                      </c:pt>
                      <c:pt idx="3">
                        <c:v>1800</c:v>
                      </c:pt>
                      <c:pt idx="4">
                        <c:v>1845</c:v>
                      </c:pt>
                      <c:pt idx="5">
                        <c:v>1900</c:v>
                      </c:pt>
                      <c:pt idx="6">
                        <c:v>1931</c:v>
                      </c:pt>
                      <c:pt idx="7">
                        <c:v>1962</c:v>
                      </c:pt>
                      <c:pt idx="8">
                        <c:v>1992</c:v>
                      </c:pt>
                      <c:pt idx="9">
                        <c:v>2052</c:v>
                      </c:pt>
                      <c:pt idx="10">
                        <c:v>2099</c:v>
                      </c:pt>
                      <c:pt idx="11">
                        <c:v>2137</c:v>
                      </c:pt>
                      <c:pt idx="12">
                        <c:v>2190</c:v>
                      </c:pt>
                      <c:pt idx="13">
                        <c:v>2190</c:v>
                      </c:pt>
                      <c:pt idx="14">
                        <c:v>2190</c:v>
                      </c:pt>
                      <c:pt idx="15">
                        <c:v>2190</c:v>
                      </c:pt>
                      <c:pt idx="16">
                        <c:v>2190</c:v>
                      </c:pt>
                      <c:pt idx="17">
                        <c:v>2190</c:v>
                      </c:pt>
                      <c:pt idx="18">
                        <c:v>2190</c:v>
                      </c:pt>
                      <c:pt idx="19">
                        <c:v>2190</c:v>
                      </c:pt>
                      <c:pt idx="20">
                        <c:v>2190</c:v>
                      </c:pt>
                      <c:pt idx="21">
                        <c:v>2190</c:v>
                      </c:pt>
                      <c:pt idx="22">
                        <c:v>2190</c:v>
                      </c:pt>
                      <c:pt idx="23">
                        <c:v>2190</c:v>
                      </c:pt>
                      <c:pt idx="24">
                        <c:v>2190</c:v>
                      </c:pt>
                    </c:numCache>
                  </c:numRef>
                </c:val>
                <c:smooth val="0"/>
                <c:extLst xmlns:c15="http://schemas.microsoft.com/office/drawing/2012/chart">
                  <c:ext xmlns:c16="http://schemas.microsoft.com/office/drawing/2014/chart" uri="{C3380CC4-5D6E-409C-BE32-E72D297353CC}">
                    <c16:uniqueId val="{00000036-D83A-4EEE-911C-73F848DF2FF4}"/>
                  </c:ext>
                </c:extLst>
              </c15:ser>
            </c15:filteredLineSeries>
          </c:ext>
        </c:extLst>
      </c:lineChart>
      <c:catAx>
        <c:axId val="2001818015"/>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2001820415"/>
        <c:crosses val="autoZero"/>
        <c:auto val="1"/>
        <c:lblAlgn val="ctr"/>
        <c:lblOffset val="100"/>
        <c:noMultiLvlLbl val="0"/>
      </c:catAx>
      <c:valAx>
        <c:axId val="2001820415"/>
        <c:scaling>
          <c:orientation val="minMax"/>
          <c:max val="125"/>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 of Activities</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001818015"/>
        <c:crosses val="autoZero"/>
        <c:crossBetween val="between"/>
        <c:majorUnit val="25"/>
      </c:valAx>
      <c:valAx>
        <c:axId val="1121471199"/>
        <c:scaling>
          <c:orientation val="minMax"/>
          <c:max val="3000"/>
          <c:min val="0"/>
        </c:scaling>
        <c:delete val="0"/>
        <c:axPos val="r"/>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Schedule Execution  Index</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121466879"/>
        <c:crosses val="max"/>
        <c:crossBetween val="between"/>
        <c:majorUnit val="500"/>
      </c:valAx>
      <c:dateAx>
        <c:axId val="1121466879"/>
        <c:scaling>
          <c:orientation val="minMax"/>
        </c:scaling>
        <c:delete val="1"/>
        <c:axPos val="b"/>
        <c:numFmt formatCode="mmm\-yy" sourceLinked="1"/>
        <c:majorTickMark val="out"/>
        <c:minorTickMark val="none"/>
        <c:tickLblPos val="nextTo"/>
        <c:crossAx val="1121471199"/>
        <c:crosses val="autoZero"/>
        <c:auto val="1"/>
        <c:lblOffset val="100"/>
        <c:baseTimeUnit val="months"/>
        <c:majorUnit val="1"/>
        <c:minorUnit val="1"/>
      </c:dateAx>
      <c:spPr>
        <a:noFill/>
        <a:ln>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baseline="0"/>
              <a:t>Activity Finishes - As of March 2025</a:t>
            </a:r>
            <a:endParaRPr lang="en-US" sz="1600" b="1"/>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11"/>
          <c:order val="9"/>
          <c:tx>
            <c:strRef>
              <c:f>'G2&amp;G3_BowWave_2025MAR'!$C$23</c:f>
              <c:strCache>
                <c:ptCount val="1"/>
                <c:pt idx="0">
                  <c:v>Completed Delayed (&gt;60 days)</c:v>
                </c:pt>
              </c:strCache>
              <c:extLst xmlns:c15="http://schemas.microsoft.com/office/drawing/2012/chart"/>
            </c:strRef>
          </c:tx>
          <c:spPr>
            <a:solidFill>
              <a:srgbClr val="CC99FF"/>
            </a:solidFill>
            <a:ln>
              <a:noFill/>
            </a:ln>
            <a:effectLst/>
          </c:spPr>
          <c:cat>
            <c:numRef>
              <c:f>'G2&amp;G3_BowWave_2025MAR'!$D$11:$IX$11</c:f>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extLst xmlns:c15="http://schemas.microsoft.com/office/drawing/2012/chart"/>
            </c:numRef>
          </c:cat>
          <c:val>
            <c:numRef>
              <c:f>'G2&amp;G3_BowWave_2025MAR'!$D$23:$IX$23</c:f>
              <c:numCache>
                <c:formatCode>General</c:formatCode>
                <c:ptCount val="25"/>
                <c:pt idx="0">
                  <c:v>18</c:v>
                </c:pt>
                <c:pt idx="1">
                  <c:v>20</c:v>
                </c:pt>
                <c:pt idx="2">
                  <c:v>19</c:v>
                </c:pt>
                <c:pt idx="3">
                  <c:v>35</c:v>
                </c:pt>
                <c:pt idx="4">
                  <c:v>36</c:v>
                </c:pt>
                <c:pt idx="5">
                  <c:v>47</c:v>
                </c:pt>
                <c:pt idx="6">
                  <c:v>22</c:v>
                </c:pt>
                <c:pt idx="7">
                  <c:v>6</c:v>
                </c:pt>
                <c:pt idx="8">
                  <c:v>5</c:v>
                </c:pt>
                <c:pt idx="9">
                  <c:v>5</c:v>
                </c:pt>
                <c:pt idx="10">
                  <c:v>1</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extLst xmlns:c15="http://schemas.microsoft.com/office/drawing/2012/chart"/>
            </c:numRef>
          </c:val>
          <c:extLst xmlns:c15="http://schemas.microsoft.com/office/drawing/2012/chart">
            <c:ext xmlns:c16="http://schemas.microsoft.com/office/drawing/2014/chart" uri="{C3380CC4-5D6E-409C-BE32-E72D297353CC}">
              <c16:uniqueId val="{00000000-8FB2-475D-B309-20DA0F77AFFE}"/>
            </c:ext>
          </c:extLst>
        </c:ser>
        <c:ser>
          <c:idx val="10"/>
          <c:order val="10"/>
          <c:tx>
            <c:strRef>
              <c:f>'G2&amp;G3_BowWave_2025MAR'!$C$22</c:f>
              <c:strCache>
                <c:ptCount val="1"/>
                <c:pt idx="0">
                  <c:v>Completed Delayed (Between 31 to 60 days)</c:v>
                </c:pt>
              </c:strCache>
              <c:extLst xmlns:c15="http://schemas.microsoft.com/office/drawing/2012/chart"/>
            </c:strRef>
          </c:tx>
          <c:spPr>
            <a:solidFill>
              <a:srgbClr val="FFFFCC"/>
            </a:solidFill>
            <a:ln>
              <a:noFill/>
            </a:ln>
            <a:effectLst/>
          </c:spPr>
          <c:cat>
            <c:numRef>
              <c:f>'G2&amp;G3_BowWave_2025MAR'!$D$11:$IX$11</c:f>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extLst xmlns:c15="http://schemas.microsoft.com/office/drawing/2012/chart"/>
            </c:numRef>
          </c:cat>
          <c:val>
            <c:numRef>
              <c:f>'G2&amp;G3_BowWave_2025MAR'!$D$22:$IX$22</c:f>
              <c:numCache>
                <c:formatCode>General</c:formatCode>
                <c:ptCount val="25"/>
                <c:pt idx="0">
                  <c:v>0</c:v>
                </c:pt>
                <c:pt idx="1">
                  <c:v>3</c:v>
                </c:pt>
                <c:pt idx="2">
                  <c:v>6</c:v>
                </c:pt>
                <c:pt idx="3">
                  <c:v>8</c:v>
                </c:pt>
                <c:pt idx="4">
                  <c:v>3</c:v>
                </c:pt>
                <c:pt idx="5">
                  <c:v>4</c:v>
                </c:pt>
                <c:pt idx="6">
                  <c:v>1</c:v>
                </c:pt>
                <c:pt idx="7">
                  <c:v>2</c:v>
                </c:pt>
                <c:pt idx="8">
                  <c:v>4</c:v>
                </c:pt>
                <c:pt idx="9">
                  <c:v>1</c:v>
                </c:pt>
                <c:pt idx="10">
                  <c:v>3</c:v>
                </c:pt>
                <c:pt idx="11">
                  <c:v>1</c:v>
                </c:pt>
                <c:pt idx="12">
                  <c:v>0</c:v>
                </c:pt>
                <c:pt idx="13">
                  <c:v>0</c:v>
                </c:pt>
                <c:pt idx="14">
                  <c:v>0</c:v>
                </c:pt>
                <c:pt idx="15">
                  <c:v>0</c:v>
                </c:pt>
                <c:pt idx="16">
                  <c:v>0</c:v>
                </c:pt>
                <c:pt idx="17">
                  <c:v>0</c:v>
                </c:pt>
                <c:pt idx="18">
                  <c:v>0</c:v>
                </c:pt>
                <c:pt idx="19">
                  <c:v>0</c:v>
                </c:pt>
                <c:pt idx="20">
                  <c:v>0</c:v>
                </c:pt>
                <c:pt idx="21">
                  <c:v>0</c:v>
                </c:pt>
                <c:pt idx="22">
                  <c:v>0</c:v>
                </c:pt>
                <c:pt idx="23">
                  <c:v>0</c:v>
                </c:pt>
                <c:pt idx="24">
                  <c:v>0</c:v>
                </c:pt>
              </c:numCache>
              <c:extLst xmlns:c15="http://schemas.microsoft.com/office/drawing/2012/chart"/>
            </c:numRef>
          </c:val>
          <c:extLst xmlns:c15="http://schemas.microsoft.com/office/drawing/2012/chart">
            <c:ext xmlns:c16="http://schemas.microsoft.com/office/drawing/2014/chart" uri="{C3380CC4-5D6E-409C-BE32-E72D297353CC}">
              <c16:uniqueId val="{00000001-8FB2-475D-B309-20DA0F77AFFE}"/>
            </c:ext>
          </c:extLst>
        </c:ser>
        <c:ser>
          <c:idx val="9"/>
          <c:order val="11"/>
          <c:tx>
            <c:strRef>
              <c:f>'G2&amp;G3_BowWave_2025MAR'!$C$21</c:f>
              <c:strCache>
                <c:ptCount val="1"/>
                <c:pt idx="0">
                  <c:v>Completed Delayed (&lt;=30 days)</c:v>
                </c:pt>
              </c:strCache>
              <c:extLst xmlns:c15="http://schemas.microsoft.com/office/drawing/2012/chart"/>
            </c:strRef>
          </c:tx>
          <c:spPr>
            <a:solidFill>
              <a:srgbClr val="00FFFF"/>
            </a:solidFill>
            <a:ln>
              <a:noFill/>
            </a:ln>
            <a:effectLst/>
          </c:spPr>
          <c:cat>
            <c:numRef>
              <c:f>'G2&amp;G3_BowWave_2025MAR'!$D$11:$IX$11</c:f>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extLst xmlns:c15="http://schemas.microsoft.com/office/drawing/2012/chart"/>
            </c:numRef>
          </c:cat>
          <c:val>
            <c:numRef>
              <c:f>'G2&amp;G3_BowWave_2025MAR'!$D$21:$IX$21</c:f>
              <c:numCache>
                <c:formatCode>General</c:formatCode>
                <c:ptCount val="25"/>
                <c:pt idx="0">
                  <c:v>6</c:v>
                </c:pt>
                <c:pt idx="1">
                  <c:v>0</c:v>
                </c:pt>
                <c:pt idx="2">
                  <c:v>1</c:v>
                </c:pt>
                <c:pt idx="3">
                  <c:v>6</c:v>
                </c:pt>
                <c:pt idx="4">
                  <c:v>8</c:v>
                </c:pt>
                <c:pt idx="5">
                  <c:v>8</c:v>
                </c:pt>
                <c:pt idx="6">
                  <c:v>2</c:v>
                </c:pt>
                <c:pt idx="7">
                  <c:v>3</c:v>
                </c:pt>
                <c:pt idx="8">
                  <c:v>0</c:v>
                </c:pt>
                <c:pt idx="9">
                  <c:v>2</c:v>
                </c:pt>
                <c:pt idx="10">
                  <c:v>1</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extLst xmlns:c15="http://schemas.microsoft.com/office/drawing/2012/chart"/>
            </c:numRef>
          </c:val>
          <c:extLst xmlns:c15="http://schemas.microsoft.com/office/drawing/2012/chart">
            <c:ext xmlns:c16="http://schemas.microsoft.com/office/drawing/2014/chart" uri="{C3380CC4-5D6E-409C-BE32-E72D297353CC}">
              <c16:uniqueId val="{00000002-8FB2-475D-B309-20DA0F77AFFE}"/>
            </c:ext>
          </c:extLst>
        </c:ser>
        <c:dLbls>
          <c:showLegendKey val="0"/>
          <c:showVal val="0"/>
          <c:showCatName val="0"/>
          <c:showSerName val="0"/>
          <c:showPercent val="0"/>
          <c:showBubbleSize val="0"/>
        </c:dLbls>
        <c:axId val="2001818015"/>
        <c:axId val="2001820415"/>
        <c:extLst>
          <c:ext xmlns:c15="http://schemas.microsoft.com/office/drawing/2012/chart" uri="{02D57815-91ED-43cb-92C2-25804820EDAC}">
            <c15:filteredAreaSeries>
              <c15:ser>
                <c:idx val="8"/>
                <c:order val="6"/>
                <c:tx>
                  <c:strRef>
                    <c:extLst>
                      <c:ext uri="{02D57815-91ED-43cb-92C2-25804820EDAC}">
                        <c15:formulaRef>
                          <c15:sqref>'G2&amp;G3_BowWave_2025MAR'!$C$20</c15:sqref>
                        </c15:formulaRef>
                      </c:ext>
                    </c:extLst>
                    <c:strCache>
                      <c:ptCount val="1"/>
                      <c:pt idx="0">
                        <c:v>Started Delayed (&gt;60 days)</c:v>
                      </c:pt>
                    </c:strCache>
                  </c:strRef>
                </c:tx>
                <c:spPr>
                  <a:solidFill>
                    <a:srgbClr val="9999FF"/>
                  </a:solidFill>
                  <a:ln>
                    <a:noFill/>
                  </a:ln>
                  <a:effectLst/>
                </c:spPr>
                <c:cat>
                  <c:numRef>
                    <c:extLst>
                      <c:ext uri="{02D57815-91ED-43cb-92C2-25804820EDAC}">
                        <c15:formulaRef>
                          <c15:sqref>'G2&amp;G3_BowWave_2025MAR'!$D$11:$IX$11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c:ext uri="{02D57815-91ED-43cb-92C2-25804820EDAC}">
                        <c15:formulaRef>
                          <c15:sqref>'G2&amp;G3_BowWave_2025MAR'!$D$20:$IX$20</c15:sqref>
                        </c15:formulaRef>
                      </c:ext>
                    </c:extLst>
                    <c:numCache>
                      <c:formatCode>General</c:formatCode>
                      <c:ptCount val="25"/>
                      <c:pt idx="0">
                        <c:v>19</c:v>
                      </c:pt>
                      <c:pt idx="1">
                        <c:v>22</c:v>
                      </c:pt>
                      <c:pt idx="2">
                        <c:v>19</c:v>
                      </c:pt>
                      <c:pt idx="3">
                        <c:v>42</c:v>
                      </c:pt>
                      <c:pt idx="4">
                        <c:v>45</c:v>
                      </c:pt>
                      <c:pt idx="5">
                        <c:v>35</c:v>
                      </c:pt>
                      <c:pt idx="6">
                        <c:v>12</c:v>
                      </c:pt>
                      <c:pt idx="7">
                        <c:v>7</c:v>
                      </c:pt>
                      <c:pt idx="8">
                        <c:v>4</c:v>
                      </c:pt>
                      <c:pt idx="9">
                        <c:v>4</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extLst>
                  <c:ext xmlns:c16="http://schemas.microsoft.com/office/drawing/2014/chart" uri="{C3380CC4-5D6E-409C-BE32-E72D297353CC}">
                    <c16:uniqueId val="{0000002B-8FB2-475D-B309-20DA0F77AFFE}"/>
                  </c:ext>
                </c:extLst>
              </c15:ser>
            </c15:filteredAreaSeries>
            <c15:filteredAreaSeries>
              <c15:ser>
                <c:idx val="7"/>
                <c:order val="7"/>
                <c:tx>
                  <c:strRef>
                    <c:extLst xmlns:c15="http://schemas.microsoft.com/office/drawing/2012/chart">
                      <c:ext xmlns:c15="http://schemas.microsoft.com/office/drawing/2012/chart" uri="{02D57815-91ED-43cb-92C2-25804820EDAC}">
                        <c15:formulaRef>
                          <c15:sqref>'G2&amp;G3_BowWave_2025MAR'!$C$19</c15:sqref>
                        </c15:formulaRef>
                      </c:ext>
                    </c:extLst>
                    <c:strCache>
                      <c:ptCount val="1"/>
                      <c:pt idx="0">
                        <c:v>Started Delayed (Between 31 to 60 days)</c:v>
                      </c:pt>
                    </c:strCache>
                  </c:strRef>
                </c:tx>
                <c:spPr>
                  <a:solidFill>
                    <a:srgbClr val="FFFFCC"/>
                  </a:solidFill>
                  <a:ln>
                    <a:noFill/>
                  </a:ln>
                  <a:effectLst/>
                </c:spPr>
                <c:cat>
                  <c:numRef>
                    <c:extLst xmlns:c15="http://schemas.microsoft.com/office/drawing/2012/chart">
                      <c:ext xmlns:c15="http://schemas.microsoft.com/office/drawing/2012/chart" uri="{02D57815-91ED-43cb-92C2-25804820EDAC}">
                        <c15:formulaRef>
                          <c15:sqref>'G2&amp;G3_BowWave_2025MAR'!$D$11:$IX$11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'G2&amp;G3_BowWave_2025MAR'!$D$19:$IX$19</c15:sqref>
                        </c15:formulaRef>
                      </c:ext>
                    </c:extLst>
                    <c:numCache>
                      <c:formatCode>General</c:formatCode>
                      <c:ptCount val="25"/>
                      <c:pt idx="0">
                        <c:v>1</c:v>
                      </c:pt>
                      <c:pt idx="1">
                        <c:v>3</c:v>
                      </c:pt>
                      <c:pt idx="2">
                        <c:v>0</c:v>
                      </c:pt>
                      <c:pt idx="3">
                        <c:v>10</c:v>
                      </c:pt>
                      <c:pt idx="4">
                        <c:v>1</c:v>
                      </c:pt>
                      <c:pt idx="5">
                        <c:v>3</c:v>
                      </c:pt>
                      <c:pt idx="6">
                        <c:v>1</c:v>
                      </c:pt>
                      <c:pt idx="7">
                        <c:v>3</c:v>
                      </c:pt>
                      <c:pt idx="8">
                        <c:v>4</c:v>
                      </c:pt>
                      <c:pt idx="9">
                        <c:v>2</c:v>
                      </c:pt>
                      <c:pt idx="10">
                        <c:v>3</c:v>
                      </c:pt>
                      <c:pt idx="11">
                        <c:v>1</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extLst xmlns:c15="http://schemas.microsoft.com/office/drawing/2012/chart">
                  <c:ext xmlns:c16="http://schemas.microsoft.com/office/drawing/2014/chart" uri="{C3380CC4-5D6E-409C-BE32-E72D297353CC}">
                    <c16:uniqueId val="{0000002C-8FB2-475D-B309-20DA0F77AFFE}"/>
                  </c:ext>
                </c:extLst>
              </c15:ser>
            </c15:filteredAreaSeries>
            <c15:filteredAreaSeries>
              <c15:ser>
                <c:idx val="6"/>
                <c:order val="8"/>
                <c:tx>
                  <c:strRef>
                    <c:extLst xmlns:c15="http://schemas.microsoft.com/office/drawing/2012/chart">
                      <c:ext xmlns:c15="http://schemas.microsoft.com/office/drawing/2012/chart" uri="{02D57815-91ED-43cb-92C2-25804820EDAC}">
                        <c15:formulaRef>
                          <c15:sqref>'G2&amp;G3_BowWave_2025MAR'!$C$18</c15:sqref>
                        </c15:formulaRef>
                      </c:ext>
                    </c:extLst>
                    <c:strCache>
                      <c:ptCount val="1"/>
                      <c:pt idx="0">
                        <c:v>Started Delayed (&lt;=30 days)</c:v>
                      </c:pt>
                    </c:strCache>
                  </c:strRef>
                </c:tx>
                <c:spPr>
                  <a:solidFill>
                    <a:srgbClr val="00FFFF"/>
                  </a:solidFill>
                  <a:ln>
                    <a:noFill/>
                  </a:ln>
                  <a:effectLst/>
                </c:spPr>
                <c:cat>
                  <c:numRef>
                    <c:extLst xmlns:c15="http://schemas.microsoft.com/office/drawing/2012/chart">
                      <c:ext xmlns:c15="http://schemas.microsoft.com/office/drawing/2012/chart" uri="{02D57815-91ED-43cb-92C2-25804820EDAC}">
                        <c15:formulaRef>
                          <c15:sqref>'G2&amp;G3_BowWave_2025MAR'!$D$11:$IX$11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'G2&amp;G3_BowWave_2025MAR'!$D$18:$IX$18</c15:sqref>
                        </c15:formulaRef>
                      </c:ext>
                    </c:extLst>
                    <c:numCache>
                      <c:formatCode>General</c:formatCode>
                      <c:ptCount val="25"/>
                      <c:pt idx="0">
                        <c:v>9</c:v>
                      </c:pt>
                      <c:pt idx="1">
                        <c:v>0</c:v>
                      </c:pt>
                      <c:pt idx="2">
                        <c:v>3</c:v>
                      </c:pt>
                      <c:pt idx="3">
                        <c:v>4</c:v>
                      </c:pt>
                      <c:pt idx="4">
                        <c:v>4</c:v>
                      </c:pt>
                      <c:pt idx="5">
                        <c:v>7</c:v>
                      </c:pt>
                      <c:pt idx="6">
                        <c:v>2</c:v>
                      </c:pt>
                      <c:pt idx="7">
                        <c:v>2</c:v>
                      </c:pt>
                      <c:pt idx="8">
                        <c:v>0</c:v>
                      </c:pt>
                      <c:pt idx="9">
                        <c:v>2</c:v>
                      </c:pt>
                      <c:pt idx="10">
                        <c:v>1</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extLst xmlns:c15="http://schemas.microsoft.com/office/drawing/2012/chart">
                  <c:ext xmlns:c16="http://schemas.microsoft.com/office/drawing/2014/chart" uri="{C3380CC4-5D6E-409C-BE32-E72D297353CC}">
                    <c16:uniqueId val="{0000002D-8FB2-475D-B309-20DA0F77AFFE}"/>
                  </c:ext>
                </c:extLst>
              </c15:ser>
            </c15:filteredAreaSeries>
          </c:ext>
        </c:extLst>
      </c:areaChart>
      <c:barChart>
        <c:barDir val="col"/>
        <c:grouping val="clustered"/>
        <c:varyColors val="0"/>
        <c:ser>
          <c:idx val="3"/>
          <c:order val="3"/>
          <c:tx>
            <c:strRef>
              <c:f>'G2&amp;G3_BowWave_2025MAR'!$C$15</c:f>
              <c:strCache>
                <c:ptCount val="1"/>
                <c:pt idx="0">
                  <c:v>Baselined to Finish</c:v>
                </c:pt>
              </c:strCache>
              <c:extLst xmlns:c15="http://schemas.microsoft.com/office/drawing/2012/chart"/>
            </c:strRef>
          </c:tx>
          <c:spPr>
            <a:solidFill>
              <a:schemeClr val="accent4">
                <a:lumMod val="60000"/>
                <a:lumOff val="40000"/>
              </a:schemeClr>
            </a:solidFill>
            <a:ln>
              <a:solidFill>
                <a:schemeClr val="accent2"/>
              </a:solidFill>
            </a:ln>
            <a:effectLst/>
          </c:spPr>
          <c:invertIfNegative val="0"/>
          <c:cat>
            <c:numRef>
              <c:f>'G2&amp;G3_BowWave_2025MAR'!$D$11:$IX$11</c:f>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f>'G2&amp;G3_BowWave_2025MAR'!$D$15:$IX$15</c:f>
              <c:numCache>
                <c:formatCode>General</c:formatCode>
                <c:ptCount val="25"/>
                <c:pt idx="0">
                  <c:v>63</c:v>
                </c:pt>
                <c:pt idx="1">
                  <c:v>49</c:v>
                </c:pt>
                <c:pt idx="2">
                  <c:v>56</c:v>
                </c:pt>
                <c:pt idx="3">
                  <c:v>81</c:v>
                </c:pt>
                <c:pt idx="4">
                  <c:v>78</c:v>
                </c:pt>
                <c:pt idx="5">
                  <c:v>106</c:v>
                </c:pt>
                <c:pt idx="6">
                  <c:v>58</c:v>
                </c:pt>
                <c:pt idx="7">
                  <c:v>90</c:v>
                </c:pt>
                <c:pt idx="8">
                  <c:v>47</c:v>
                </c:pt>
                <c:pt idx="9">
                  <c:v>50</c:v>
                </c:pt>
                <c:pt idx="10">
                  <c:v>37</c:v>
                </c:pt>
                <c:pt idx="11">
                  <c:v>16</c:v>
                </c:pt>
                <c:pt idx="12">
                  <c:v>31</c:v>
                </c:pt>
                <c:pt idx="13">
                  <c:v>31</c:v>
                </c:pt>
                <c:pt idx="14">
                  <c:v>16</c:v>
                </c:pt>
                <c:pt idx="15">
                  <c:v>8</c:v>
                </c:pt>
                <c:pt idx="16">
                  <c:v>2</c:v>
                </c:pt>
                <c:pt idx="17">
                  <c:v>3</c:v>
                </c:pt>
                <c:pt idx="18">
                  <c:v>6</c:v>
                </c:pt>
                <c:pt idx="19">
                  <c:v>2</c:v>
                </c:pt>
                <c:pt idx="20">
                  <c:v>2</c:v>
                </c:pt>
                <c:pt idx="21">
                  <c:v>6</c:v>
                </c:pt>
                <c:pt idx="22">
                  <c:v>3</c:v>
                </c:pt>
                <c:pt idx="23">
                  <c:v>1</c:v>
                </c:pt>
                <c:pt idx="24">
                  <c:v>0</c:v>
                </c:pt>
              </c:numCache>
              <c:extLst xmlns:c15="http://schemas.microsoft.com/office/drawing/2012/chart"/>
            </c:numRef>
          </c:val>
          <c:extLst xmlns:c15="http://schemas.microsoft.com/office/drawing/2012/chart">
            <c:ext xmlns:c16="http://schemas.microsoft.com/office/drawing/2014/chart" uri="{C3380CC4-5D6E-409C-BE32-E72D297353CC}">
              <c16:uniqueId val="{00000003-8FB2-475D-B309-20DA0F77AFFE}"/>
            </c:ext>
          </c:extLst>
        </c:ser>
        <c:ser>
          <c:idx val="4"/>
          <c:order val="4"/>
          <c:tx>
            <c:strRef>
              <c:f>'G2&amp;G3_BowWave_2025MAR'!$C$16</c:f>
              <c:strCache>
                <c:ptCount val="1"/>
                <c:pt idx="0">
                  <c:v>Scheduled to Finish</c:v>
                </c:pt>
              </c:strCache>
              <c:extLst xmlns:c15="http://schemas.microsoft.com/office/drawing/2012/chart"/>
            </c:strRef>
          </c:tx>
          <c:spPr>
            <a:solidFill>
              <a:schemeClr val="accent5">
                <a:lumMod val="60000"/>
                <a:lumOff val="40000"/>
              </a:schemeClr>
            </a:solidFill>
            <a:ln>
              <a:solidFill>
                <a:schemeClr val="accent5">
                  <a:lumMod val="75000"/>
                </a:schemeClr>
              </a:solidFill>
            </a:ln>
            <a:effectLst/>
          </c:spPr>
          <c:invertIfNegative val="0"/>
          <c:cat>
            <c:numRef>
              <c:f>'G2&amp;G3_BowWave_2025MAR'!$D$11:$IX$11</c:f>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f>'G2&amp;G3_BowWave_2025MAR'!$D$16:$IX$16</c:f>
              <c:numCache>
                <c:formatCode>General</c:formatCode>
                <c:ptCount val="25"/>
                <c:pt idx="0">
                  <c:v>70</c:v>
                </c:pt>
                <c:pt idx="1">
                  <c:v>56</c:v>
                </c:pt>
                <c:pt idx="2">
                  <c:v>43</c:v>
                </c:pt>
                <c:pt idx="3">
                  <c:v>47</c:v>
                </c:pt>
                <c:pt idx="4">
                  <c:v>45</c:v>
                </c:pt>
                <c:pt idx="5">
                  <c:v>55</c:v>
                </c:pt>
                <c:pt idx="6">
                  <c:v>31</c:v>
                </c:pt>
                <c:pt idx="7">
                  <c:v>31</c:v>
                </c:pt>
                <c:pt idx="8">
                  <c:v>30</c:v>
                </c:pt>
                <c:pt idx="9">
                  <c:v>60</c:v>
                </c:pt>
                <c:pt idx="10">
                  <c:v>47</c:v>
                </c:pt>
                <c:pt idx="11">
                  <c:v>38</c:v>
                </c:pt>
                <c:pt idx="12">
                  <c:v>61</c:v>
                </c:pt>
                <c:pt idx="13">
                  <c:v>95</c:v>
                </c:pt>
                <c:pt idx="14">
                  <c:v>63</c:v>
                </c:pt>
                <c:pt idx="15">
                  <c:v>67</c:v>
                </c:pt>
                <c:pt idx="16">
                  <c:v>48</c:v>
                </c:pt>
                <c:pt idx="17">
                  <c:v>33</c:v>
                </c:pt>
                <c:pt idx="18">
                  <c:v>17</c:v>
                </c:pt>
                <c:pt idx="19">
                  <c:v>31</c:v>
                </c:pt>
                <c:pt idx="20">
                  <c:v>17</c:v>
                </c:pt>
                <c:pt idx="21">
                  <c:v>16</c:v>
                </c:pt>
                <c:pt idx="22">
                  <c:v>29</c:v>
                </c:pt>
                <c:pt idx="23">
                  <c:v>10</c:v>
                </c:pt>
                <c:pt idx="24">
                  <c:v>3</c:v>
                </c:pt>
              </c:numCache>
              <c:extLst xmlns:c15="http://schemas.microsoft.com/office/drawing/2012/chart"/>
            </c:numRef>
          </c:val>
          <c:extLst xmlns:c15="http://schemas.microsoft.com/office/drawing/2012/chart">
            <c:ext xmlns:c16="http://schemas.microsoft.com/office/drawing/2014/chart" uri="{C3380CC4-5D6E-409C-BE32-E72D297353CC}">
              <c16:uniqueId val="{00000004-8FB2-475D-B309-20DA0F77AFFE}"/>
            </c:ext>
          </c:extLst>
        </c:ser>
        <c:ser>
          <c:idx val="22"/>
          <c:order val="5"/>
          <c:tx>
            <c:strRef>
              <c:f>'G2&amp;G3_BowWave_2025MAR'!$C$17</c:f>
              <c:strCache>
                <c:ptCount val="1"/>
                <c:pt idx="0">
                  <c:v>Actual Finishes</c:v>
                </c:pt>
              </c:strCache>
              <c:extLst xmlns:c15="http://schemas.microsoft.com/office/drawing/2012/chart"/>
            </c:strRef>
          </c:tx>
          <c:spPr>
            <a:solidFill>
              <a:srgbClr val="92D050"/>
            </a:solidFill>
            <a:ln>
              <a:solidFill>
                <a:schemeClr val="accent6">
                  <a:lumMod val="75000"/>
                </a:schemeClr>
              </a:solidFill>
            </a:ln>
            <a:effectLst/>
          </c:spPr>
          <c:invertIfNegative val="0"/>
          <c:cat>
            <c:numRef>
              <c:f>'G2&amp;G3_BowWave_2025MAR'!$D$11:$IX$11</c:f>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f>'G2&amp;G3_BowWave_2025MAR'!$D$17:$IX$17</c:f>
              <c:numCache>
                <c:formatCode>General</c:formatCode>
                <c:ptCount val="25"/>
                <c:pt idx="0">
                  <c:v>70</c:v>
                </c:pt>
                <c:pt idx="1">
                  <c:v>56</c:v>
                </c:pt>
                <c:pt idx="2">
                  <c:v>43</c:v>
                </c:pt>
                <c:pt idx="3">
                  <c:v>47</c:v>
                </c:pt>
                <c:pt idx="4">
                  <c:v>45</c:v>
                </c:pt>
                <c:pt idx="5">
                  <c:v>55</c:v>
                </c:pt>
                <c:pt idx="6">
                  <c:v>31</c:v>
                </c:pt>
                <c:pt idx="7">
                  <c:v>31</c:v>
                </c:pt>
                <c:pt idx="8">
                  <c:v>30</c:v>
                </c:pt>
                <c:pt idx="9">
                  <c:v>60</c:v>
                </c:pt>
                <c:pt idx="10">
                  <c:v>47</c:v>
                </c:pt>
                <c:pt idx="11">
                  <c:v>38</c:v>
                </c:pt>
                <c:pt idx="12">
                  <c:v>53</c:v>
                </c:pt>
                <c:pt idx="13">
                  <c:v>0</c:v>
                </c:pt>
                <c:pt idx="14">
                  <c:v>0</c:v>
                </c:pt>
                <c:pt idx="15">
                  <c:v>0</c:v>
                </c:pt>
                <c:pt idx="16">
                  <c:v>0</c:v>
                </c:pt>
                <c:pt idx="17">
                  <c:v>0</c:v>
                </c:pt>
                <c:pt idx="18">
                  <c:v>0</c:v>
                </c:pt>
                <c:pt idx="19">
                  <c:v>0</c:v>
                </c:pt>
                <c:pt idx="20">
                  <c:v>0</c:v>
                </c:pt>
                <c:pt idx="21">
                  <c:v>0</c:v>
                </c:pt>
                <c:pt idx="22">
                  <c:v>0</c:v>
                </c:pt>
                <c:pt idx="23">
                  <c:v>0</c:v>
                </c:pt>
                <c:pt idx="24">
                  <c:v>0</c:v>
                </c:pt>
              </c:numCache>
              <c:extLst xmlns:c15="http://schemas.microsoft.com/office/drawing/2012/chart"/>
            </c:numRef>
          </c:val>
          <c:extLst xmlns:c15="http://schemas.microsoft.com/office/drawing/2012/chart">
            <c:ext xmlns:c16="http://schemas.microsoft.com/office/drawing/2014/chart" uri="{C3380CC4-5D6E-409C-BE32-E72D297353CC}">
              <c16:uniqueId val="{00000005-8FB2-475D-B309-20DA0F77AFFE}"/>
            </c:ext>
          </c:extLst>
        </c:ser>
        <c:ser>
          <c:idx val="18"/>
          <c:order val="18"/>
          <c:tx>
            <c:strRef>
              <c:f>'G2&amp;G3_BowWave_2025MAR'!$C$30</c:f>
              <c:strCache>
                <c:ptCount val="1"/>
                <c:pt idx="0">
                  <c:v>Status Date (6-mo interval)</c:v>
                </c:pt>
              </c:strCache>
            </c:strRef>
          </c:tx>
          <c:spPr>
            <a:noFill/>
            <a:ln w="19050">
              <a:solidFill>
                <a:schemeClr val="accent1"/>
              </a:solidFill>
              <a:prstDash val="dash"/>
            </a:ln>
            <a:effectLst/>
          </c:spPr>
          <c:invertIfNegative val="0"/>
          <c:dPt>
            <c:idx val="0"/>
            <c:invertIfNegative val="0"/>
            <c:bubble3D val="0"/>
            <c:spPr>
              <a:noFill/>
              <a:ln w="19050">
                <a:solidFill>
                  <a:srgbClr val="002060"/>
                </a:solidFill>
                <a:prstDash val="dash"/>
              </a:ln>
              <a:effectLst/>
            </c:spPr>
            <c:extLst>
              <c:ext xmlns:c16="http://schemas.microsoft.com/office/drawing/2014/chart" uri="{C3380CC4-5D6E-409C-BE32-E72D297353CC}">
                <c16:uniqueId val="{00000007-8FB2-475D-B309-20DA0F77AFFE}"/>
              </c:ext>
            </c:extLst>
          </c:dPt>
          <c:dPt>
            <c:idx val="6"/>
            <c:invertIfNegative val="0"/>
            <c:bubble3D val="0"/>
            <c:spPr>
              <a:noFill/>
              <a:ln w="19050">
                <a:solidFill>
                  <a:srgbClr val="FF0000"/>
                </a:solidFill>
                <a:prstDash val="dash"/>
              </a:ln>
              <a:effectLst/>
            </c:spPr>
            <c:extLst>
              <c:ext xmlns:c16="http://schemas.microsoft.com/office/drawing/2014/chart" uri="{C3380CC4-5D6E-409C-BE32-E72D297353CC}">
                <c16:uniqueId val="{00000009-8FB2-475D-B309-20DA0F77AFFE}"/>
              </c:ext>
            </c:extLst>
          </c:dPt>
          <c:dPt>
            <c:idx val="12"/>
            <c:invertIfNegative val="0"/>
            <c:bubble3D val="0"/>
            <c:spPr>
              <a:noFill/>
              <a:ln w="19050">
                <a:solidFill>
                  <a:srgbClr val="002060"/>
                </a:solidFill>
                <a:prstDash val="dash"/>
              </a:ln>
              <a:effectLst/>
            </c:spPr>
            <c:extLst>
              <c:ext xmlns:c16="http://schemas.microsoft.com/office/drawing/2014/chart" uri="{C3380CC4-5D6E-409C-BE32-E72D297353CC}">
                <c16:uniqueId val="{0000000B-8FB2-475D-B309-20DA0F77AFFE}"/>
              </c:ext>
            </c:extLst>
          </c:dPt>
          <c:dPt>
            <c:idx val="18"/>
            <c:invertIfNegative val="0"/>
            <c:bubble3D val="0"/>
            <c:spPr>
              <a:noFill/>
              <a:ln w="19050">
                <a:solidFill>
                  <a:srgbClr val="FF0000"/>
                </a:solidFill>
                <a:prstDash val="dash"/>
              </a:ln>
              <a:effectLst/>
            </c:spPr>
            <c:extLst>
              <c:ext xmlns:c16="http://schemas.microsoft.com/office/drawing/2014/chart" uri="{C3380CC4-5D6E-409C-BE32-E72D297353CC}">
                <c16:uniqueId val="{0000000D-8FB2-475D-B309-20DA0F77AFFE}"/>
              </c:ext>
            </c:extLst>
          </c:dPt>
          <c:dPt>
            <c:idx val="32"/>
            <c:invertIfNegative val="0"/>
            <c:bubble3D val="0"/>
            <c:spPr>
              <a:noFill/>
              <a:ln w="19050">
                <a:solidFill>
                  <a:srgbClr val="FF0000"/>
                </a:solidFill>
                <a:prstDash val="dash"/>
              </a:ln>
              <a:effectLst/>
            </c:spPr>
            <c:extLst>
              <c:ext xmlns:c16="http://schemas.microsoft.com/office/drawing/2014/chart" uri="{C3380CC4-5D6E-409C-BE32-E72D297353CC}">
                <c16:uniqueId val="{0000000F-8FB2-475D-B309-20DA0F77AFFE}"/>
              </c:ext>
            </c:extLst>
          </c:dPt>
          <c:dPt>
            <c:idx val="35"/>
            <c:invertIfNegative val="0"/>
            <c:bubble3D val="0"/>
            <c:spPr>
              <a:noFill/>
              <a:ln w="19050">
                <a:solidFill>
                  <a:srgbClr val="FF0000"/>
                </a:solidFill>
                <a:prstDash val="dash"/>
              </a:ln>
              <a:effectLst/>
            </c:spPr>
            <c:extLst>
              <c:ext xmlns:c16="http://schemas.microsoft.com/office/drawing/2014/chart" uri="{C3380CC4-5D6E-409C-BE32-E72D297353CC}">
                <c16:uniqueId val="{00000011-8FB2-475D-B309-20DA0F77AFFE}"/>
              </c:ext>
            </c:extLst>
          </c:dPt>
          <c:dPt>
            <c:idx val="44"/>
            <c:invertIfNegative val="0"/>
            <c:bubble3D val="0"/>
            <c:spPr>
              <a:noFill/>
              <a:ln w="19050">
                <a:solidFill>
                  <a:srgbClr val="002060"/>
                </a:solidFill>
                <a:prstDash val="dash"/>
              </a:ln>
              <a:effectLst/>
            </c:spPr>
            <c:extLst>
              <c:ext xmlns:c16="http://schemas.microsoft.com/office/drawing/2014/chart" uri="{C3380CC4-5D6E-409C-BE32-E72D297353CC}">
                <c16:uniqueId val="{00000013-8FB2-475D-B309-20DA0F77AFFE}"/>
              </c:ext>
            </c:extLst>
          </c:dPt>
          <c:dPt>
            <c:idx val="50"/>
            <c:invertIfNegative val="0"/>
            <c:bubble3D val="0"/>
            <c:spPr>
              <a:noFill/>
              <a:ln w="19050">
                <a:solidFill>
                  <a:srgbClr val="CC3300"/>
                </a:solidFill>
                <a:prstDash val="dash"/>
              </a:ln>
              <a:effectLst/>
            </c:spPr>
            <c:extLst>
              <c:ext xmlns:c16="http://schemas.microsoft.com/office/drawing/2014/chart" uri="{C3380CC4-5D6E-409C-BE32-E72D297353CC}">
                <c16:uniqueId val="{00000015-8FB2-475D-B309-20DA0F77AFFE}"/>
              </c:ext>
            </c:extLst>
          </c:dPt>
          <c:dPt>
            <c:idx val="56"/>
            <c:invertIfNegative val="0"/>
            <c:bubble3D val="0"/>
            <c:spPr>
              <a:noFill/>
              <a:ln w="19050">
                <a:solidFill>
                  <a:srgbClr val="002060"/>
                </a:solidFill>
                <a:prstDash val="dash"/>
              </a:ln>
              <a:effectLst/>
            </c:spPr>
            <c:extLst>
              <c:ext xmlns:c16="http://schemas.microsoft.com/office/drawing/2014/chart" uri="{C3380CC4-5D6E-409C-BE32-E72D297353CC}">
                <c16:uniqueId val="{00000017-8FB2-475D-B309-20DA0F77AFFE}"/>
              </c:ext>
            </c:extLst>
          </c:dPt>
          <c:dPt>
            <c:idx val="86"/>
            <c:invertIfNegative val="0"/>
            <c:bubble3D val="0"/>
            <c:spPr>
              <a:noFill/>
              <a:ln w="19050">
                <a:solidFill>
                  <a:srgbClr val="FF0000"/>
                </a:solidFill>
                <a:prstDash val="dash"/>
              </a:ln>
              <a:effectLst/>
            </c:spPr>
            <c:extLst>
              <c:ext xmlns:c16="http://schemas.microsoft.com/office/drawing/2014/chart" uri="{C3380CC4-5D6E-409C-BE32-E72D297353CC}">
                <c16:uniqueId val="{00000019-8FB2-475D-B309-20DA0F77AFFE}"/>
              </c:ext>
            </c:extLst>
          </c:dPt>
          <c:cat>
            <c:numRef>
              <c:f>'G2&amp;G3_BowWave_2025MAR'!$D$11:$IX$11</c:f>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f>'G2&amp;G3_BowWave_2025MAR'!$D$30:$IX$30</c:f>
              <c:numCache>
                <c:formatCode>General</c:formatCode>
                <c:ptCount val="25"/>
                <c:pt idx="6">
                  <c:v>125</c:v>
                </c:pt>
                <c:pt idx="12">
                  <c:v>125</c:v>
                </c:pt>
                <c:pt idx="18">
                  <c:v>125</c:v>
                </c:pt>
              </c:numCache>
            </c:numRef>
          </c:val>
          <c:extLst>
            <c:ext xmlns:c16="http://schemas.microsoft.com/office/drawing/2014/chart" uri="{C3380CC4-5D6E-409C-BE32-E72D297353CC}">
              <c16:uniqueId val="{0000001A-8FB2-475D-B309-20DA0F77AFFE}"/>
            </c:ext>
          </c:extLst>
        </c:ser>
        <c:dLbls>
          <c:showLegendKey val="0"/>
          <c:showVal val="0"/>
          <c:showCatName val="0"/>
          <c:showSerName val="0"/>
          <c:showPercent val="0"/>
          <c:showBubbleSize val="0"/>
        </c:dLbls>
        <c:gapWidth val="150"/>
        <c:axId val="2001818015"/>
        <c:axId val="2001820415"/>
        <c:extLst>
          <c:ext xmlns:c15="http://schemas.microsoft.com/office/drawing/2012/chart" uri="{02D57815-91ED-43cb-92C2-25804820EDAC}">
            <c15:filteredBarSeries>
              <c15:ser>
                <c:idx val="0"/>
                <c:order val="0"/>
                <c:tx>
                  <c:strRef>
                    <c:extLst>
                      <c:ext uri="{02D57815-91ED-43cb-92C2-25804820EDAC}">
                        <c15:formulaRef>
                          <c15:sqref>'G2&amp;G3_BowWave_2025MAR'!$C$12</c15:sqref>
                        </c15:formulaRef>
                      </c:ext>
                    </c:extLst>
                    <c:strCache>
                      <c:ptCount val="1"/>
                      <c:pt idx="0">
                        <c:v>Baselined to Start</c:v>
                      </c:pt>
                    </c:strCache>
                  </c:strRef>
                </c:tx>
                <c:spPr>
                  <a:solidFill>
                    <a:schemeClr val="bg2">
                      <a:lumMod val="50000"/>
                    </a:schemeClr>
                  </a:solidFill>
                  <a:ln>
                    <a:solidFill>
                      <a:schemeClr val="tx1"/>
                    </a:solidFill>
                  </a:ln>
                  <a:effectLst/>
                </c:spPr>
                <c:invertIfNegative val="0"/>
                <c:cat>
                  <c:numRef>
                    <c:extLst>
                      <c:ext uri="{02D57815-91ED-43cb-92C2-25804820EDAC}">
                        <c15:formulaRef>
                          <c15:sqref>'G2&amp;G3_BowWave_2025MAR'!$D$11:$IX$11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c:ext uri="{02D57815-91ED-43cb-92C2-25804820EDAC}">
                        <c15:formulaRef>
                          <c15:sqref>'G2&amp;G3_BowWave_2025MAR'!$D$12:$IX$12</c15:sqref>
                        </c15:formulaRef>
                      </c:ext>
                    </c:extLst>
                    <c:numCache>
                      <c:formatCode>General</c:formatCode>
                      <c:ptCount val="25"/>
                      <c:pt idx="0">
                        <c:v>74</c:v>
                      </c:pt>
                      <c:pt idx="1">
                        <c:v>47</c:v>
                      </c:pt>
                      <c:pt idx="2">
                        <c:v>46</c:v>
                      </c:pt>
                      <c:pt idx="3">
                        <c:v>90</c:v>
                      </c:pt>
                      <c:pt idx="4">
                        <c:v>80</c:v>
                      </c:pt>
                      <c:pt idx="5">
                        <c:v>88</c:v>
                      </c:pt>
                      <c:pt idx="6">
                        <c:v>38</c:v>
                      </c:pt>
                      <c:pt idx="7">
                        <c:v>85</c:v>
                      </c:pt>
                      <c:pt idx="8">
                        <c:v>53</c:v>
                      </c:pt>
                      <c:pt idx="9">
                        <c:v>53</c:v>
                      </c:pt>
                      <c:pt idx="10">
                        <c:v>34</c:v>
                      </c:pt>
                      <c:pt idx="11">
                        <c:v>10</c:v>
                      </c:pt>
                      <c:pt idx="12">
                        <c:v>32</c:v>
                      </c:pt>
                      <c:pt idx="13">
                        <c:v>33</c:v>
                      </c:pt>
                      <c:pt idx="14">
                        <c:v>11</c:v>
                      </c:pt>
                      <c:pt idx="15">
                        <c:v>7</c:v>
                      </c:pt>
                      <c:pt idx="16">
                        <c:v>7</c:v>
                      </c:pt>
                      <c:pt idx="17">
                        <c:v>1</c:v>
                      </c:pt>
                      <c:pt idx="18">
                        <c:v>1</c:v>
                      </c:pt>
                      <c:pt idx="19">
                        <c:v>1</c:v>
                      </c:pt>
                      <c:pt idx="20">
                        <c:v>5</c:v>
                      </c:pt>
                      <c:pt idx="21">
                        <c:v>5</c:v>
                      </c:pt>
                      <c:pt idx="22">
                        <c:v>1</c:v>
                      </c:pt>
                      <c:pt idx="23">
                        <c:v>1</c:v>
                      </c:pt>
                      <c:pt idx="24">
                        <c:v>0</c:v>
                      </c:pt>
                    </c:numCache>
                  </c:numRef>
                </c:val>
                <c:extLst>
                  <c:ext xmlns:c16="http://schemas.microsoft.com/office/drawing/2014/chart" uri="{C3380CC4-5D6E-409C-BE32-E72D297353CC}">
                    <c16:uniqueId val="{0000001E-8FB2-475D-B309-20DA0F77AFFE}"/>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'G2&amp;G3_BowWave_2025MAR'!$C$13</c15:sqref>
                        </c15:formulaRef>
                      </c:ext>
                    </c:extLst>
                    <c:strCache>
                      <c:ptCount val="1"/>
                      <c:pt idx="0">
                        <c:v>Scheduled to Start</c:v>
                      </c:pt>
                    </c:strCache>
                  </c:strRef>
                </c:tx>
                <c:spPr>
                  <a:solidFill>
                    <a:srgbClr val="FFC000"/>
                  </a:solidFill>
                  <a:ln>
                    <a:solidFill>
                      <a:schemeClr val="accent2"/>
                    </a:solidFill>
                  </a:ln>
                  <a:effectLst/>
                </c:spPr>
                <c:invertIfNegative val="0"/>
                <c:cat>
                  <c:numRef>
                    <c:extLst xmlns:c15="http://schemas.microsoft.com/office/drawing/2012/chart">
                      <c:ext xmlns:c15="http://schemas.microsoft.com/office/drawing/2012/chart" uri="{02D57815-91ED-43cb-92C2-25804820EDAC}">
                        <c15:formulaRef>
                          <c15:sqref>'G2&amp;G3_BowWave_2025MAR'!$D$11:$IX$11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'G2&amp;G3_BowWave_2025MAR'!$D$13:$IX$13</c15:sqref>
                        </c15:formulaRef>
                      </c:ext>
                    </c:extLst>
                    <c:numCache>
                      <c:formatCode>General</c:formatCode>
                      <c:ptCount val="25"/>
                      <c:pt idx="0">
                        <c:v>61</c:v>
                      </c:pt>
                      <c:pt idx="1">
                        <c:v>59</c:v>
                      </c:pt>
                      <c:pt idx="2">
                        <c:v>40</c:v>
                      </c:pt>
                      <c:pt idx="3">
                        <c:v>49</c:v>
                      </c:pt>
                      <c:pt idx="4">
                        <c:v>52</c:v>
                      </c:pt>
                      <c:pt idx="5">
                        <c:v>39</c:v>
                      </c:pt>
                      <c:pt idx="6">
                        <c:v>22</c:v>
                      </c:pt>
                      <c:pt idx="7">
                        <c:v>42</c:v>
                      </c:pt>
                      <c:pt idx="8">
                        <c:v>33</c:v>
                      </c:pt>
                      <c:pt idx="9">
                        <c:v>56</c:v>
                      </c:pt>
                      <c:pt idx="10">
                        <c:v>42</c:v>
                      </c:pt>
                      <c:pt idx="11">
                        <c:v>36</c:v>
                      </c:pt>
                      <c:pt idx="12">
                        <c:v>56</c:v>
                      </c:pt>
                      <c:pt idx="13">
                        <c:v>82</c:v>
                      </c:pt>
                      <c:pt idx="14">
                        <c:v>70</c:v>
                      </c:pt>
                      <c:pt idx="15">
                        <c:v>55</c:v>
                      </c:pt>
                      <c:pt idx="16">
                        <c:v>47</c:v>
                      </c:pt>
                      <c:pt idx="17">
                        <c:v>24</c:v>
                      </c:pt>
                      <c:pt idx="18">
                        <c:v>12</c:v>
                      </c:pt>
                      <c:pt idx="19">
                        <c:v>26</c:v>
                      </c:pt>
                      <c:pt idx="20">
                        <c:v>19</c:v>
                      </c:pt>
                      <c:pt idx="21">
                        <c:v>19</c:v>
                      </c:pt>
                      <c:pt idx="22">
                        <c:v>25</c:v>
                      </c:pt>
                      <c:pt idx="23">
                        <c:v>8</c:v>
                      </c:pt>
                      <c:pt idx="24">
                        <c:v>6</c:v>
                      </c:pt>
                    </c:numCache>
                  </c:numRef>
                </c:val>
                <c:extLst xmlns:c15="http://schemas.microsoft.com/office/drawing/2012/chart">
                  <c:ext xmlns:c16="http://schemas.microsoft.com/office/drawing/2014/chart" uri="{C3380CC4-5D6E-409C-BE32-E72D297353CC}">
                    <c16:uniqueId val="{0000001F-8FB2-475D-B309-20DA0F77AFFE}"/>
                  </c:ext>
                </c:extLst>
              </c15:ser>
            </c15:filteredBarSeries>
            <c15:filteredBarSeries>
              <c15:ser>
                <c:idx val="21"/>
                <c:order val="2"/>
                <c:tx>
                  <c:strRef>
                    <c:extLst xmlns:c15="http://schemas.microsoft.com/office/drawing/2012/chart">
                      <c:ext xmlns:c15="http://schemas.microsoft.com/office/drawing/2012/chart" uri="{02D57815-91ED-43cb-92C2-25804820EDAC}">
                        <c15:formulaRef>
                          <c15:sqref>'G2&amp;G3_BowWave_2025MAR'!$C$14</c15:sqref>
                        </c15:formulaRef>
                      </c:ext>
                    </c:extLst>
                    <c:strCache>
                      <c:ptCount val="1"/>
                      <c:pt idx="0">
                        <c:v>Actual Starts</c:v>
                      </c:pt>
                    </c:strCache>
                  </c:strRef>
                </c:tx>
                <c:spPr>
                  <a:solidFill>
                    <a:srgbClr val="92D050"/>
                  </a:solidFill>
                  <a:ln>
                    <a:solidFill>
                      <a:schemeClr val="accent6">
                        <a:lumMod val="75000"/>
                      </a:schemeClr>
                    </a:solidFill>
                  </a:ln>
                  <a:effectLst/>
                </c:spPr>
                <c:invertIfNegative val="0"/>
                <c:cat>
                  <c:numRef>
                    <c:extLst xmlns:c15="http://schemas.microsoft.com/office/drawing/2012/chart">
                      <c:ext xmlns:c15="http://schemas.microsoft.com/office/drawing/2012/chart" uri="{02D57815-91ED-43cb-92C2-25804820EDAC}">
                        <c15:formulaRef>
                          <c15:sqref>'G2&amp;G3_BowWave_2025MAR'!$D$11:$IX$11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'G2&amp;G3_BowWave_2025MAR'!$D$14:$IX$14</c15:sqref>
                        </c15:formulaRef>
                      </c:ext>
                    </c:extLst>
                    <c:numCache>
                      <c:formatCode>General</c:formatCode>
                      <c:ptCount val="25"/>
                      <c:pt idx="0">
                        <c:v>61</c:v>
                      </c:pt>
                      <c:pt idx="1">
                        <c:v>59</c:v>
                      </c:pt>
                      <c:pt idx="2">
                        <c:v>40</c:v>
                      </c:pt>
                      <c:pt idx="3">
                        <c:v>49</c:v>
                      </c:pt>
                      <c:pt idx="4">
                        <c:v>52</c:v>
                      </c:pt>
                      <c:pt idx="5">
                        <c:v>39</c:v>
                      </c:pt>
                      <c:pt idx="6">
                        <c:v>22</c:v>
                      </c:pt>
                      <c:pt idx="7">
                        <c:v>42</c:v>
                      </c:pt>
                      <c:pt idx="8">
                        <c:v>33</c:v>
                      </c:pt>
                      <c:pt idx="9">
                        <c:v>56</c:v>
                      </c:pt>
                      <c:pt idx="10">
                        <c:v>42</c:v>
                      </c:pt>
                      <c:pt idx="11">
                        <c:v>36</c:v>
                      </c:pt>
                      <c:pt idx="12">
                        <c:v>42</c:v>
                      </c:pt>
                      <c:pt idx="13">
                        <c:v>0</c:v>
                      </c:pt>
                      <c:pt idx="14">
                        <c:v>0</c:v>
                      </c:pt>
                      <c:pt idx="15">
                        <c:v>0</c:v>
                      </c:pt>
                      <c:pt idx="16">
                        <c:v>0</c:v>
                      </c:pt>
                      <c:pt idx="17">
                        <c:v>0</c:v>
                      </c:pt>
                      <c:pt idx="18">
                        <c:v>0</c:v>
                      </c:pt>
                      <c:pt idx="19">
                        <c:v>0</c:v>
                      </c:pt>
                      <c:pt idx="20">
                        <c:v>0</c:v>
                      </c:pt>
                      <c:pt idx="21">
                        <c:v>0</c:v>
                      </c:pt>
                      <c:pt idx="22">
                        <c:v>0</c:v>
                      </c:pt>
                      <c:pt idx="23">
                        <c:v>0</c:v>
                      </c:pt>
                      <c:pt idx="24">
                        <c:v>0</c:v>
                      </c:pt>
                    </c:numCache>
                  </c:numRef>
                </c:val>
                <c:extLst xmlns:c15="http://schemas.microsoft.com/office/drawing/2012/chart">
                  <c:ext xmlns:c16="http://schemas.microsoft.com/office/drawing/2014/chart" uri="{C3380CC4-5D6E-409C-BE32-E72D297353CC}">
                    <c16:uniqueId val="{00000020-8FB2-475D-B309-20DA0F77AFFE}"/>
                  </c:ext>
                </c:extLst>
              </c15:ser>
            </c15:filteredBarSeries>
          </c:ext>
        </c:extLst>
      </c:barChart>
      <c:lineChart>
        <c:grouping val="standard"/>
        <c:varyColors val="0"/>
        <c:ser>
          <c:idx val="28"/>
          <c:order val="22"/>
          <c:tx>
            <c:strRef>
              <c:f>'G2&amp;G3_BowWave_2025MAR'!$C$35</c:f>
              <c:strCache>
                <c:ptCount val="1"/>
                <c:pt idx="0">
                  <c:v>Baselined to Finish  - Cumulative</c:v>
                </c:pt>
              </c:strCache>
              <c:extLst xmlns:c15="http://schemas.microsoft.com/office/drawing/2012/chart"/>
            </c:strRef>
          </c:tx>
          <c:spPr>
            <a:ln w="28575" cap="rnd">
              <a:solidFill>
                <a:schemeClr val="accent5">
                  <a:lumMod val="60000"/>
                  <a:lumOff val="40000"/>
                </a:schemeClr>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cat>
            <c:numRef>
              <c:f>'G2&amp;G3_BowWave_2025MAR'!$D$11:$IX$11</c:f>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extLst xmlns:c15="http://schemas.microsoft.com/office/drawing/2012/chart"/>
            </c:numRef>
          </c:cat>
          <c:val>
            <c:numRef>
              <c:f>'G2&amp;G3_BowWave_2025MAR'!$D$35:$DD$35</c:f>
              <c:numCache>
                <c:formatCode>General</c:formatCode>
                <c:ptCount val="25"/>
                <c:pt idx="0">
                  <c:v>1788</c:v>
                </c:pt>
                <c:pt idx="1">
                  <c:v>1837</c:v>
                </c:pt>
                <c:pt idx="2">
                  <c:v>1893</c:v>
                </c:pt>
                <c:pt idx="3">
                  <c:v>1974</c:v>
                </c:pt>
                <c:pt idx="4">
                  <c:v>2052</c:v>
                </c:pt>
                <c:pt idx="5">
                  <c:v>2158</c:v>
                </c:pt>
                <c:pt idx="6">
                  <c:v>2216</c:v>
                </c:pt>
                <c:pt idx="7">
                  <c:v>2306</c:v>
                </c:pt>
                <c:pt idx="8">
                  <c:v>2353</c:v>
                </c:pt>
                <c:pt idx="9">
                  <c:v>2403</c:v>
                </c:pt>
                <c:pt idx="10">
                  <c:v>2440</c:v>
                </c:pt>
                <c:pt idx="11">
                  <c:v>2456</c:v>
                </c:pt>
                <c:pt idx="12">
                  <c:v>2487</c:v>
                </c:pt>
                <c:pt idx="13">
                  <c:v>2518</c:v>
                </c:pt>
                <c:pt idx="14">
                  <c:v>2534</c:v>
                </c:pt>
                <c:pt idx="15">
                  <c:v>2542</c:v>
                </c:pt>
                <c:pt idx="16">
                  <c:v>2544</c:v>
                </c:pt>
                <c:pt idx="17">
                  <c:v>2547</c:v>
                </c:pt>
                <c:pt idx="18">
                  <c:v>2553</c:v>
                </c:pt>
                <c:pt idx="19">
                  <c:v>2555</c:v>
                </c:pt>
                <c:pt idx="20">
                  <c:v>2557</c:v>
                </c:pt>
                <c:pt idx="21">
                  <c:v>2563</c:v>
                </c:pt>
                <c:pt idx="22">
                  <c:v>2566</c:v>
                </c:pt>
                <c:pt idx="23">
                  <c:v>2567</c:v>
                </c:pt>
                <c:pt idx="24">
                  <c:v>2567</c:v>
                </c:pt>
              </c:numCache>
              <c:extLst xmlns:c15="http://schemas.microsoft.com/office/drawing/2012/chart"/>
            </c:numRef>
          </c:val>
          <c:smooth val="0"/>
          <c:extLst>
            <c:ext xmlns:c16="http://schemas.microsoft.com/office/drawing/2014/chart" uri="{C3380CC4-5D6E-409C-BE32-E72D297353CC}">
              <c16:uniqueId val="{00000034-8FB2-475D-B309-20DA0F77AFFE}"/>
            </c:ext>
          </c:extLst>
        </c:ser>
        <c:ser>
          <c:idx val="29"/>
          <c:order val="23"/>
          <c:tx>
            <c:strRef>
              <c:f>'G2&amp;G3_BowWave_2025MAR'!$C$36</c:f>
              <c:strCache>
                <c:ptCount val="1"/>
                <c:pt idx="0">
                  <c:v>Scheduled to Finish  - Cumulative</c:v>
                </c:pt>
              </c:strCache>
              <c:extLst xmlns:c15="http://schemas.microsoft.com/office/drawing/2012/chart"/>
            </c:strRef>
          </c:tx>
          <c:spPr>
            <a:ln w="28575" cap="rnd">
              <a:solidFill>
                <a:schemeClr val="accent6">
                  <a:lumMod val="60000"/>
                  <a:lumOff val="40000"/>
                </a:schemeClr>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cat>
            <c:numRef>
              <c:f>'G2&amp;G3_BowWave_2025MAR'!$D$11:$IX$11</c:f>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extLst xmlns:c15="http://schemas.microsoft.com/office/drawing/2012/chart"/>
            </c:numRef>
          </c:cat>
          <c:val>
            <c:numRef>
              <c:f>'G2&amp;G3_BowWave_2025MAR'!$D$36:$DD$36</c:f>
              <c:numCache>
                <c:formatCode>General</c:formatCode>
                <c:ptCount val="25"/>
                <c:pt idx="0">
                  <c:v>1654</c:v>
                </c:pt>
                <c:pt idx="1">
                  <c:v>1710</c:v>
                </c:pt>
                <c:pt idx="2">
                  <c:v>1753</c:v>
                </c:pt>
                <c:pt idx="3">
                  <c:v>1800</c:v>
                </c:pt>
                <c:pt idx="4">
                  <c:v>1845</c:v>
                </c:pt>
                <c:pt idx="5">
                  <c:v>1900</c:v>
                </c:pt>
                <c:pt idx="6">
                  <c:v>1931</c:v>
                </c:pt>
                <c:pt idx="7">
                  <c:v>1962</c:v>
                </c:pt>
                <c:pt idx="8">
                  <c:v>1992</c:v>
                </c:pt>
                <c:pt idx="9">
                  <c:v>2052</c:v>
                </c:pt>
                <c:pt idx="10">
                  <c:v>2099</c:v>
                </c:pt>
                <c:pt idx="11">
                  <c:v>2137</c:v>
                </c:pt>
                <c:pt idx="12">
                  <c:v>2198</c:v>
                </c:pt>
                <c:pt idx="13">
                  <c:v>2293</c:v>
                </c:pt>
                <c:pt idx="14">
                  <c:v>2356</c:v>
                </c:pt>
                <c:pt idx="15">
                  <c:v>2423</c:v>
                </c:pt>
                <c:pt idx="16">
                  <c:v>2471</c:v>
                </c:pt>
                <c:pt idx="17">
                  <c:v>2504</c:v>
                </c:pt>
                <c:pt idx="18">
                  <c:v>2521</c:v>
                </c:pt>
                <c:pt idx="19">
                  <c:v>2552</c:v>
                </c:pt>
                <c:pt idx="20">
                  <c:v>2569</c:v>
                </c:pt>
                <c:pt idx="21">
                  <c:v>2585</c:v>
                </c:pt>
                <c:pt idx="22">
                  <c:v>2614</c:v>
                </c:pt>
                <c:pt idx="23">
                  <c:v>2624</c:v>
                </c:pt>
                <c:pt idx="24">
                  <c:v>2627</c:v>
                </c:pt>
              </c:numCache>
              <c:extLst xmlns:c15="http://schemas.microsoft.com/office/drawing/2012/chart"/>
            </c:numRef>
          </c:val>
          <c:smooth val="0"/>
          <c:extLst>
            <c:ext xmlns:c16="http://schemas.microsoft.com/office/drawing/2014/chart" uri="{C3380CC4-5D6E-409C-BE32-E72D297353CC}">
              <c16:uniqueId val="{00000035-8FB2-475D-B309-20DA0F77AFFE}"/>
            </c:ext>
          </c:extLst>
        </c:ser>
        <c:ser>
          <c:idx val="30"/>
          <c:order val="24"/>
          <c:tx>
            <c:strRef>
              <c:f>'G2&amp;G3_BowWave_2025MAR'!$C$37</c:f>
              <c:strCache>
                <c:ptCount val="1"/>
                <c:pt idx="0">
                  <c:v>Actual Finishes  - Cumulative</c:v>
                </c:pt>
              </c:strCache>
              <c:extLst xmlns:c15="http://schemas.microsoft.com/office/drawing/2012/chart"/>
            </c:strRef>
          </c:tx>
          <c:spPr>
            <a:ln w="28575" cap="rnd">
              <a:solidFill>
                <a:schemeClr val="accent1">
                  <a:lumMod val="50000"/>
                </a:schemeClr>
              </a:solidFill>
              <a:round/>
            </a:ln>
            <a:effectLst/>
          </c:spPr>
          <c:marker>
            <c:symbol val="circle"/>
            <c:size val="5"/>
            <c:spPr>
              <a:solidFill>
                <a:schemeClr val="accent1">
                  <a:lumMod val="50000"/>
                </a:schemeClr>
              </a:solidFill>
              <a:ln w="9525">
                <a:solidFill>
                  <a:schemeClr val="accent1">
                    <a:lumMod val="50000"/>
                  </a:schemeClr>
                </a:solidFill>
              </a:ln>
              <a:effectLst/>
            </c:spPr>
          </c:marker>
          <c:cat>
            <c:numRef>
              <c:f>'G2&amp;G3_BowWave_2025MAR'!$D$11:$IX$11</c:f>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extLst xmlns:c15="http://schemas.microsoft.com/office/drawing/2012/chart"/>
            </c:numRef>
          </c:cat>
          <c:val>
            <c:numRef>
              <c:f>'G2&amp;G3_BowWave_2025MAR'!$D$37:$DD$37</c:f>
              <c:numCache>
                <c:formatCode>General</c:formatCode>
                <c:ptCount val="25"/>
                <c:pt idx="0">
                  <c:v>1654</c:v>
                </c:pt>
                <c:pt idx="1">
                  <c:v>1710</c:v>
                </c:pt>
                <c:pt idx="2">
                  <c:v>1753</c:v>
                </c:pt>
                <c:pt idx="3">
                  <c:v>1800</c:v>
                </c:pt>
                <c:pt idx="4">
                  <c:v>1845</c:v>
                </c:pt>
                <c:pt idx="5">
                  <c:v>1900</c:v>
                </c:pt>
                <c:pt idx="6">
                  <c:v>1931</c:v>
                </c:pt>
                <c:pt idx="7">
                  <c:v>1962</c:v>
                </c:pt>
                <c:pt idx="8">
                  <c:v>1992</c:v>
                </c:pt>
                <c:pt idx="9">
                  <c:v>2052</c:v>
                </c:pt>
                <c:pt idx="10">
                  <c:v>2099</c:v>
                </c:pt>
                <c:pt idx="11">
                  <c:v>2137</c:v>
                </c:pt>
                <c:pt idx="12">
                  <c:v>2190</c:v>
                </c:pt>
                <c:pt idx="13">
                  <c:v>2190</c:v>
                </c:pt>
                <c:pt idx="14">
                  <c:v>2190</c:v>
                </c:pt>
                <c:pt idx="15">
                  <c:v>2190</c:v>
                </c:pt>
                <c:pt idx="16">
                  <c:v>2190</c:v>
                </c:pt>
                <c:pt idx="17">
                  <c:v>2190</c:v>
                </c:pt>
                <c:pt idx="18">
                  <c:v>2190</c:v>
                </c:pt>
                <c:pt idx="19">
                  <c:v>2190</c:v>
                </c:pt>
                <c:pt idx="20">
                  <c:v>2190</c:v>
                </c:pt>
                <c:pt idx="21">
                  <c:v>2190</c:v>
                </c:pt>
                <c:pt idx="22">
                  <c:v>2190</c:v>
                </c:pt>
                <c:pt idx="23">
                  <c:v>2190</c:v>
                </c:pt>
                <c:pt idx="24">
                  <c:v>2190</c:v>
                </c:pt>
              </c:numCache>
              <c:extLst xmlns:c15="http://schemas.microsoft.com/office/drawing/2012/chart"/>
            </c:numRef>
          </c:val>
          <c:smooth val="0"/>
          <c:extLst>
            <c:ext xmlns:c16="http://schemas.microsoft.com/office/drawing/2014/chart" uri="{C3380CC4-5D6E-409C-BE32-E72D297353CC}">
              <c16:uniqueId val="{00000036-8FB2-475D-B309-20DA0F77AFFE}"/>
            </c:ext>
          </c:extLst>
        </c:ser>
        <c:dLbls>
          <c:showLegendKey val="0"/>
          <c:showVal val="0"/>
          <c:showCatName val="0"/>
          <c:showSerName val="0"/>
          <c:showPercent val="0"/>
          <c:showBubbleSize val="0"/>
        </c:dLbls>
        <c:marker val="1"/>
        <c:smooth val="0"/>
        <c:axId val="1121466879"/>
        <c:axId val="1121471199"/>
        <c:extLst>
          <c:ext xmlns:c15="http://schemas.microsoft.com/office/drawing/2012/chart" uri="{02D57815-91ED-43cb-92C2-25804820EDAC}">
            <c15:filteredLineSeries>
              <c15:ser>
                <c:idx val="12"/>
                <c:order val="12"/>
                <c:tx>
                  <c:strRef>
                    <c:extLst>
                      <c:ext uri="{02D57815-91ED-43cb-92C2-25804820EDAC}">
                        <c15:formulaRef>
                          <c15:sqref>'G2&amp;G3_BowWave_2025MAR'!$C$24</c15:sqref>
                        </c15:formulaRef>
                      </c:ext>
                    </c:extLst>
                    <c:strCache>
                      <c:ptCount val="1"/>
                      <c:pt idx="0">
                        <c:v>BEI - Starts</c:v>
                      </c:pt>
                    </c:strCache>
                  </c:strRef>
                </c:tx>
                <c:spPr>
                  <a:ln w="28575" cap="rnd">
                    <a:solidFill>
                      <a:schemeClr val="accent2"/>
                    </a:solidFill>
                    <a:round/>
                  </a:ln>
                  <a:effectLst/>
                </c:spPr>
                <c:marker>
                  <c:symbol val="circle"/>
                  <c:size val="5"/>
                  <c:spPr>
                    <a:solidFill>
                      <a:schemeClr val="accent2"/>
                    </a:solidFill>
                    <a:ln w="9525">
                      <a:solidFill>
                        <a:schemeClr val="tx1"/>
                      </a:solidFill>
                    </a:ln>
                    <a:effectLst/>
                  </c:spPr>
                </c:marker>
                <c:cat>
                  <c:numRef>
                    <c:extLst>
                      <c:ext uri="{02D57815-91ED-43cb-92C2-25804820EDAC}">
                        <c15:formulaRef>
                          <c15:sqref>'G2&amp;G3_BowWave_2025MAR'!$D$11:$IX$11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c:ext uri="{02D57815-91ED-43cb-92C2-25804820EDAC}">
                        <c15:formulaRef>
                          <c15:sqref>'G2&amp;G3_BowWave_2025MAR'!$D$24:$IX$24</c15:sqref>
                        </c15:formulaRef>
                      </c:ext>
                    </c:extLst>
                    <c:numCache>
                      <c:formatCode>General</c:formatCode>
                      <c:ptCount val="25"/>
                      <c:pt idx="6">
                        <c:v>0.87</c:v>
                      </c:pt>
                      <c:pt idx="7">
                        <c:v>0.85</c:v>
                      </c:pt>
                      <c:pt idx="8">
                        <c:v>0.85</c:v>
                      </c:pt>
                      <c:pt idx="9">
                        <c:v>0.85</c:v>
                      </c:pt>
                      <c:pt idx="10">
                        <c:v>0.86</c:v>
                      </c:pt>
                      <c:pt idx="11">
                        <c:v>0.87</c:v>
                      </c:pt>
                      <c:pt idx="12">
                        <c:v>0.88</c:v>
                      </c:pt>
                    </c:numCache>
                  </c:numRef>
                </c:val>
                <c:smooth val="0"/>
                <c:extLst>
                  <c:ext xmlns:c16="http://schemas.microsoft.com/office/drawing/2014/chart" uri="{C3380CC4-5D6E-409C-BE32-E72D297353CC}">
                    <c16:uniqueId val="{0000002E-8FB2-475D-B309-20DA0F77AFFE}"/>
                  </c:ext>
                </c:extLst>
              </c15:ser>
            </c15:filteredLineSeries>
            <c15:filteredLineSeries>
              <c15:ser>
                <c:idx val="13"/>
                <c:order val="13"/>
                <c:tx>
                  <c:strRef>
                    <c:extLst xmlns:c15="http://schemas.microsoft.com/office/drawing/2012/chart">
                      <c:ext xmlns:c15="http://schemas.microsoft.com/office/drawing/2012/chart" uri="{02D57815-91ED-43cb-92C2-25804820EDAC}">
                        <c15:formulaRef>
                          <c15:sqref>'G2&amp;G3_BowWave_2025MAR'!$C$25</c15:sqref>
                        </c15:formulaRef>
                      </c:ext>
                    </c:extLst>
                    <c:strCache>
                      <c:ptCount val="1"/>
                      <c:pt idx="0">
                        <c:v>BEI - Finishes</c:v>
                      </c:pt>
                    </c:strCache>
                  </c:strRef>
                </c:tx>
                <c:spPr>
                  <a:ln w="28575"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tx1"/>
                      </a:solidFill>
                    </a:ln>
                    <a:effectLst/>
                  </c:spPr>
                </c:marker>
                <c:cat>
                  <c:numRef>
                    <c:extLst xmlns:c15="http://schemas.microsoft.com/office/drawing/2012/chart">
                      <c:ext xmlns:c15="http://schemas.microsoft.com/office/drawing/2012/chart" uri="{02D57815-91ED-43cb-92C2-25804820EDAC}">
                        <c15:formulaRef>
                          <c15:sqref>'G2&amp;G3_BowWave_2025MAR'!$D$11:$IX$11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'G2&amp;G3_BowWave_2025MAR'!$D$25:$IX$25</c15:sqref>
                        </c15:formulaRef>
                      </c:ext>
                    </c:extLst>
                    <c:numCache>
                      <c:formatCode>General</c:formatCode>
                      <c:ptCount val="25"/>
                      <c:pt idx="6">
                        <c:v>0.85</c:v>
                      </c:pt>
                      <c:pt idx="7">
                        <c:v>0.84</c:v>
                      </c:pt>
                      <c:pt idx="8">
                        <c:v>0.84</c:v>
                      </c:pt>
                      <c:pt idx="9">
                        <c:v>0.83</c:v>
                      </c:pt>
                      <c:pt idx="10">
                        <c:v>0.85</c:v>
                      </c:pt>
                      <c:pt idx="11">
                        <c:v>0.86</c:v>
                      </c:pt>
                      <c:pt idx="12">
                        <c:v>0.87</c:v>
                      </c:pt>
                    </c:numCache>
                  </c:numRef>
                </c:val>
                <c:smooth val="0"/>
                <c:extLst xmlns:c15="http://schemas.microsoft.com/office/drawing/2012/chart">
                  <c:ext xmlns:c16="http://schemas.microsoft.com/office/drawing/2014/chart" uri="{C3380CC4-5D6E-409C-BE32-E72D297353CC}">
                    <c16:uniqueId val="{0000001B-8FB2-475D-B309-20DA0F77AFFE}"/>
                  </c:ext>
                </c:extLst>
              </c15:ser>
            </c15:filteredLineSeries>
            <c15:filteredLineSeries>
              <c15:ser>
                <c:idx val="14"/>
                <c:order val="14"/>
                <c:tx>
                  <c:strRef>
                    <c:extLst xmlns:c15="http://schemas.microsoft.com/office/drawing/2012/chart">
                      <c:ext xmlns:c15="http://schemas.microsoft.com/office/drawing/2012/chart" uri="{02D57815-91ED-43cb-92C2-25804820EDAC}">
                        <c15:formulaRef>
                          <c15:sqref>'G2&amp;G3_BowWave_2025MAR'!$C$26</c15:sqref>
                        </c15:formulaRef>
                      </c:ext>
                    </c:extLst>
                    <c:strCache>
                      <c:ptCount val="1"/>
                      <c:pt idx="0">
                        <c:v>HMI - Starts</c:v>
                      </c:pt>
                    </c:strCache>
                  </c:strRef>
                </c:tx>
                <c:spPr>
                  <a:ln w="28575" cap="rnd">
                    <a:solidFill>
                      <a:schemeClr val="accent1"/>
                    </a:solidFill>
                    <a:round/>
                  </a:ln>
                  <a:effectLst/>
                </c:spPr>
                <c:marker>
                  <c:symbol val="circle"/>
                  <c:size val="5"/>
                  <c:spPr>
                    <a:solidFill>
                      <a:schemeClr val="accent1"/>
                    </a:solidFill>
                    <a:ln w="9525">
                      <a:solidFill>
                        <a:schemeClr val="tx1"/>
                      </a:solidFill>
                    </a:ln>
                    <a:effectLst/>
                  </c:spPr>
                </c:marker>
                <c:cat>
                  <c:numRef>
                    <c:extLst xmlns:c15="http://schemas.microsoft.com/office/drawing/2012/chart">
                      <c:ext xmlns:c15="http://schemas.microsoft.com/office/drawing/2012/chart" uri="{02D57815-91ED-43cb-92C2-25804820EDAC}">
                        <c15:formulaRef>
                          <c15:sqref>'G2&amp;G3_BowWave_2025MAR'!$D$11:$IX$11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'G2&amp;G3_BowWave_2025MAR'!$D$26:$IX$26</c15:sqref>
                        </c15:formulaRef>
                      </c:ext>
                    </c:extLst>
                    <c:numCache>
                      <c:formatCode>General</c:formatCode>
                      <c:ptCount val="25"/>
                      <c:pt idx="7">
                        <c:v>0.02</c:v>
                      </c:pt>
                      <c:pt idx="8">
                        <c:v>0.02</c:v>
                      </c:pt>
                      <c:pt idx="9">
                        <c:v>0.04</c:v>
                      </c:pt>
                      <c:pt idx="10">
                        <c:v>0.03</c:v>
                      </c:pt>
                      <c:pt idx="11">
                        <c:v>0.08</c:v>
                      </c:pt>
                      <c:pt idx="12">
                        <c:v>0.06</c:v>
                      </c:pt>
                    </c:numCache>
                  </c:numRef>
                </c:val>
                <c:smooth val="0"/>
                <c:extLst xmlns:c15="http://schemas.microsoft.com/office/drawing/2012/chart">
                  <c:ext xmlns:c16="http://schemas.microsoft.com/office/drawing/2014/chart" uri="{C3380CC4-5D6E-409C-BE32-E72D297353CC}">
                    <c16:uniqueId val="{0000002F-8FB2-475D-B309-20DA0F77AFFE}"/>
                  </c:ext>
                </c:extLst>
              </c15:ser>
            </c15:filteredLineSeries>
            <c15:filteredLineSeries>
              <c15:ser>
                <c:idx val="15"/>
                <c:order val="15"/>
                <c:tx>
                  <c:strRef>
                    <c:extLst xmlns:c15="http://schemas.microsoft.com/office/drawing/2012/chart">
                      <c:ext xmlns:c15="http://schemas.microsoft.com/office/drawing/2012/chart" uri="{02D57815-91ED-43cb-92C2-25804820EDAC}">
                        <c15:formulaRef>
                          <c15:sqref>'G2&amp;G3_BowWave_2025MAR'!$C$27</c15:sqref>
                        </c15:formulaRef>
                      </c:ext>
                    </c:extLst>
                    <c:strCache>
                      <c:ptCount val="1"/>
                      <c:pt idx="0">
                        <c:v>HMI - Finishes</c:v>
                      </c:pt>
                    </c:strCache>
                  </c:strRef>
                </c:tx>
                <c:spPr>
                  <a:ln w="28575"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tx1"/>
                      </a:solidFill>
                    </a:ln>
                    <a:effectLst/>
                  </c:spPr>
                </c:marker>
                <c:cat>
                  <c:numRef>
                    <c:extLst xmlns:c15="http://schemas.microsoft.com/office/drawing/2012/chart">
                      <c:ext xmlns:c15="http://schemas.microsoft.com/office/drawing/2012/chart" uri="{02D57815-91ED-43cb-92C2-25804820EDAC}">
                        <c15:formulaRef>
                          <c15:sqref>'G2&amp;G3_BowWave_2025MAR'!$D$11:$IX$11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'G2&amp;G3_BowWave_2025MAR'!$D$27:$IX$27</c15:sqref>
                        </c15:formulaRef>
                      </c:ext>
                    </c:extLst>
                    <c:numCache>
                      <c:formatCode>General</c:formatCode>
                      <c:ptCount val="25"/>
                      <c:pt idx="7">
                        <c:v>0.01</c:v>
                      </c:pt>
                      <c:pt idx="8">
                        <c:v>0.04</c:v>
                      </c:pt>
                      <c:pt idx="9">
                        <c:v>0.02</c:v>
                      </c:pt>
                      <c:pt idx="10">
                        <c:v>0</c:v>
                      </c:pt>
                      <c:pt idx="11">
                        <c:v>0</c:v>
                      </c:pt>
                      <c:pt idx="12">
                        <c:v>0</c:v>
                      </c:pt>
                    </c:numCache>
                  </c:numRef>
                </c:val>
                <c:smooth val="0"/>
                <c:extLst xmlns:c15="http://schemas.microsoft.com/office/drawing/2012/chart">
                  <c:ext xmlns:c16="http://schemas.microsoft.com/office/drawing/2014/chart" uri="{C3380CC4-5D6E-409C-BE32-E72D297353CC}">
                    <c16:uniqueId val="{0000001C-8FB2-475D-B309-20DA0F77AFFE}"/>
                  </c:ext>
                </c:extLst>
              </c15:ser>
            </c15:filteredLineSeries>
            <c15:filteredLineSeries>
              <c15:ser>
                <c:idx val="16"/>
                <c:order val="16"/>
                <c:tx>
                  <c:strRef>
                    <c:extLst xmlns:c15="http://schemas.microsoft.com/office/drawing/2012/chart">
                      <c:ext xmlns:c15="http://schemas.microsoft.com/office/drawing/2012/chart" uri="{02D57815-91ED-43cb-92C2-25804820EDAC}">
                        <c15:formulaRef>
                          <c15:sqref>'G2&amp;G3_BowWave_2025MAR'!$C$28</c15:sqref>
                        </c15:formulaRef>
                      </c:ext>
                    </c:extLst>
                    <c:strCache>
                      <c:ptCount val="1"/>
                      <c:pt idx="0">
                        <c:v>CEI - Starts</c:v>
                      </c:pt>
                    </c:strCache>
                  </c:strRef>
                </c:tx>
                <c:spPr>
                  <a:ln w="28575" cap="rnd">
                    <a:solidFill>
                      <a:schemeClr val="accent6"/>
                    </a:solidFill>
                    <a:round/>
                  </a:ln>
                  <a:effectLst/>
                </c:spPr>
                <c:marker>
                  <c:symbol val="circle"/>
                  <c:size val="5"/>
                  <c:spPr>
                    <a:solidFill>
                      <a:schemeClr val="accent6"/>
                    </a:solidFill>
                    <a:ln w="9525">
                      <a:solidFill>
                        <a:schemeClr val="tx1"/>
                      </a:solidFill>
                    </a:ln>
                    <a:effectLst/>
                  </c:spPr>
                </c:marker>
                <c:cat>
                  <c:numRef>
                    <c:extLst xmlns:c15="http://schemas.microsoft.com/office/drawing/2012/chart">
                      <c:ext xmlns:c15="http://schemas.microsoft.com/office/drawing/2012/chart" uri="{02D57815-91ED-43cb-92C2-25804820EDAC}">
                        <c15:formulaRef>
                          <c15:sqref>'G2&amp;G3_BowWave_2025MAR'!$D$11:$IX$11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'G2&amp;G3_BowWave_2025MAR'!$D$28:$IX$28</c15:sqref>
                        </c15:formulaRef>
                      </c:ext>
                    </c:extLst>
                    <c:numCache>
                      <c:formatCode>General</c:formatCode>
                      <c:ptCount val="25"/>
                      <c:pt idx="7">
                        <c:v>0.31</c:v>
                      </c:pt>
                      <c:pt idx="8">
                        <c:v>0.51</c:v>
                      </c:pt>
                      <c:pt idx="9">
                        <c:v>0.43</c:v>
                      </c:pt>
                      <c:pt idx="10">
                        <c:v>0.41</c:v>
                      </c:pt>
                      <c:pt idx="11">
                        <c:v>0.52</c:v>
                      </c:pt>
                      <c:pt idx="12">
                        <c:v>0.61</c:v>
                      </c:pt>
                    </c:numCache>
                  </c:numRef>
                </c:val>
                <c:smooth val="0"/>
                <c:extLst xmlns:c15="http://schemas.microsoft.com/office/drawing/2012/chart">
                  <c:ext xmlns:c16="http://schemas.microsoft.com/office/drawing/2014/chart" uri="{C3380CC4-5D6E-409C-BE32-E72D297353CC}">
                    <c16:uniqueId val="{00000030-8FB2-475D-B309-20DA0F77AFFE}"/>
                  </c:ext>
                </c:extLst>
              </c15:ser>
            </c15:filteredLineSeries>
            <c15:filteredLineSeries>
              <c15:ser>
                <c:idx val="17"/>
                <c:order val="17"/>
                <c:tx>
                  <c:strRef>
                    <c:extLst xmlns:c15="http://schemas.microsoft.com/office/drawing/2012/chart">
                      <c:ext xmlns:c15="http://schemas.microsoft.com/office/drawing/2012/chart" uri="{02D57815-91ED-43cb-92C2-25804820EDAC}">
                        <c15:formulaRef>
                          <c15:sqref>'G2&amp;G3_BowWave_2025MAR'!$C$29</c15:sqref>
                        </c15:formulaRef>
                      </c:ext>
                    </c:extLst>
                    <c:strCache>
                      <c:ptCount val="1"/>
                      <c:pt idx="0">
                        <c:v>CEI - Finishes</c:v>
                      </c:pt>
                    </c:strCache>
                  </c:strRef>
                </c:tx>
                <c:spPr>
                  <a:ln w="28575" cap="rnd">
                    <a:solidFill>
                      <a:schemeClr val="accent6">
                        <a:lumMod val="80000"/>
                        <a:lumOff val="20000"/>
                      </a:schemeClr>
                    </a:solidFill>
                    <a:round/>
                  </a:ln>
                  <a:effectLst/>
                </c:spPr>
                <c:marker>
                  <c:symbol val="circle"/>
                  <c:size val="5"/>
                  <c:spPr>
                    <a:solidFill>
                      <a:schemeClr val="accent6">
                        <a:lumMod val="80000"/>
                        <a:lumOff val="20000"/>
                      </a:schemeClr>
                    </a:solidFill>
                    <a:ln w="9525">
                      <a:solidFill>
                        <a:schemeClr val="tx1"/>
                      </a:solidFill>
                    </a:ln>
                    <a:effectLst/>
                  </c:spPr>
                </c:marker>
                <c:cat>
                  <c:numRef>
                    <c:extLst xmlns:c15="http://schemas.microsoft.com/office/drawing/2012/chart">
                      <c:ext xmlns:c15="http://schemas.microsoft.com/office/drawing/2012/chart" uri="{02D57815-91ED-43cb-92C2-25804820EDAC}">
                        <c15:formulaRef>
                          <c15:sqref>'G2&amp;G3_BowWave_2025MAR'!$D$11:$IX$11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'G2&amp;G3_BowWave_2025MAR'!$D$29:$IX$29</c15:sqref>
                        </c15:formulaRef>
                      </c:ext>
                    </c:extLst>
                    <c:numCache>
                      <c:formatCode>General</c:formatCode>
                      <c:ptCount val="25"/>
                      <c:pt idx="7">
                        <c:v>0.3</c:v>
                      </c:pt>
                      <c:pt idx="8">
                        <c:v>0.42</c:v>
                      </c:pt>
                      <c:pt idx="9">
                        <c:v>0.35</c:v>
                      </c:pt>
                      <c:pt idx="10">
                        <c:v>0.47</c:v>
                      </c:pt>
                      <c:pt idx="11">
                        <c:v>0.57999999999999996</c:v>
                      </c:pt>
                      <c:pt idx="12">
                        <c:v>0.56999999999999995</c:v>
                      </c:pt>
                    </c:numCache>
                  </c:numRef>
                </c:val>
                <c:smooth val="0"/>
                <c:extLst xmlns:c15="http://schemas.microsoft.com/office/drawing/2012/chart">
                  <c:ext xmlns:c16="http://schemas.microsoft.com/office/drawing/2014/chart" uri="{C3380CC4-5D6E-409C-BE32-E72D297353CC}">
                    <c16:uniqueId val="{0000001D-8FB2-475D-B309-20DA0F77AFFE}"/>
                  </c:ext>
                </c:extLst>
              </c15:ser>
            </c15:filteredLineSeries>
            <c15:filteredLineSeries>
              <c15:ser>
                <c:idx val="25"/>
                <c:order val="19"/>
                <c:tx>
                  <c:strRef>
                    <c:extLst xmlns:c15="http://schemas.microsoft.com/office/drawing/2012/chart">
                      <c:ext xmlns:c15="http://schemas.microsoft.com/office/drawing/2012/chart" uri="{02D57815-91ED-43cb-92C2-25804820EDAC}">
                        <c15:formulaRef>
                          <c15:sqref>'G2&amp;G3_BowWave_2025MAR'!$C$32</c15:sqref>
                        </c15:formulaRef>
                      </c:ext>
                    </c:extLst>
                    <c:strCache>
                      <c:ptCount val="1"/>
                      <c:pt idx="0">
                        <c:v>Baselined to Start - Cumulative</c:v>
                      </c:pt>
                    </c:strCache>
                  </c:strRef>
                </c:tx>
                <c:spPr>
                  <a:ln w="28575" cap="rnd">
                    <a:solidFill>
                      <a:schemeClr val="accent2">
                        <a:lumMod val="60000"/>
                        <a:lumOff val="40000"/>
                      </a:schemeClr>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cat>
                  <c:numRef>
                    <c:extLst xmlns:c15="http://schemas.microsoft.com/office/drawing/2012/chart">
                      <c:ext xmlns:c15="http://schemas.microsoft.com/office/drawing/2012/chart" uri="{02D57815-91ED-43cb-92C2-25804820EDAC}">
                        <c15:formulaRef>
                          <c15:sqref>'G2&amp;G3_BowWave_2025MAR'!$D$11:$IX$11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'G2&amp;G3_BowWave_2025MAR'!$D$32:$DD$32</c15:sqref>
                        </c15:formulaRef>
                      </c:ext>
                    </c:extLst>
                    <c:numCache>
                      <c:formatCode>0</c:formatCode>
                      <c:ptCount val="25"/>
                      <c:pt idx="0">
                        <c:v>1838</c:v>
                      </c:pt>
                      <c:pt idx="1">
                        <c:v>1885</c:v>
                      </c:pt>
                      <c:pt idx="2">
                        <c:v>1931</c:v>
                      </c:pt>
                      <c:pt idx="3">
                        <c:v>2021</c:v>
                      </c:pt>
                      <c:pt idx="4">
                        <c:v>2101</c:v>
                      </c:pt>
                      <c:pt idx="5">
                        <c:v>2189</c:v>
                      </c:pt>
                      <c:pt idx="6">
                        <c:v>2227</c:v>
                      </c:pt>
                      <c:pt idx="7">
                        <c:v>2312</c:v>
                      </c:pt>
                      <c:pt idx="8">
                        <c:v>2365</c:v>
                      </c:pt>
                      <c:pt idx="9">
                        <c:v>2418</c:v>
                      </c:pt>
                      <c:pt idx="10">
                        <c:v>2452</c:v>
                      </c:pt>
                      <c:pt idx="11">
                        <c:v>2462</c:v>
                      </c:pt>
                      <c:pt idx="12">
                        <c:v>2494</c:v>
                      </c:pt>
                      <c:pt idx="13">
                        <c:v>2527</c:v>
                      </c:pt>
                      <c:pt idx="14">
                        <c:v>2538</c:v>
                      </c:pt>
                      <c:pt idx="15">
                        <c:v>2545</c:v>
                      </c:pt>
                      <c:pt idx="16">
                        <c:v>2552</c:v>
                      </c:pt>
                      <c:pt idx="17">
                        <c:v>2553</c:v>
                      </c:pt>
                      <c:pt idx="18">
                        <c:v>2554</c:v>
                      </c:pt>
                      <c:pt idx="19">
                        <c:v>2555</c:v>
                      </c:pt>
                      <c:pt idx="20">
                        <c:v>2560</c:v>
                      </c:pt>
                      <c:pt idx="21">
                        <c:v>2565</c:v>
                      </c:pt>
                      <c:pt idx="22">
                        <c:v>2566</c:v>
                      </c:pt>
                      <c:pt idx="23">
                        <c:v>2567</c:v>
                      </c:pt>
                      <c:pt idx="24">
                        <c:v>2567</c:v>
                      </c:pt>
                    </c:numCache>
                  </c:numRef>
                </c:val>
                <c:smooth val="0"/>
                <c:extLst xmlns:c15="http://schemas.microsoft.com/office/drawing/2012/chart">
                  <c:ext xmlns:c16="http://schemas.microsoft.com/office/drawing/2014/chart" uri="{C3380CC4-5D6E-409C-BE32-E72D297353CC}">
                    <c16:uniqueId val="{00000031-8FB2-475D-B309-20DA0F77AFFE}"/>
                  </c:ext>
                </c:extLst>
              </c15:ser>
            </c15:filteredLineSeries>
            <c15:filteredLineSeries>
              <c15:ser>
                <c:idx val="26"/>
                <c:order val="20"/>
                <c:tx>
                  <c:strRef>
                    <c:extLst xmlns:c15="http://schemas.microsoft.com/office/drawing/2012/chart">
                      <c:ext xmlns:c15="http://schemas.microsoft.com/office/drawing/2012/chart" uri="{02D57815-91ED-43cb-92C2-25804820EDAC}">
                        <c15:formulaRef>
                          <c15:sqref>'G2&amp;G3_BowWave_2025MAR'!$C$33</c15:sqref>
                        </c15:formulaRef>
                      </c:ext>
                    </c:extLst>
                    <c:strCache>
                      <c:ptCount val="1"/>
                      <c:pt idx="0">
                        <c:v>Scheduled to Start - Cumulative</c:v>
                      </c:pt>
                    </c:strCache>
                  </c:strRef>
                </c:tx>
                <c:spPr>
                  <a:ln w="28575" cap="rnd">
                    <a:solidFill>
                      <a:schemeClr val="accent3">
                        <a:lumMod val="60000"/>
                        <a:lumOff val="40000"/>
                      </a:schemeClr>
                    </a:solid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cat>
                  <c:numRef>
                    <c:extLst xmlns:c15="http://schemas.microsoft.com/office/drawing/2012/chart">
                      <c:ext xmlns:c15="http://schemas.microsoft.com/office/drawing/2012/chart" uri="{02D57815-91ED-43cb-92C2-25804820EDAC}">
                        <c15:formulaRef>
                          <c15:sqref>'G2&amp;G3_BowWave_2025MAR'!$D$11:$IX$11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'G2&amp;G3_BowWave_2025MAR'!$D$33:$DD$33</c15:sqref>
                        </c15:formulaRef>
                      </c:ext>
                    </c:extLst>
                    <c:numCache>
                      <c:formatCode>General</c:formatCode>
                      <c:ptCount val="25"/>
                      <c:pt idx="0">
                        <c:v>1712</c:v>
                      </c:pt>
                      <c:pt idx="1">
                        <c:v>1771</c:v>
                      </c:pt>
                      <c:pt idx="2">
                        <c:v>1811</c:v>
                      </c:pt>
                      <c:pt idx="3">
                        <c:v>1860</c:v>
                      </c:pt>
                      <c:pt idx="4">
                        <c:v>1912</c:v>
                      </c:pt>
                      <c:pt idx="5">
                        <c:v>1951</c:v>
                      </c:pt>
                      <c:pt idx="6">
                        <c:v>1973</c:v>
                      </c:pt>
                      <c:pt idx="7">
                        <c:v>2015</c:v>
                      </c:pt>
                      <c:pt idx="8">
                        <c:v>2048</c:v>
                      </c:pt>
                      <c:pt idx="9">
                        <c:v>2104</c:v>
                      </c:pt>
                      <c:pt idx="10">
                        <c:v>2146</c:v>
                      </c:pt>
                      <c:pt idx="11">
                        <c:v>2182</c:v>
                      </c:pt>
                      <c:pt idx="12">
                        <c:v>2238</c:v>
                      </c:pt>
                      <c:pt idx="13">
                        <c:v>2320</c:v>
                      </c:pt>
                      <c:pt idx="14">
                        <c:v>2390</c:v>
                      </c:pt>
                      <c:pt idx="15">
                        <c:v>2445</c:v>
                      </c:pt>
                      <c:pt idx="16">
                        <c:v>2492</c:v>
                      </c:pt>
                      <c:pt idx="17">
                        <c:v>2516</c:v>
                      </c:pt>
                      <c:pt idx="18">
                        <c:v>2528</c:v>
                      </c:pt>
                      <c:pt idx="19">
                        <c:v>2554</c:v>
                      </c:pt>
                      <c:pt idx="20">
                        <c:v>2573</c:v>
                      </c:pt>
                      <c:pt idx="21">
                        <c:v>2592</c:v>
                      </c:pt>
                      <c:pt idx="22">
                        <c:v>2617</c:v>
                      </c:pt>
                      <c:pt idx="23">
                        <c:v>2625</c:v>
                      </c:pt>
                      <c:pt idx="24">
                        <c:v>2631</c:v>
                      </c:pt>
                    </c:numCache>
                  </c:numRef>
                </c:val>
                <c:smooth val="0"/>
                <c:extLst xmlns:c15="http://schemas.microsoft.com/office/drawing/2012/chart">
                  <c:ext xmlns:c16="http://schemas.microsoft.com/office/drawing/2014/chart" uri="{C3380CC4-5D6E-409C-BE32-E72D297353CC}">
                    <c16:uniqueId val="{00000032-8FB2-475D-B309-20DA0F77AFFE}"/>
                  </c:ext>
                </c:extLst>
              </c15:ser>
            </c15:filteredLineSeries>
            <c15:filteredLineSeries>
              <c15:ser>
                <c:idx val="27"/>
                <c:order val="21"/>
                <c:tx>
                  <c:strRef>
                    <c:extLst xmlns:c15="http://schemas.microsoft.com/office/drawing/2012/chart">
                      <c:ext xmlns:c15="http://schemas.microsoft.com/office/drawing/2012/chart" uri="{02D57815-91ED-43cb-92C2-25804820EDAC}">
                        <c15:formulaRef>
                          <c15:sqref>'G2&amp;G3_BowWave_2025MAR'!$C$34</c15:sqref>
                        </c15:formulaRef>
                      </c:ext>
                    </c:extLst>
                    <c:strCache>
                      <c:ptCount val="1"/>
                      <c:pt idx="0">
                        <c:v>Actual Starts - Cumulative</c:v>
                      </c:pt>
                    </c:strCache>
                  </c:strRef>
                </c:tx>
                <c:spPr>
                  <a:ln w="28575" cap="rnd">
                    <a:solidFill>
                      <a:schemeClr val="accent4">
                        <a:lumMod val="60000"/>
                        <a:lumOff val="40000"/>
                      </a:schemeClr>
                    </a:solid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cat>
                  <c:numRef>
                    <c:extLst xmlns:c15="http://schemas.microsoft.com/office/drawing/2012/chart">
                      <c:ext xmlns:c15="http://schemas.microsoft.com/office/drawing/2012/chart" uri="{02D57815-91ED-43cb-92C2-25804820EDAC}">
                        <c15:formulaRef>
                          <c15:sqref>'G2&amp;G3_BowWave_2025MAR'!$D$11:$IX$11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'G2&amp;G3_BowWave_2025MAR'!$D$34:$DD$34</c15:sqref>
                        </c15:formulaRef>
                      </c:ext>
                    </c:extLst>
                    <c:numCache>
                      <c:formatCode>General</c:formatCode>
                      <c:ptCount val="25"/>
                      <c:pt idx="0">
                        <c:v>1712</c:v>
                      </c:pt>
                      <c:pt idx="1">
                        <c:v>1771</c:v>
                      </c:pt>
                      <c:pt idx="2">
                        <c:v>1811</c:v>
                      </c:pt>
                      <c:pt idx="3">
                        <c:v>1860</c:v>
                      </c:pt>
                      <c:pt idx="4">
                        <c:v>1912</c:v>
                      </c:pt>
                      <c:pt idx="5">
                        <c:v>1951</c:v>
                      </c:pt>
                      <c:pt idx="6">
                        <c:v>1973</c:v>
                      </c:pt>
                      <c:pt idx="7">
                        <c:v>2015</c:v>
                      </c:pt>
                      <c:pt idx="8">
                        <c:v>2048</c:v>
                      </c:pt>
                      <c:pt idx="9">
                        <c:v>2104</c:v>
                      </c:pt>
                      <c:pt idx="10">
                        <c:v>2146</c:v>
                      </c:pt>
                      <c:pt idx="11">
                        <c:v>2182</c:v>
                      </c:pt>
                      <c:pt idx="12">
                        <c:v>2224</c:v>
                      </c:pt>
                      <c:pt idx="13">
                        <c:v>2224</c:v>
                      </c:pt>
                      <c:pt idx="14">
                        <c:v>2224</c:v>
                      </c:pt>
                      <c:pt idx="15">
                        <c:v>2224</c:v>
                      </c:pt>
                      <c:pt idx="16">
                        <c:v>2224</c:v>
                      </c:pt>
                      <c:pt idx="17">
                        <c:v>2224</c:v>
                      </c:pt>
                      <c:pt idx="18">
                        <c:v>2224</c:v>
                      </c:pt>
                      <c:pt idx="19">
                        <c:v>2224</c:v>
                      </c:pt>
                      <c:pt idx="20">
                        <c:v>2224</c:v>
                      </c:pt>
                      <c:pt idx="21">
                        <c:v>2224</c:v>
                      </c:pt>
                      <c:pt idx="22">
                        <c:v>2224</c:v>
                      </c:pt>
                      <c:pt idx="23">
                        <c:v>2224</c:v>
                      </c:pt>
                      <c:pt idx="24">
                        <c:v>2224</c:v>
                      </c:pt>
                    </c:numCache>
                  </c:numRef>
                </c:val>
                <c:smooth val="0"/>
                <c:extLst xmlns:c15="http://schemas.microsoft.com/office/drawing/2012/chart">
                  <c:ext xmlns:c16="http://schemas.microsoft.com/office/drawing/2014/chart" uri="{C3380CC4-5D6E-409C-BE32-E72D297353CC}">
                    <c16:uniqueId val="{00000033-8FB2-475D-B309-20DA0F77AFFE}"/>
                  </c:ext>
                </c:extLst>
              </c15:ser>
            </c15:filteredLineSeries>
          </c:ext>
        </c:extLst>
      </c:lineChart>
      <c:dateAx>
        <c:axId val="2001818015"/>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2001820415"/>
        <c:crosses val="autoZero"/>
        <c:auto val="1"/>
        <c:lblOffset val="100"/>
        <c:baseTimeUnit val="months"/>
      </c:dateAx>
      <c:valAx>
        <c:axId val="2001820415"/>
        <c:scaling>
          <c:orientation val="minMax"/>
          <c:max val="125"/>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 of Activities</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001818015"/>
        <c:crosses val="autoZero"/>
        <c:crossBetween val="between"/>
        <c:majorUnit val="25"/>
      </c:valAx>
      <c:valAx>
        <c:axId val="1121471199"/>
        <c:scaling>
          <c:orientation val="minMax"/>
          <c:max val="3000"/>
        </c:scaling>
        <c:delete val="0"/>
        <c:axPos val="r"/>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Schedule Execution Index</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121466879"/>
        <c:crosses val="max"/>
        <c:crossBetween val="between"/>
      </c:valAx>
      <c:dateAx>
        <c:axId val="1121466879"/>
        <c:scaling>
          <c:orientation val="minMax"/>
        </c:scaling>
        <c:delete val="1"/>
        <c:axPos val="b"/>
        <c:numFmt formatCode="mmm\-yy" sourceLinked="1"/>
        <c:majorTickMark val="out"/>
        <c:minorTickMark val="none"/>
        <c:tickLblPos val="nextTo"/>
        <c:crossAx val="1121471199"/>
        <c:crosses val="autoZero"/>
        <c:auto val="1"/>
        <c:lblOffset val="100"/>
        <c:baseTimeUnit val="months"/>
        <c:majorUnit val="1"/>
        <c:minorUnit val="1"/>
      </c:dateAx>
      <c:spPr>
        <a:noFill/>
        <a:ln>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baseline="0"/>
              <a:t>Activity Starts - As of March 2025</a:t>
            </a:r>
            <a:endParaRPr lang="en-US" sz="1600" b="1"/>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8"/>
          <c:order val="6"/>
          <c:tx>
            <c:strRef>
              <c:f>'G2&amp;G3_BowWave_2025MAR'!$C$20</c:f>
              <c:strCache>
                <c:ptCount val="1"/>
                <c:pt idx="0">
                  <c:v>Started Delayed (&gt;60 days)</c:v>
                </c:pt>
              </c:strCache>
              <c:extLst xmlns:c15="http://schemas.microsoft.com/office/drawing/2012/chart"/>
            </c:strRef>
          </c:tx>
          <c:spPr>
            <a:solidFill>
              <a:srgbClr val="9999FF"/>
            </a:solidFill>
            <a:ln>
              <a:noFill/>
            </a:ln>
            <a:effectLst/>
          </c:spPr>
          <c:cat>
            <c:numRef>
              <c:f>'G2&amp;G3_BowWave_2025MAR'!$D$11:$IX$11</c:f>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extLst xmlns:c15="http://schemas.microsoft.com/office/drawing/2012/chart"/>
            </c:numRef>
          </c:cat>
          <c:val>
            <c:numRef>
              <c:f>'G2&amp;G3_BowWave_2025MAR'!$D$20:$IX$20</c:f>
              <c:numCache>
                <c:formatCode>General</c:formatCode>
                <c:ptCount val="25"/>
                <c:pt idx="0">
                  <c:v>19</c:v>
                </c:pt>
                <c:pt idx="1">
                  <c:v>22</c:v>
                </c:pt>
                <c:pt idx="2">
                  <c:v>19</c:v>
                </c:pt>
                <c:pt idx="3">
                  <c:v>42</c:v>
                </c:pt>
                <c:pt idx="4">
                  <c:v>45</c:v>
                </c:pt>
                <c:pt idx="5">
                  <c:v>35</c:v>
                </c:pt>
                <c:pt idx="6">
                  <c:v>12</c:v>
                </c:pt>
                <c:pt idx="7">
                  <c:v>7</c:v>
                </c:pt>
                <c:pt idx="8">
                  <c:v>4</c:v>
                </c:pt>
                <c:pt idx="9">
                  <c:v>4</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extLst xmlns:c15="http://schemas.microsoft.com/office/drawing/2012/chart"/>
            </c:numRef>
          </c:val>
          <c:extLst xmlns:c15="http://schemas.microsoft.com/office/drawing/2012/chart">
            <c:ext xmlns:c16="http://schemas.microsoft.com/office/drawing/2014/chart" uri="{C3380CC4-5D6E-409C-BE32-E72D297353CC}">
              <c16:uniqueId val="{0000002C-E95B-4DA6-863A-3104E93734D5}"/>
            </c:ext>
          </c:extLst>
        </c:ser>
        <c:ser>
          <c:idx val="7"/>
          <c:order val="7"/>
          <c:tx>
            <c:strRef>
              <c:f>'G2&amp;G3_BowWave_2025MAR'!$C$19</c:f>
              <c:strCache>
                <c:ptCount val="1"/>
                <c:pt idx="0">
                  <c:v>Started Delayed (Between 31 to 60 days)</c:v>
                </c:pt>
              </c:strCache>
              <c:extLst xmlns:c15="http://schemas.microsoft.com/office/drawing/2012/chart"/>
            </c:strRef>
          </c:tx>
          <c:spPr>
            <a:solidFill>
              <a:srgbClr val="FFFFCC"/>
            </a:solidFill>
            <a:ln>
              <a:noFill/>
            </a:ln>
            <a:effectLst/>
          </c:spPr>
          <c:cat>
            <c:numRef>
              <c:f>'G2&amp;G3_BowWave_2025MAR'!$D$11:$IX$11</c:f>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extLst xmlns:c15="http://schemas.microsoft.com/office/drawing/2012/chart"/>
            </c:numRef>
          </c:cat>
          <c:val>
            <c:numRef>
              <c:f>'G2&amp;G3_BowWave_2025MAR'!$D$19:$IX$19</c:f>
              <c:numCache>
                <c:formatCode>General</c:formatCode>
                <c:ptCount val="25"/>
                <c:pt idx="0">
                  <c:v>1</c:v>
                </c:pt>
                <c:pt idx="1">
                  <c:v>3</c:v>
                </c:pt>
                <c:pt idx="2">
                  <c:v>0</c:v>
                </c:pt>
                <c:pt idx="3">
                  <c:v>10</c:v>
                </c:pt>
                <c:pt idx="4">
                  <c:v>1</c:v>
                </c:pt>
                <c:pt idx="5">
                  <c:v>3</c:v>
                </c:pt>
                <c:pt idx="6">
                  <c:v>1</c:v>
                </c:pt>
                <c:pt idx="7">
                  <c:v>3</c:v>
                </c:pt>
                <c:pt idx="8">
                  <c:v>4</c:v>
                </c:pt>
                <c:pt idx="9">
                  <c:v>2</c:v>
                </c:pt>
                <c:pt idx="10">
                  <c:v>3</c:v>
                </c:pt>
                <c:pt idx="11">
                  <c:v>1</c:v>
                </c:pt>
                <c:pt idx="12">
                  <c:v>0</c:v>
                </c:pt>
                <c:pt idx="13">
                  <c:v>0</c:v>
                </c:pt>
                <c:pt idx="14">
                  <c:v>0</c:v>
                </c:pt>
                <c:pt idx="15">
                  <c:v>0</c:v>
                </c:pt>
                <c:pt idx="16">
                  <c:v>0</c:v>
                </c:pt>
                <c:pt idx="17">
                  <c:v>0</c:v>
                </c:pt>
                <c:pt idx="18">
                  <c:v>0</c:v>
                </c:pt>
                <c:pt idx="19">
                  <c:v>0</c:v>
                </c:pt>
                <c:pt idx="20">
                  <c:v>0</c:v>
                </c:pt>
                <c:pt idx="21">
                  <c:v>0</c:v>
                </c:pt>
                <c:pt idx="22">
                  <c:v>0</c:v>
                </c:pt>
                <c:pt idx="23">
                  <c:v>0</c:v>
                </c:pt>
                <c:pt idx="24">
                  <c:v>0</c:v>
                </c:pt>
              </c:numCache>
              <c:extLst xmlns:c15="http://schemas.microsoft.com/office/drawing/2012/chart"/>
            </c:numRef>
          </c:val>
          <c:extLst xmlns:c15="http://schemas.microsoft.com/office/drawing/2012/chart">
            <c:ext xmlns:c16="http://schemas.microsoft.com/office/drawing/2014/chart" uri="{C3380CC4-5D6E-409C-BE32-E72D297353CC}">
              <c16:uniqueId val="{0000002D-E95B-4DA6-863A-3104E93734D5}"/>
            </c:ext>
          </c:extLst>
        </c:ser>
        <c:ser>
          <c:idx val="6"/>
          <c:order val="8"/>
          <c:tx>
            <c:strRef>
              <c:f>'G2&amp;G3_BowWave_2025MAR'!$C$18</c:f>
              <c:strCache>
                <c:ptCount val="1"/>
                <c:pt idx="0">
                  <c:v>Started Delayed (&lt;=30 days)</c:v>
                </c:pt>
              </c:strCache>
              <c:extLst xmlns:c15="http://schemas.microsoft.com/office/drawing/2012/chart"/>
            </c:strRef>
          </c:tx>
          <c:spPr>
            <a:solidFill>
              <a:srgbClr val="00FFFF"/>
            </a:solidFill>
            <a:ln>
              <a:noFill/>
            </a:ln>
            <a:effectLst/>
          </c:spPr>
          <c:cat>
            <c:numRef>
              <c:f>'G2&amp;G3_BowWave_2025MAR'!$D$11:$IX$11</c:f>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extLst xmlns:c15="http://schemas.microsoft.com/office/drawing/2012/chart"/>
            </c:numRef>
          </c:cat>
          <c:val>
            <c:numRef>
              <c:f>'G2&amp;G3_BowWave_2025MAR'!$D$18:$IX$18</c:f>
              <c:numCache>
                <c:formatCode>General</c:formatCode>
                <c:ptCount val="25"/>
                <c:pt idx="0">
                  <c:v>9</c:v>
                </c:pt>
                <c:pt idx="1">
                  <c:v>0</c:v>
                </c:pt>
                <c:pt idx="2">
                  <c:v>3</c:v>
                </c:pt>
                <c:pt idx="3">
                  <c:v>4</c:v>
                </c:pt>
                <c:pt idx="4">
                  <c:v>4</c:v>
                </c:pt>
                <c:pt idx="5">
                  <c:v>7</c:v>
                </c:pt>
                <c:pt idx="6">
                  <c:v>2</c:v>
                </c:pt>
                <c:pt idx="7">
                  <c:v>2</c:v>
                </c:pt>
                <c:pt idx="8">
                  <c:v>0</c:v>
                </c:pt>
                <c:pt idx="9">
                  <c:v>2</c:v>
                </c:pt>
                <c:pt idx="10">
                  <c:v>1</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extLst xmlns:c15="http://schemas.microsoft.com/office/drawing/2012/chart"/>
            </c:numRef>
          </c:val>
          <c:extLst xmlns:c15="http://schemas.microsoft.com/office/drawing/2012/chart">
            <c:ext xmlns:c16="http://schemas.microsoft.com/office/drawing/2014/chart" uri="{C3380CC4-5D6E-409C-BE32-E72D297353CC}">
              <c16:uniqueId val="{0000002E-E95B-4DA6-863A-3104E93734D5}"/>
            </c:ext>
          </c:extLst>
        </c:ser>
        <c:dLbls>
          <c:showLegendKey val="0"/>
          <c:showVal val="0"/>
          <c:showCatName val="0"/>
          <c:showSerName val="0"/>
          <c:showPercent val="0"/>
          <c:showBubbleSize val="0"/>
        </c:dLbls>
        <c:axId val="2001818015"/>
        <c:axId val="2001820415"/>
        <c:extLst>
          <c:ext xmlns:c15="http://schemas.microsoft.com/office/drawing/2012/chart" uri="{02D57815-91ED-43cb-92C2-25804820EDAC}">
            <c15:filteredAreaSeries>
              <c15:ser>
                <c:idx val="11"/>
                <c:order val="9"/>
                <c:tx>
                  <c:strRef>
                    <c:extLst>
                      <c:ext uri="{02D57815-91ED-43cb-92C2-25804820EDAC}">
                        <c15:formulaRef>
                          <c15:sqref>'G2&amp;G3_BowWave_2025MAR'!$C$23</c15:sqref>
                        </c15:formulaRef>
                      </c:ext>
                    </c:extLst>
                    <c:strCache>
                      <c:ptCount val="1"/>
                      <c:pt idx="0">
                        <c:v>Completed Delayed (&gt;60 days)</c:v>
                      </c:pt>
                    </c:strCache>
                  </c:strRef>
                </c:tx>
                <c:spPr>
                  <a:solidFill>
                    <a:srgbClr val="CC99FF"/>
                  </a:solidFill>
                  <a:ln>
                    <a:noFill/>
                  </a:ln>
                  <a:effectLst/>
                </c:spPr>
                <c:cat>
                  <c:numRef>
                    <c:extLst>
                      <c:ext uri="{02D57815-91ED-43cb-92C2-25804820EDAC}">
                        <c15:formulaRef>
                          <c15:sqref>'G2&amp;G3_BowWave_2025MAR'!$D$11:$IX$11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c:ext uri="{02D57815-91ED-43cb-92C2-25804820EDAC}">
                        <c15:formulaRef>
                          <c15:sqref>'G2&amp;G3_BowWave_2025MAR'!$D$23:$IX$23</c15:sqref>
                        </c15:formulaRef>
                      </c:ext>
                    </c:extLst>
                    <c:numCache>
                      <c:formatCode>General</c:formatCode>
                      <c:ptCount val="25"/>
                      <c:pt idx="0">
                        <c:v>18</c:v>
                      </c:pt>
                      <c:pt idx="1">
                        <c:v>20</c:v>
                      </c:pt>
                      <c:pt idx="2">
                        <c:v>19</c:v>
                      </c:pt>
                      <c:pt idx="3">
                        <c:v>35</c:v>
                      </c:pt>
                      <c:pt idx="4">
                        <c:v>36</c:v>
                      </c:pt>
                      <c:pt idx="5">
                        <c:v>47</c:v>
                      </c:pt>
                      <c:pt idx="6">
                        <c:v>22</c:v>
                      </c:pt>
                      <c:pt idx="7">
                        <c:v>6</c:v>
                      </c:pt>
                      <c:pt idx="8">
                        <c:v>5</c:v>
                      </c:pt>
                      <c:pt idx="9">
                        <c:v>5</c:v>
                      </c:pt>
                      <c:pt idx="10">
                        <c:v>1</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extLst>
                  <c:ext xmlns:c16="http://schemas.microsoft.com/office/drawing/2014/chart" uri="{C3380CC4-5D6E-409C-BE32-E72D297353CC}">
                    <c16:uniqueId val="{00000000-E95B-4DA6-863A-3104E93734D5}"/>
                  </c:ext>
                </c:extLst>
              </c15:ser>
            </c15:filteredAreaSeries>
            <c15:filteredAreaSeries>
              <c15:ser>
                <c:idx val="10"/>
                <c:order val="10"/>
                <c:tx>
                  <c:strRef>
                    <c:extLst xmlns:c15="http://schemas.microsoft.com/office/drawing/2012/chart">
                      <c:ext xmlns:c15="http://schemas.microsoft.com/office/drawing/2012/chart" uri="{02D57815-91ED-43cb-92C2-25804820EDAC}">
                        <c15:formulaRef>
                          <c15:sqref>'G2&amp;G3_BowWave_2025MAR'!$C$22</c15:sqref>
                        </c15:formulaRef>
                      </c:ext>
                    </c:extLst>
                    <c:strCache>
                      <c:ptCount val="1"/>
                      <c:pt idx="0">
                        <c:v>Completed Delayed (Between 31 to 60 days)</c:v>
                      </c:pt>
                    </c:strCache>
                  </c:strRef>
                </c:tx>
                <c:spPr>
                  <a:solidFill>
                    <a:srgbClr val="FFFFCC"/>
                  </a:solidFill>
                  <a:ln>
                    <a:noFill/>
                  </a:ln>
                  <a:effectLst/>
                </c:spPr>
                <c:cat>
                  <c:numRef>
                    <c:extLst xmlns:c15="http://schemas.microsoft.com/office/drawing/2012/chart">
                      <c:ext xmlns:c15="http://schemas.microsoft.com/office/drawing/2012/chart" uri="{02D57815-91ED-43cb-92C2-25804820EDAC}">
                        <c15:formulaRef>
                          <c15:sqref>'G2&amp;G3_BowWave_2025MAR'!$D$11:$IX$11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'G2&amp;G3_BowWave_2025MAR'!$D$22:$IX$22</c15:sqref>
                        </c15:formulaRef>
                      </c:ext>
                    </c:extLst>
                    <c:numCache>
                      <c:formatCode>General</c:formatCode>
                      <c:ptCount val="25"/>
                      <c:pt idx="0">
                        <c:v>0</c:v>
                      </c:pt>
                      <c:pt idx="1">
                        <c:v>3</c:v>
                      </c:pt>
                      <c:pt idx="2">
                        <c:v>6</c:v>
                      </c:pt>
                      <c:pt idx="3">
                        <c:v>8</c:v>
                      </c:pt>
                      <c:pt idx="4">
                        <c:v>3</c:v>
                      </c:pt>
                      <c:pt idx="5">
                        <c:v>4</c:v>
                      </c:pt>
                      <c:pt idx="6">
                        <c:v>1</c:v>
                      </c:pt>
                      <c:pt idx="7">
                        <c:v>2</c:v>
                      </c:pt>
                      <c:pt idx="8">
                        <c:v>4</c:v>
                      </c:pt>
                      <c:pt idx="9">
                        <c:v>1</c:v>
                      </c:pt>
                      <c:pt idx="10">
                        <c:v>3</c:v>
                      </c:pt>
                      <c:pt idx="11">
                        <c:v>1</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extLst xmlns:c15="http://schemas.microsoft.com/office/drawing/2012/chart">
                  <c:ext xmlns:c16="http://schemas.microsoft.com/office/drawing/2014/chart" uri="{C3380CC4-5D6E-409C-BE32-E72D297353CC}">
                    <c16:uniqueId val="{00000001-E95B-4DA6-863A-3104E93734D5}"/>
                  </c:ext>
                </c:extLst>
              </c15:ser>
            </c15:filteredAreaSeries>
            <c15:filteredAreaSeries>
              <c15:ser>
                <c:idx val="9"/>
                <c:order val="11"/>
                <c:tx>
                  <c:strRef>
                    <c:extLst xmlns:c15="http://schemas.microsoft.com/office/drawing/2012/chart">
                      <c:ext xmlns:c15="http://schemas.microsoft.com/office/drawing/2012/chart" uri="{02D57815-91ED-43cb-92C2-25804820EDAC}">
                        <c15:formulaRef>
                          <c15:sqref>'G2&amp;G3_BowWave_2025MAR'!$C$21</c15:sqref>
                        </c15:formulaRef>
                      </c:ext>
                    </c:extLst>
                    <c:strCache>
                      <c:ptCount val="1"/>
                      <c:pt idx="0">
                        <c:v>Completed Delayed (&lt;=30 days)</c:v>
                      </c:pt>
                    </c:strCache>
                  </c:strRef>
                </c:tx>
                <c:spPr>
                  <a:solidFill>
                    <a:srgbClr val="00FFFF"/>
                  </a:solidFill>
                  <a:ln>
                    <a:noFill/>
                  </a:ln>
                  <a:effectLst/>
                </c:spPr>
                <c:cat>
                  <c:numRef>
                    <c:extLst xmlns:c15="http://schemas.microsoft.com/office/drawing/2012/chart">
                      <c:ext xmlns:c15="http://schemas.microsoft.com/office/drawing/2012/chart" uri="{02D57815-91ED-43cb-92C2-25804820EDAC}">
                        <c15:formulaRef>
                          <c15:sqref>'G2&amp;G3_BowWave_2025MAR'!$D$11:$IX$11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'G2&amp;G3_BowWave_2025MAR'!$D$21:$IX$21</c15:sqref>
                        </c15:formulaRef>
                      </c:ext>
                    </c:extLst>
                    <c:numCache>
                      <c:formatCode>General</c:formatCode>
                      <c:ptCount val="25"/>
                      <c:pt idx="0">
                        <c:v>6</c:v>
                      </c:pt>
                      <c:pt idx="1">
                        <c:v>0</c:v>
                      </c:pt>
                      <c:pt idx="2">
                        <c:v>1</c:v>
                      </c:pt>
                      <c:pt idx="3">
                        <c:v>6</c:v>
                      </c:pt>
                      <c:pt idx="4">
                        <c:v>8</c:v>
                      </c:pt>
                      <c:pt idx="5">
                        <c:v>8</c:v>
                      </c:pt>
                      <c:pt idx="6">
                        <c:v>2</c:v>
                      </c:pt>
                      <c:pt idx="7">
                        <c:v>3</c:v>
                      </c:pt>
                      <c:pt idx="8">
                        <c:v>0</c:v>
                      </c:pt>
                      <c:pt idx="9">
                        <c:v>2</c:v>
                      </c:pt>
                      <c:pt idx="10">
                        <c:v>1</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extLst xmlns:c15="http://schemas.microsoft.com/office/drawing/2012/chart">
                  <c:ext xmlns:c16="http://schemas.microsoft.com/office/drawing/2014/chart" uri="{C3380CC4-5D6E-409C-BE32-E72D297353CC}">
                    <c16:uniqueId val="{00000002-E95B-4DA6-863A-3104E93734D5}"/>
                  </c:ext>
                </c:extLst>
              </c15:ser>
            </c15:filteredAreaSeries>
          </c:ext>
        </c:extLst>
      </c:areaChart>
      <c:barChart>
        <c:barDir val="col"/>
        <c:grouping val="clustered"/>
        <c:varyColors val="0"/>
        <c:ser>
          <c:idx val="0"/>
          <c:order val="0"/>
          <c:tx>
            <c:strRef>
              <c:f>'G2&amp;G3_BowWave_2025MAR'!$C$12</c:f>
              <c:strCache>
                <c:ptCount val="1"/>
                <c:pt idx="0">
                  <c:v>Baselined to Start</c:v>
                </c:pt>
              </c:strCache>
              <c:extLst xmlns:c15="http://schemas.microsoft.com/office/drawing/2012/chart"/>
            </c:strRef>
          </c:tx>
          <c:spPr>
            <a:solidFill>
              <a:schemeClr val="bg2">
                <a:lumMod val="50000"/>
              </a:schemeClr>
            </a:solidFill>
            <a:ln>
              <a:solidFill>
                <a:schemeClr val="tx1"/>
              </a:solidFill>
            </a:ln>
            <a:effectLst/>
          </c:spPr>
          <c:invertIfNegative val="0"/>
          <c:cat>
            <c:numRef>
              <c:f>'G2&amp;G3_BowWave_2025MAR'!$D$11:$IX$11</c:f>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f>'G2&amp;G3_BowWave_2025MAR'!$D$12:$IX$12</c:f>
              <c:numCache>
                <c:formatCode>General</c:formatCode>
                <c:ptCount val="25"/>
                <c:pt idx="0">
                  <c:v>74</c:v>
                </c:pt>
                <c:pt idx="1">
                  <c:v>47</c:v>
                </c:pt>
                <c:pt idx="2">
                  <c:v>46</c:v>
                </c:pt>
                <c:pt idx="3">
                  <c:v>90</c:v>
                </c:pt>
                <c:pt idx="4">
                  <c:v>80</c:v>
                </c:pt>
                <c:pt idx="5">
                  <c:v>88</c:v>
                </c:pt>
                <c:pt idx="6">
                  <c:v>38</c:v>
                </c:pt>
                <c:pt idx="7">
                  <c:v>85</c:v>
                </c:pt>
                <c:pt idx="8">
                  <c:v>53</c:v>
                </c:pt>
                <c:pt idx="9">
                  <c:v>53</c:v>
                </c:pt>
                <c:pt idx="10">
                  <c:v>34</c:v>
                </c:pt>
                <c:pt idx="11">
                  <c:v>10</c:v>
                </c:pt>
                <c:pt idx="12">
                  <c:v>32</c:v>
                </c:pt>
                <c:pt idx="13">
                  <c:v>33</c:v>
                </c:pt>
                <c:pt idx="14">
                  <c:v>11</c:v>
                </c:pt>
                <c:pt idx="15">
                  <c:v>7</c:v>
                </c:pt>
                <c:pt idx="16">
                  <c:v>7</c:v>
                </c:pt>
                <c:pt idx="17">
                  <c:v>1</c:v>
                </c:pt>
                <c:pt idx="18">
                  <c:v>1</c:v>
                </c:pt>
                <c:pt idx="19">
                  <c:v>1</c:v>
                </c:pt>
                <c:pt idx="20">
                  <c:v>5</c:v>
                </c:pt>
                <c:pt idx="21">
                  <c:v>5</c:v>
                </c:pt>
                <c:pt idx="22">
                  <c:v>1</c:v>
                </c:pt>
                <c:pt idx="23">
                  <c:v>1</c:v>
                </c:pt>
                <c:pt idx="24">
                  <c:v>0</c:v>
                </c:pt>
              </c:numCache>
              <c:extLst xmlns:c15="http://schemas.microsoft.com/office/drawing/2012/chart"/>
            </c:numRef>
          </c:val>
          <c:extLst xmlns:c15="http://schemas.microsoft.com/office/drawing/2012/chart">
            <c:ext xmlns:c16="http://schemas.microsoft.com/office/drawing/2014/chart" uri="{C3380CC4-5D6E-409C-BE32-E72D297353CC}">
              <c16:uniqueId val="{0000001F-E95B-4DA6-863A-3104E93734D5}"/>
            </c:ext>
          </c:extLst>
        </c:ser>
        <c:ser>
          <c:idx val="1"/>
          <c:order val="1"/>
          <c:tx>
            <c:strRef>
              <c:f>'G2&amp;G3_BowWave_2025MAR'!$C$13</c:f>
              <c:strCache>
                <c:ptCount val="1"/>
                <c:pt idx="0">
                  <c:v>Scheduled to Start</c:v>
                </c:pt>
              </c:strCache>
              <c:extLst xmlns:c15="http://schemas.microsoft.com/office/drawing/2012/chart"/>
            </c:strRef>
          </c:tx>
          <c:spPr>
            <a:solidFill>
              <a:srgbClr val="FFC000"/>
            </a:solidFill>
            <a:ln>
              <a:solidFill>
                <a:schemeClr val="accent2"/>
              </a:solidFill>
            </a:ln>
            <a:effectLst/>
          </c:spPr>
          <c:invertIfNegative val="0"/>
          <c:cat>
            <c:numRef>
              <c:f>'G2&amp;G3_BowWave_2025MAR'!$D$11:$IX$11</c:f>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f>'G2&amp;G3_BowWave_2025MAR'!$D$13:$IX$13</c:f>
              <c:numCache>
                <c:formatCode>General</c:formatCode>
                <c:ptCount val="25"/>
                <c:pt idx="0">
                  <c:v>61</c:v>
                </c:pt>
                <c:pt idx="1">
                  <c:v>59</c:v>
                </c:pt>
                <c:pt idx="2">
                  <c:v>40</c:v>
                </c:pt>
                <c:pt idx="3">
                  <c:v>49</c:v>
                </c:pt>
                <c:pt idx="4">
                  <c:v>52</c:v>
                </c:pt>
                <c:pt idx="5">
                  <c:v>39</c:v>
                </c:pt>
                <c:pt idx="6">
                  <c:v>22</c:v>
                </c:pt>
                <c:pt idx="7">
                  <c:v>42</c:v>
                </c:pt>
                <c:pt idx="8">
                  <c:v>33</c:v>
                </c:pt>
                <c:pt idx="9">
                  <c:v>56</c:v>
                </c:pt>
                <c:pt idx="10">
                  <c:v>42</c:v>
                </c:pt>
                <c:pt idx="11">
                  <c:v>36</c:v>
                </c:pt>
                <c:pt idx="12">
                  <c:v>56</c:v>
                </c:pt>
                <c:pt idx="13">
                  <c:v>82</c:v>
                </c:pt>
                <c:pt idx="14">
                  <c:v>70</c:v>
                </c:pt>
                <c:pt idx="15">
                  <c:v>55</c:v>
                </c:pt>
                <c:pt idx="16">
                  <c:v>47</c:v>
                </c:pt>
                <c:pt idx="17">
                  <c:v>24</c:v>
                </c:pt>
                <c:pt idx="18">
                  <c:v>12</c:v>
                </c:pt>
                <c:pt idx="19">
                  <c:v>26</c:v>
                </c:pt>
                <c:pt idx="20">
                  <c:v>19</c:v>
                </c:pt>
                <c:pt idx="21">
                  <c:v>19</c:v>
                </c:pt>
                <c:pt idx="22">
                  <c:v>25</c:v>
                </c:pt>
                <c:pt idx="23">
                  <c:v>8</c:v>
                </c:pt>
                <c:pt idx="24">
                  <c:v>6</c:v>
                </c:pt>
              </c:numCache>
              <c:extLst xmlns:c15="http://schemas.microsoft.com/office/drawing/2012/chart"/>
            </c:numRef>
          </c:val>
          <c:extLst xmlns:c15="http://schemas.microsoft.com/office/drawing/2012/chart">
            <c:ext xmlns:c16="http://schemas.microsoft.com/office/drawing/2014/chart" uri="{C3380CC4-5D6E-409C-BE32-E72D297353CC}">
              <c16:uniqueId val="{00000020-E95B-4DA6-863A-3104E93734D5}"/>
            </c:ext>
          </c:extLst>
        </c:ser>
        <c:ser>
          <c:idx val="21"/>
          <c:order val="2"/>
          <c:tx>
            <c:strRef>
              <c:f>'G2&amp;G3_BowWave_2025MAR'!$C$14</c:f>
              <c:strCache>
                <c:ptCount val="1"/>
                <c:pt idx="0">
                  <c:v>Actual Starts</c:v>
                </c:pt>
              </c:strCache>
              <c:extLst xmlns:c15="http://schemas.microsoft.com/office/drawing/2012/chart"/>
            </c:strRef>
          </c:tx>
          <c:spPr>
            <a:solidFill>
              <a:srgbClr val="92D050"/>
            </a:solidFill>
            <a:ln>
              <a:solidFill>
                <a:schemeClr val="accent6">
                  <a:lumMod val="75000"/>
                </a:schemeClr>
              </a:solidFill>
            </a:ln>
            <a:effectLst/>
          </c:spPr>
          <c:invertIfNegative val="0"/>
          <c:cat>
            <c:numRef>
              <c:f>'G2&amp;G3_BowWave_2025MAR'!$D$11:$IX$11</c:f>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f>'G2&amp;G3_BowWave_2025MAR'!$D$14:$IX$14</c:f>
              <c:numCache>
                <c:formatCode>General</c:formatCode>
                <c:ptCount val="25"/>
                <c:pt idx="0">
                  <c:v>61</c:v>
                </c:pt>
                <c:pt idx="1">
                  <c:v>59</c:v>
                </c:pt>
                <c:pt idx="2">
                  <c:v>40</c:v>
                </c:pt>
                <c:pt idx="3">
                  <c:v>49</c:v>
                </c:pt>
                <c:pt idx="4">
                  <c:v>52</c:v>
                </c:pt>
                <c:pt idx="5">
                  <c:v>39</c:v>
                </c:pt>
                <c:pt idx="6">
                  <c:v>22</c:v>
                </c:pt>
                <c:pt idx="7">
                  <c:v>42</c:v>
                </c:pt>
                <c:pt idx="8">
                  <c:v>33</c:v>
                </c:pt>
                <c:pt idx="9">
                  <c:v>56</c:v>
                </c:pt>
                <c:pt idx="10">
                  <c:v>42</c:v>
                </c:pt>
                <c:pt idx="11">
                  <c:v>36</c:v>
                </c:pt>
                <c:pt idx="12">
                  <c:v>42</c:v>
                </c:pt>
                <c:pt idx="13">
                  <c:v>0</c:v>
                </c:pt>
                <c:pt idx="14">
                  <c:v>0</c:v>
                </c:pt>
                <c:pt idx="15">
                  <c:v>0</c:v>
                </c:pt>
                <c:pt idx="16">
                  <c:v>0</c:v>
                </c:pt>
                <c:pt idx="17">
                  <c:v>0</c:v>
                </c:pt>
                <c:pt idx="18">
                  <c:v>0</c:v>
                </c:pt>
                <c:pt idx="19">
                  <c:v>0</c:v>
                </c:pt>
                <c:pt idx="20">
                  <c:v>0</c:v>
                </c:pt>
                <c:pt idx="21">
                  <c:v>0</c:v>
                </c:pt>
                <c:pt idx="22">
                  <c:v>0</c:v>
                </c:pt>
                <c:pt idx="23">
                  <c:v>0</c:v>
                </c:pt>
                <c:pt idx="24">
                  <c:v>0</c:v>
                </c:pt>
              </c:numCache>
              <c:extLst xmlns:c15="http://schemas.microsoft.com/office/drawing/2012/chart"/>
            </c:numRef>
          </c:val>
          <c:extLst xmlns:c15="http://schemas.microsoft.com/office/drawing/2012/chart">
            <c:ext xmlns:c16="http://schemas.microsoft.com/office/drawing/2014/chart" uri="{C3380CC4-5D6E-409C-BE32-E72D297353CC}">
              <c16:uniqueId val="{00000021-E95B-4DA6-863A-3104E93734D5}"/>
            </c:ext>
          </c:extLst>
        </c:ser>
        <c:ser>
          <c:idx val="18"/>
          <c:order val="18"/>
          <c:tx>
            <c:strRef>
              <c:f>'G2&amp;G3_BowWave_2025MAR'!$C$30</c:f>
              <c:strCache>
                <c:ptCount val="1"/>
                <c:pt idx="0">
                  <c:v>Status Date (6-mo interval)</c:v>
                </c:pt>
              </c:strCache>
            </c:strRef>
          </c:tx>
          <c:spPr>
            <a:noFill/>
            <a:ln w="19050">
              <a:solidFill>
                <a:schemeClr val="accent1"/>
              </a:solidFill>
              <a:prstDash val="dash"/>
            </a:ln>
            <a:effectLst/>
          </c:spPr>
          <c:invertIfNegative val="0"/>
          <c:dPt>
            <c:idx val="0"/>
            <c:invertIfNegative val="0"/>
            <c:bubble3D val="0"/>
            <c:spPr>
              <a:noFill/>
              <a:ln w="19050">
                <a:solidFill>
                  <a:srgbClr val="002060"/>
                </a:solidFill>
                <a:prstDash val="dash"/>
              </a:ln>
              <a:effectLst/>
            </c:spPr>
            <c:extLst>
              <c:ext xmlns:c16="http://schemas.microsoft.com/office/drawing/2014/chart" uri="{C3380CC4-5D6E-409C-BE32-E72D297353CC}">
                <c16:uniqueId val="{00000007-E95B-4DA6-863A-3104E93734D5}"/>
              </c:ext>
            </c:extLst>
          </c:dPt>
          <c:dPt>
            <c:idx val="6"/>
            <c:invertIfNegative val="0"/>
            <c:bubble3D val="0"/>
            <c:spPr>
              <a:noFill/>
              <a:ln w="19050">
                <a:solidFill>
                  <a:srgbClr val="FF0000"/>
                </a:solidFill>
                <a:prstDash val="dash"/>
              </a:ln>
              <a:effectLst/>
            </c:spPr>
            <c:extLst>
              <c:ext xmlns:c16="http://schemas.microsoft.com/office/drawing/2014/chart" uri="{C3380CC4-5D6E-409C-BE32-E72D297353CC}">
                <c16:uniqueId val="{00000009-E95B-4DA6-863A-3104E93734D5}"/>
              </c:ext>
            </c:extLst>
          </c:dPt>
          <c:dPt>
            <c:idx val="12"/>
            <c:invertIfNegative val="0"/>
            <c:bubble3D val="0"/>
            <c:spPr>
              <a:noFill/>
              <a:ln w="19050">
                <a:solidFill>
                  <a:srgbClr val="002060"/>
                </a:solidFill>
                <a:prstDash val="dash"/>
              </a:ln>
              <a:effectLst/>
            </c:spPr>
            <c:extLst>
              <c:ext xmlns:c16="http://schemas.microsoft.com/office/drawing/2014/chart" uri="{C3380CC4-5D6E-409C-BE32-E72D297353CC}">
                <c16:uniqueId val="{0000000B-E95B-4DA6-863A-3104E93734D5}"/>
              </c:ext>
            </c:extLst>
          </c:dPt>
          <c:dPt>
            <c:idx val="18"/>
            <c:invertIfNegative val="0"/>
            <c:bubble3D val="0"/>
            <c:spPr>
              <a:noFill/>
              <a:ln w="19050">
                <a:solidFill>
                  <a:srgbClr val="FF0000"/>
                </a:solidFill>
                <a:prstDash val="dash"/>
              </a:ln>
              <a:effectLst/>
            </c:spPr>
            <c:extLst>
              <c:ext xmlns:c16="http://schemas.microsoft.com/office/drawing/2014/chart" uri="{C3380CC4-5D6E-409C-BE32-E72D297353CC}">
                <c16:uniqueId val="{0000000D-E95B-4DA6-863A-3104E93734D5}"/>
              </c:ext>
            </c:extLst>
          </c:dPt>
          <c:dPt>
            <c:idx val="32"/>
            <c:invertIfNegative val="0"/>
            <c:bubble3D val="0"/>
            <c:spPr>
              <a:noFill/>
              <a:ln w="19050">
                <a:solidFill>
                  <a:srgbClr val="FF0000"/>
                </a:solidFill>
                <a:prstDash val="dash"/>
              </a:ln>
              <a:effectLst/>
            </c:spPr>
            <c:extLst>
              <c:ext xmlns:c16="http://schemas.microsoft.com/office/drawing/2014/chart" uri="{C3380CC4-5D6E-409C-BE32-E72D297353CC}">
                <c16:uniqueId val="{0000000F-E95B-4DA6-863A-3104E93734D5}"/>
              </c:ext>
            </c:extLst>
          </c:dPt>
          <c:dPt>
            <c:idx val="35"/>
            <c:invertIfNegative val="0"/>
            <c:bubble3D val="0"/>
            <c:spPr>
              <a:noFill/>
              <a:ln w="19050">
                <a:solidFill>
                  <a:srgbClr val="FF0000"/>
                </a:solidFill>
                <a:prstDash val="dash"/>
              </a:ln>
              <a:effectLst/>
            </c:spPr>
            <c:extLst>
              <c:ext xmlns:c16="http://schemas.microsoft.com/office/drawing/2014/chart" uri="{C3380CC4-5D6E-409C-BE32-E72D297353CC}">
                <c16:uniqueId val="{00000011-E95B-4DA6-863A-3104E93734D5}"/>
              </c:ext>
            </c:extLst>
          </c:dPt>
          <c:dPt>
            <c:idx val="44"/>
            <c:invertIfNegative val="0"/>
            <c:bubble3D val="0"/>
            <c:spPr>
              <a:noFill/>
              <a:ln w="19050">
                <a:solidFill>
                  <a:srgbClr val="002060"/>
                </a:solidFill>
                <a:prstDash val="dash"/>
              </a:ln>
              <a:effectLst/>
            </c:spPr>
            <c:extLst>
              <c:ext xmlns:c16="http://schemas.microsoft.com/office/drawing/2014/chart" uri="{C3380CC4-5D6E-409C-BE32-E72D297353CC}">
                <c16:uniqueId val="{00000013-E95B-4DA6-863A-3104E93734D5}"/>
              </c:ext>
            </c:extLst>
          </c:dPt>
          <c:dPt>
            <c:idx val="50"/>
            <c:invertIfNegative val="0"/>
            <c:bubble3D val="0"/>
            <c:spPr>
              <a:noFill/>
              <a:ln w="19050">
                <a:solidFill>
                  <a:srgbClr val="CC3300"/>
                </a:solidFill>
                <a:prstDash val="dash"/>
              </a:ln>
              <a:effectLst/>
            </c:spPr>
            <c:extLst>
              <c:ext xmlns:c16="http://schemas.microsoft.com/office/drawing/2014/chart" uri="{C3380CC4-5D6E-409C-BE32-E72D297353CC}">
                <c16:uniqueId val="{00000015-E95B-4DA6-863A-3104E93734D5}"/>
              </c:ext>
            </c:extLst>
          </c:dPt>
          <c:dPt>
            <c:idx val="56"/>
            <c:invertIfNegative val="0"/>
            <c:bubble3D val="0"/>
            <c:spPr>
              <a:noFill/>
              <a:ln w="19050">
                <a:solidFill>
                  <a:srgbClr val="002060"/>
                </a:solidFill>
                <a:prstDash val="dash"/>
              </a:ln>
              <a:effectLst/>
            </c:spPr>
            <c:extLst>
              <c:ext xmlns:c16="http://schemas.microsoft.com/office/drawing/2014/chart" uri="{C3380CC4-5D6E-409C-BE32-E72D297353CC}">
                <c16:uniqueId val="{00000017-E95B-4DA6-863A-3104E93734D5}"/>
              </c:ext>
            </c:extLst>
          </c:dPt>
          <c:dPt>
            <c:idx val="86"/>
            <c:invertIfNegative val="0"/>
            <c:bubble3D val="0"/>
            <c:spPr>
              <a:noFill/>
              <a:ln w="19050">
                <a:solidFill>
                  <a:srgbClr val="FF0000"/>
                </a:solidFill>
                <a:prstDash val="dash"/>
              </a:ln>
              <a:effectLst/>
            </c:spPr>
            <c:extLst>
              <c:ext xmlns:c16="http://schemas.microsoft.com/office/drawing/2014/chart" uri="{C3380CC4-5D6E-409C-BE32-E72D297353CC}">
                <c16:uniqueId val="{00000019-E95B-4DA6-863A-3104E93734D5}"/>
              </c:ext>
            </c:extLst>
          </c:dPt>
          <c:cat>
            <c:numRef>
              <c:f>'G2&amp;G3_BowWave_2025MAR'!$D$11:$IX$11</c:f>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f>'G2&amp;G3_BowWave_2025MAR'!$D$30:$IX$30</c:f>
              <c:numCache>
                <c:formatCode>General</c:formatCode>
                <c:ptCount val="25"/>
                <c:pt idx="6">
                  <c:v>125</c:v>
                </c:pt>
                <c:pt idx="12">
                  <c:v>125</c:v>
                </c:pt>
                <c:pt idx="18">
                  <c:v>125</c:v>
                </c:pt>
              </c:numCache>
            </c:numRef>
          </c:val>
          <c:extLst>
            <c:ext xmlns:c16="http://schemas.microsoft.com/office/drawing/2014/chart" uri="{C3380CC4-5D6E-409C-BE32-E72D297353CC}">
              <c16:uniqueId val="{0000001A-E95B-4DA6-863A-3104E93734D5}"/>
            </c:ext>
          </c:extLst>
        </c:ser>
        <c:dLbls>
          <c:showLegendKey val="0"/>
          <c:showVal val="0"/>
          <c:showCatName val="0"/>
          <c:showSerName val="0"/>
          <c:showPercent val="0"/>
          <c:showBubbleSize val="0"/>
        </c:dLbls>
        <c:gapWidth val="150"/>
        <c:axId val="2001818015"/>
        <c:axId val="2001820415"/>
        <c:extLst>
          <c:ext xmlns:c15="http://schemas.microsoft.com/office/drawing/2012/chart" uri="{02D57815-91ED-43cb-92C2-25804820EDAC}">
            <c15:filteredBarSeries>
              <c15:ser>
                <c:idx val="3"/>
                <c:order val="3"/>
                <c:tx>
                  <c:strRef>
                    <c:extLst>
                      <c:ext uri="{02D57815-91ED-43cb-92C2-25804820EDAC}">
                        <c15:formulaRef>
                          <c15:sqref>'G2&amp;G3_BowWave_2025MAR'!$C$15</c15:sqref>
                        </c15:formulaRef>
                      </c:ext>
                    </c:extLst>
                    <c:strCache>
                      <c:ptCount val="1"/>
                      <c:pt idx="0">
                        <c:v>Baselined to Finish</c:v>
                      </c:pt>
                    </c:strCache>
                  </c:strRef>
                </c:tx>
                <c:spPr>
                  <a:solidFill>
                    <a:schemeClr val="accent4">
                      <a:lumMod val="60000"/>
                      <a:lumOff val="40000"/>
                    </a:schemeClr>
                  </a:solidFill>
                  <a:ln>
                    <a:solidFill>
                      <a:schemeClr val="accent2"/>
                    </a:solidFill>
                  </a:ln>
                  <a:effectLst/>
                </c:spPr>
                <c:invertIfNegative val="0"/>
                <c:cat>
                  <c:numRef>
                    <c:extLst>
                      <c:ext uri="{02D57815-91ED-43cb-92C2-25804820EDAC}">
                        <c15:formulaRef>
                          <c15:sqref>'G2&amp;G3_BowWave_2025MAR'!$D$11:$IX$11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c:ext uri="{02D57815-91ED-43cb-92C2-25804820EDAC}">
                        <c15:formulaRef>
                          <c15:sqref>'G2&amp;G3_BowWave_2025MAR'!$D$15:$IX$15</c15:sqref>
                        </c15:formulaRef>
                      </c:ext>
                    </c:extLst>
                    <c:numCache>
                      <c:formatCode>General</c:formatCode>
                      <c:ptCount val="25"/>
                      <c:pt idx="0">
                        <c:v>63</c:v>
                      </c:pt>
                      <c:pt idx="1">
                        <c:v>49</c:v>
                      </c:pt>
                      <c:pt idx="2">
                        <c:v>56</c:v>
                      </c:pt>
                      <c:pt idx="3">
                        <c:v>81</c:v>
                      </c:pt>
                      <c:pt idx="4">
                        <c:v>78</c:v>
                      </c:pt>
                      <c:pt idx="5">
                        <c:v>106</c:v>
                      </c:pt>
                      <c:pt idx="6">
                        <c:v>58</c:v>
                      </c:pt>
                      <c:pt idx="7">
                        <c:v>90</c:v>
                      </c:pt>
                      <c:pt idx="8">
                        <c:v>47</c:v>
                      </c:pt>
                      <c:pt idx="9">
                        <c:v>50</c:v>
                      </c:pt>
                      <c:pt idx="10">
                        <c:v>37</c:v>
                      </c:pt>
                      <c:pt idx="11">
                        <c:v>16</c:v>
                      </c:pt>
                      <c:pt idx="12">
                        <c:v>31</c:v>
                      </c:pt>
                      <c:pt idx="13">
                        <c:v>31</c:v>
                      </c:pt>
                      <c:pt idx="14">
                        <c:v>16</c:v>
                      </c:pt>
                      <c:pt idx="15">
                        <c:v>8</c:v>
                      </c:pt>
                      <c:pt idx="16">
                        <c:v>2</c:v>
                      </c:pt>
                      <c:pt idx="17">
                        <c:v>3</c:v>
                      </c:pt>
                      <c:pt idx="18">
                        <c:v>6</c:v>
                      </c:pt>
                      <c:pt idx="19">
                        <c:v>2</c:v>
                      </c:pt>
                      <c:pt idx="20">
                        <c:v>2</c:v>
                      </c:pt>
                      <c:pt idx="21">
                        <c:v>6</c:v>
                      </c:pt>
                      <c:pt idx="22">
                        <c:v>3</c:v>
                      </c:pt>
                      <c:pt idx="23">
                        <c:v>1</c:v>
                      </c:pt>
                      <c:pt idx="24">
                        <c:v>0</c:v>
                      </c:pt>
                    </c:numCache>
                  </c:numRef>
                </c:val>
                <c:extLst>
                  <c:ext xmlns:c16="http://schemas.microsoft.com/office/drawing/2014/chart" uri="{C3380CC4-5D6E-409C-BE32-E72D297353CC}">
                    <c16:uniqueId val="{00000003-E95B-4DA6-863A-3104E93734D5}"/>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'G2&amp;G3_BowWave_2025MAR'!$C$16</c15:sqref>
                        </c15:formulaRef>
                      </c:ext>
                    </c:extLst>
                    <c:strCache>
                      <c:ptCount val="1"/>
                      <c:pt idx="0">
                        <c:v>Scheduled to Finish</c:v>
                      </c:pt>
                    </c:strCache>
                  </c:strRef>
                </c:tx>
                <c:spPr>
                  <a:solidFill>
                    <a:schemeClr val="accent5">
                      <a:lumMod val="60000"/>
                      <a:lumOff val="40000"/>
                    </a:schemeClr>
                  </a:solidFill>
                  <a:ln>
                    <a:solidFill>
                      <a:schemeClr val="accent5">
                        <a:lumMod val="75000"/>
                      </a:schemeClr>
                    </a:solidFill>
                  </a:ln>
                  <a:effectLst/>
                </c:spPr>
                <c:invertIfNegative val="0"/>
                <c:cat>
                  <c:numRef>
                    <c:extLst xmlns:c15="http://schemas.microsoft.com/office/drawing/2012/chart">
                      <c:ext xmlns:c15="http://schemas.microsoft.com/office/drawing/2012/chart" uri="{02D57815-91ED-43cb-92C2-25804820EDAC}">
                        <c15:formulaRef>
                          <c15:sqref>'G2&amp;G3_BowWave_2025MAR'!$D$11:$IX$11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'G2&amp;G3_BowWave_2025MAR'!$D$16:$IX$16</c15:sqref>
                        </c15:formulaRef>
                      </c:ext>
                    </c:extLst>
                    <c:numCache>
                      <c:formatCode>General</c:formatCode>
                      <c:ptCount val="25"/>
                      <c:pt idx="0">
                        <c:v>70</c:v>
                      </c:pt>
                      <c:pt idx="1">
                        <c:v>56</c:v>
                      </c:pt>
                      <c:pt idx="2">
                        <c:v>43</c:v>
                      </c:pt>
                      <c:pt idx="3">
                        <c:v>47</c:v>
                      </c:pt>
                      <c:pt idx="4">
                        <c:v>45</c:v>
                      </c:pt>
                      <c:pt idx="5">
                        <c:v>55</c:v>
                      </c:pt>
                      <c:pt idx="6">
                        <c:v>31</c:v>
                      </c:pt>
                      <c:pt idx="7">
                        <c:v>31</c:v>
                      </c:pt>
                      <c:pt idx="8">
                        <c:v>30</c:v>
                      </c:pt>
                      <c:pt idx="9">
                        <c:v>60</c:v>
                      </c:pt>
                      <c:pt idx="10">
                        <c:v>47</c:v>
                      </c:pt>
                      <c:pt idx="11">
                        <c:v>38</c:v>
                      </c:pt>
                      <c:pt idx="12">
                        <c:v>61</c:v>
                      </c:pt>
                      <c:pt idx="13">
                        <c:v>95</c:v>
                      </c:pt>
                      <c:pt idx="14">
                        <c:v>63</c:v>
                      </c:pt>
                      <c:pt idx="15">
                        <c:v>67</c:v>
                      </c:pt>
                      <c:pt idx="16">
                        <c:v>48</c:v>
                      </c:pt>
                      <c:pt idx="17">
                        <c:v>33</c:v>
                      </c:pt>
                      <c:pt idx="18">
                        <c:v>17</c:v>
                      </c:pt>
                      <c:pt idx="19">
                        <c:v>31</c:v>
                      </c:pt>
                      <c:pt idx="20">
                        <c:v>17</c:v>
                      </c:pt>
                      <c:pt idx="21">
                        <c:v>16</c:v>
                      </c:pt>
                      <c:pt idx="22">
                        <c:v>29</c:v>
                      </c:pt>
                      <c:pt idx="23">
                        <c:v>10</c:v>
                      </c:pt>
                      <c:pt idx="24">
                        <c:v>3</c:v>
                      </c:pt>
                    </c:numCache>
                  </c:numRef>
                </c:val>
                <c:extLst xmlns:c15="http://schemas.microsoft.com/office/drawing/2012/chart">
                  <c:ext xmlns:c16="http://schemas.microsoft.com/office/drawing/2014/chart" uri="{C3380CC4-5D6E-409C-BE32-E72D297353CC}">
                    <c16:uniqueId val="{00000004-E95B-4DA6-863A-3104E93734D5}"/>
                  </c:ext>
                </c:extLst>
              </c15:ser>
            </c15:filteredBarSeries>
            <c15:filteredBarSeries>
              <c15:ser>
                <c:idx val="22"/>
                <c:order val="5"/>
                <c:tx>
                  <c:strRef>
                    <c:extLst xmlns:c15="http://schemas.microsoft.com/office/drawing/2012/chart">
                      <c:ext xmlns:c15="http://schemas.microsoft.com/office/drawing/2012/chart" uri="{02D57815-91ED-43cb-92C2-25804820EDAC}">
                        <c15:formulaRef>
                          <c15:sqref>'G2&amp;G3_BowWave_2025MAR'!$C$17</c15:sqref>
                        </c15:formulaRef>
                      </c:ext>
                    </c:extLst>
                    <c:strCache>
                      <c:ptCount val="1"/>
                      <c:pt idx="0">
                        <c:v>Actual Finishes</c:v>
                      </c:pt>
                    </c:strCache>
                  </c:strRef>
                </c:tx>
                <c:spPr>
                  <a:solidFill>
                    <a:srgbClr val="92D050"/>
                  </a:solidFill>
                  <a:ln>
                    <a:solidFill>
                      <a:schemeClr val="accent6">
                        <a:lumMod val="75000"/>
                      </a:schemeClr>
                    </a:solidFill>
                  </a:ln>
                  <a:effectLst/>
                </c:spPr>
                <c:invertIfNegative val="0"/>
                <c:cat>
                  <c:numRef>
                    <c:extLst xmlns:c15="http://schemas.microsoft.com/office/drawing/2012/chart">
                      <c:ext xmlns:c15="http://schemas.microsoft.com/office/drawing/2012/chart" uri="{02D57815-91ED-43cb-92C2-25804820EDAC}">
                        <c15:formulaRef>
                          <c15:sqref>'G2&amp;G3_BowWave_2025MAR'!$D$11:$IX$11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'G2&amp;G3_BowWave_2025MAR'!$D$17:$IX$17</c15:sqref>
                        </c15:formulaRef>
                      </c:ext>
                    </c:extLst>
                    <c:numCache>
                      <c:formatCode>General</c:formatCode>
                      <c:ptCount val="25"/>
                      <c:pt idx="0">
                        <c:v>70</c:v>
                      </c:pt>
                      <c:pt idx="1">
                        <c:v>56</c:v>
                      </c:pt>
                      <c:pt idx="2">
                        <c:v>43</c:v>
                      </c:pt>
                      <c:pt idx="3">
                        <c:v>47</c:v>
                      </c:pt>
                      <c:pt idx="4">
                        <c:v>45</c:v>
                      </c:pt>
                      <c:pt idx="5">
                        <c:v>55</c:v>
                      </c:pt>
                      <c:pt idx="6">
                        <c:v>31</c:v>
                      </c:pt>
                      <c:pt idx="7">
                        <c:v>31</c:v>
                      </c:pt>
                      <c:pt idx="8">
                        <c:v>30</c:v>
                      </c:pt>
                      <c:pt idx="9">
                        <c:v>60</c:v>
                      </c:pt>
                      <c:pt idx="10">
                        <c:v>47</c:v>
                      </c:pt>
                      <c:pt idx="11">
                        <c:v>38</c:v>
                      </c:pt>
                      <c:pt idx="12">
                        <c:v>53</c:v>
                      </c:pt>
                      <c:pt idx="13">
                        <c:v>0</c:v>
                      </c:pt>
                      <c:pt idx="14">
                        <c:v>0</c:v>
                      </c:pt>
                      <c:pt idx="15">
                        <c:v>0</c:v>
                      </c:pt>
                      <c:pt idx="16">
                        <c:v>0</c:v>
                      </c:pt>
                      <c:pt idx="17">
                        <c:v>0</c:v>
                      </c:pt>
                      <c:pt idx="18">
                        <c:v>0</c:v>
                      </c:pt>
                      <c:pt idx="19">
                        <c:v>0</c:v>
                      </c:pt>
                      <c:pt idx="20">
                        <c:v>0</c:v>
                      </c:pt>
                      <c:pt idx="21">
                        <c:v>0</c:v>
                      </c:pt>
                      <c:pt idx="22">
                        <c:v>0</c:v>
                      </c:pt>
                      <c:pt idx="23">
                        <c:v>0</c:v>
                      </c:pt>
                      <c:pt idx="24">
                        <c:v>0</c:v>
                      </c:pt>
                    </c:numCache>
                  </c:numRef>
                </c:val>
                <c:extLst xmlns:c15="http://schemas.microsoft.com/office/drawing/2012/chart">
                  <c:ext xmlns:c16="http://schemas.microsoft.com/office/drawing/2014/chart" uri="{C3380CC4-5D6E-409C-BE32-E72D297353CC}">
                    <c16:uniqueId val="{00000005-E95B-4DA6-863A-3104E93734D5}"/>
                  </c:ext>
                </c:extLst>
              </c15:ser>
            </c15:filteredBarSeries>
          </c:ext>
        </c:extLst>
      </c:barChart>
      <c:lineChart>
        <c:grouping val="standard"/>
        <c:varyColors val="0"/>
        <c:ser>
          <c:idx val="12"/>
          <c:order val="12"/>
          <c:tx>
            <c:strRef>
              <c:f>'G2&amp;G3_BowWave_2025MAR'!$C$24</c:f>
              <c:strCache>
                <c:ptCount val="1"/>
                <c:pt idx="0">
                  <c:v>BEI - Starts</c:v>
                </c:pt>
              </c:strCache>
              <c:extLst xmlns:c15="http://schemas.microsoft.com/office/drawing/2012/chart"/>
            </c:strRef>
          </c:tx>
          <c:spPr>
            <a:ln w="28575" cap="rnd">
              <a:solidFill>
                <a:schemeClr val="accent2"/>
              </a:solidFill>
              <a:round/>
            </a:ln>
            <a:effectLst/>
          </c:spPr>
          <c:marker>
            <c:symbol val="circle"/>
            <c:size val="5"/>
            <c:spPr>
              <a:solidFill>
                <a:schemeClr val="accent2"/>
              </a:solidFill>
              <a:ln w="9525">
                <a:solidFill>
                  <a:schemeClr val="tx1"/>
                </a:solidFill>
              </a:ln>
              <a:effectLst/>
            </c:spPr>
          </c:marker>
          <c:cat>
            <c:strRef>
              <c:f>'G2&amp;G3_BowWave_2025MAR'!$D$11:$IY$11</c:f>
              <c:strCache>
                <c:ptCount val="26"/>
                <c:pt idx="0">
                  <c:v>Mar-24</c:v>
                </c:pt>
                <c:pt idx="1">
                  <c:v>Apr-24</c:v>
                </c:pt>
                <c:pt idx="2">
                  <c:v>May-24</c:v>
                </c:pt>
                <c:pt idx="3">
                  <c:v>Jun-24</c:v>
                </c:pt>
                <c:pt idx="4">
                  <c:v>Jul-24</c:v>
                </c:pt>
                <c:pt idx="5">
                  <c:v>Aug-24</c:v>
                </c:pt>
                <c:pt idx="6">
                  <c:v>Sep-24</c:v>
                </c:pt>
                <c:pt idx="7">
                  <c:v>Oct-24</c:v>
                </c:pt>
                <c:pt idx="8">
                  <c:v>Nov-24</c:v>
                </c:pt>
                <c:pt idx="9">
                  <c:v>Dec-24</c:v>
                </c:pt>
                <c:pt idx="10">
                  <c:v>Jan-25</c:v>
                </c:pt>
                <c:pt idx="11">
                  <c:v>Feb-25</c:v>
                </c:pt>
                <c:pt idx="12">
                  <c:v>Mar-25</c:v>
                </c:pt>
                <c:pt idx="13">
                  <c:v>Apr-25</c:v>
                </c:pt>
                <c:pt idx="14">
                  <c:v>May-25</c:v>
                </c:pt>
                <c:pt idx="15">
                  <c:v>Jun-25</c:v>
                </c:pt>
                <c:pt idx="16">
                  <c:v>Jul-25</c:v>
                </c:pt>
                <c:pt idx="17">
                  <c:v>Aug-25</c:v>
                </c:pt>
                <c:pt idx="18">
                  <c:v>Sep-25</c:v>
                </c:pt>
                <c:pt idx="19">
                  <c:v>Oct-25</c:v>
                </c:pt>
                <c:pt idx="20">
                  <c:v>Nov-25</c:v>
                </c:pt>
                <c:pt idx="21">
                  <c:v>Dec-25</c:v>
                </c:pt>
                <c:pt idx="22">
                  <c:v>Jan-26</c:v>
                </c:pt>
                <c:pt idx="23">
                  <c:v>Feb-26</c:v>
                </c:pt>
                <c:pt idx="24">
                  <c:v>Mar-26</c:v>
                </c:pt>
                <c:pt idx="25">
                  <c:v>Y-axis (max)</c:v>
                </c:pt>
              </c:strCache>
              <c:extLst xmlns:c15="http://schemas.microsoft.com/office/drawing/2012/chart"/>
            </c:strRef>
          </c:cat>
          <c:val>
            <c:numRef>
              <c:f>'G2&amp;G3_BowWave_2025MAR'!$D$24:$IX$24</c:f>
              <c:numCache>
                <c:formatCode>General</c:formatCode>
                <c:ptCount val="25"/>
                <c:pt idx="6">
                  <c:v>0.87</c:v>
                </c:pt>
                <c:pt idx="7">
                  <c:v>0.85</c:v>
                </c:pt>
                <c:pt idx="8">
                  <c:v>0.85</c:v>
                </c:pt>
                <c:pt idx="9">
                  <c:v>0.85</c:v>
                </c:pt>
                <c:pt idx="10">
                  <c:v>0.86</c:v>
                </c:pt>
                <c:pt idx="11">
                  <c:v>0.87</c:v>
                </c:pt>
                <c:pt idx="12">
                  <c:v>0.88</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2F-E95B-4DA6-863A-3104E93734D5}"/>
            </c:ext>
          </c:extLst>
        </c:ser>
        <c:ser>
          <c:idx val="32"/>
          <c:order val="25"/>
          <c:tx>
            <c:strRef>
              <c:f>'G2&amp;G3_BowWave_2025MAR'!$C$38</c:f>
              <c:strCache>
                <c:ptCount val="1"/>
                <c:pt idx="0">
                  <c:v>HMI Starts - 3-mo Rolling Average</c:v>
                </c:pt>
              </c:strCache>
              <c:extLst xmlns:c15="http://schemas.microsoft.com/office/drawing/2012/chart"/>
            </c:strRef>
          </c:tx>
          <c:spPr>
            <a:ln w="28575" cap="rnd">
              <a:solidFill>
                <a:schemeClr val="accent3">
                  <a:lumMod val="50000"/>
                </a:schemeClr>
              </a:solidFill>
              <a:round/>
            </a:ln>
            <a:effectLst/>
          </c:spPr>
          <c:marker>
            <c:symbol val="circle"/>
            <c:size val="5"/>
            <c:spPr>
              <a:solidFill>
                <a:schemeClr val="accent3">
                  <a:lumMod val="50000"/>
                </a:schemeClr>
              </a:solidFill>
              <a:ln w="9525">
                <a:solidFill>
                  <a:schemeClr val="accent3">
                    <a:lumMod val="50000"/>
                  </a:schemeClr>
                </a:solidFill>
              </a:ln>
              <a:effectLst/>
            </c:spPr>
          </c:marker>
          <c:cat>
            <c:strRef>
              <c:f>'G2&amp;G3_BowWave_2025MAR'!$D$11:$IY$11</c:f>
              <c:strCache>
                <c:ptCount val="26"/>
                <c:pt idx="0">
                  <c:v>Mar-24</c:v>
                </c:pt>
                <c:pt idx="1">
                  <c:v>Apr-24</c:v>
                </c:pt>
                <c:pt idx="2">
                  <c:v>May-24</c:v>
                </c:pt>
                <c:pt idx="3">
                  <c:v>Jun-24</c:v>
                </c:pt>
                <c:pt idx="4">
                  <c:v>Jul-24</c:v>
                </c:pt>
                <c:pt idx="5">
                  <c:v>Aug-24</c:v>
                </c:pt>
                <c:pt idx="6">
                  <c:v>Sep-24</c:v>
                </c:pt>
                <c:pt idx="7">
                  <c:v>Oct-24</c:v>
                </c:pt>
                <c:pt idx="8">
                  <c:v>Nov-24</c:v>
                </c:pt>
                <c:pt idx="9">
                  <c:v>Dec-24</c:v>
                </c:pt>
                <c:pt idx="10">
                  <c:v>Jan-25</c:v>
                </c:pt>
                <c:pt idx="11">
                  <c:v>Feb-25</c:v>
                </c:pt>
                <c:pt idx="12">
                  <c:v>Mar-25</c:v>
                </c:pt>
                <c:pt idx="13">
                  <c:v>Apr-25</c:v>
                </c:pt>
                <c:pt idx="14">
                  <c:v>May-25</c:v>
                </c:pt>
                <c:pt idx="15">
                  <c:v>Jun-25</c:v>
                </c:pt>
                <c:pt idx="16">
                  <c:v>Jul-25</c:v>
                </c:pt>
                <c:pt idx="17">
                  <c:v>Aug-25</c:v>
                </c:pt>
                <c:pt idx="18">
                  <c:v>Sep-25</c:v>
                </c:pt>
                <c:pt idx="19">
                  <c:v>Oct-25</c:v>
                </c:pt>
                <c:pt idx="20">
                  <c:v>Nov-25</c:v>
                </c:pt>
                <c:pt idx="21">
                  <c:v>Dec-25</c:v>
                </c:pt>
                <c:pt idx="22">
                  <c:v>Jan-26</c:v>
                </c:pt>
                <c:pt idx="23">
                  <c:v>Feb-26</c:v>
                </c:pt>
                <c:pt idx="24">
                  <c:v>Mar-26</c:v>
                </c:pt>
                <c:pt idx="25">
                  <c:v>Y-axis (max)</c:v>
                </c:pt>
              </c:strCache>
              <c:extLst xmlns:c15="http://schemas.microsoft.com/office/drawing/2012/chart"/>
            </c:strRef>
          </c:cat>
          <c:val>
            <c:numRef>
              <c:f>'G2&amp;G3_BowWave_2025MAR'!$D$38:$DD$38</c:f>
              <c:numCache>
                <c:formatCode>0.00</c:formatCode>
                <c:ptCount val="25"/>
                <c:pt idx="7">
                  <c:v>0.02</c:v>
                </c:pt>
                <c:pt idx="8">
                  <c:v>0.02</c:v>
                </c:pt>
                <c:pt idx="9">
                  <c:v>2.6666666666666668E-2</c:v>
                </c:pt>
                <c:pt idx="10">
                  <c:v>0.03</c:v>
                </c:pt>
                <c:pt idx="11">
                  <c:v>5.000000000000001E-2</c:v>
                </c:pt>
                <c:pt idx="12">
                  <c:v>5.6666666666666664E-2</c:v>
                </c:pt>
              </c:numCache>
              <c:extLst xmlns:c15="http://schemas.microsoft.com/office/drawing/2012/chart"/>
            </c:numRef>
          </c:val>
          <c:smooth val="0"/>
          <c:extLst>
            <c:ext xmlns:c16="http://schemas.microsoft.com/office/drawing/2014/chart" uri="{C3380CC4-5D6E-409C-BE32-E72D297353CC}">
              <c16:uniqueId val="{0000003A-E95B-4DA6-863A-3104E93734D5}"/>
            </c:ext>
          </c:extLst>
        </c:ser>
        <c:ser>
          <c:idx val="34"/>
          <c:order val="27"/>
          <c:tx>
            <c:strRef>
              <c:f>'G2&amp;G3_BowWave_2025MAR'!$C$40</c:f>
              <c:strCache>
                <c:ptCount val="1"/>
                <c:pt idx="0">
                  <c:v>CEI Starts - 3-mo Rolling Average</c:v>
                </c:pt>
              </c:strCache>
              <c:extLst xmlns:c15="http://schemas.microsoft.com/office/drawing/2012/chart"/>
            </c:strRef>
          </c:tx>
          <c:spPr>
            <a:ln w="28575" cap="rnd">
              <a:solidFill>
                <a:schemeClr val="accent5">
                  <a:lumMod val="50000"/>
                </a:schemeClr>
              </a:solidFill>
              <a:round/>
            </a:ln>
            <a:effectLst/>
          </c:spPr>
          <c:marker>
            <c:symbol val="circle"/>
            <c:size val="5"/>
            <c:spPr>
              <a:solidFill>
                <a:schemeClr val="accent5">
                  <a:lumMod val="50000"/>
                </a:schemeClr>
              </a:solidFill>
              <a:ln w="9525">
                <a:solidFill>
                  <a:schemeClr val="accent5">
                    <a:lumMod val="50000"/>
                  </a:schemeClr>
                </a:solidFill>
              </a:ln>
              <a:effectLst/>
            </c:spPr>
          </c:marker>
          <c:cat>
            <c:strRef>
              <c:f>'G2&amp;G3_BowWave_2025MAR'!$D$11:$IY$11</c:f>
              <c:strCache>
                <c:ptCount val="26"/>
                <c:pt idx="0">
                  <c:v>Mar-24</c:v>
                </c:pt>
                <c:pt idx="1">
                  <c:v>Apr-24</c:v>
                </c:pt>
                <c:pt idx="2">
                  <c:v>May-24</c:v>
                </c:pt>
                <c:pt idx="3">
                  <c:v>Jun-24</c:v>
                </c:pt>
                <c:pt idx="4">
                  <c:v>Jul-24</c:v>
                </c:pt>
                <c:pt idx="5">
                  <c:v>Aug-24</c:v>
                </c:pt>
                <c:pt idx="6">
                  <c:v>Sep-24</c:v>
                </c:pt>
                <c:pt idx="7">
                  <c:v>Oct-24</c:v>
                </c:pt>
                <c:pt idx="8">
                  <c:v>Nov-24</c:v>
                </c:pt>
                <c:pt idx="9">
                  <c:v>Dec-24</c:v>
                </c:pt>
                <c:pt idx="10">
                  <c:v>Jan-25</c:v>
                </c:pt>
                <c:pt idx="11">
                  <c:v>Feb-25</c:v>
                </c:pt>
                <c:pt idx="12">
                  <c:v>Mar-25</c:v>
                </c:pt>
                <c:pt idx="13">
                  <c:v>Apr-25</c:v>
                </c:pt>
                <c:pt idx="14">
                  <c:v>May-25</c:v>
                </c:pt>
                <c:pt idx="15">
                  <c:v>Jun-25</c:v>
                </c:pt>
                <c:pt idx="16">
                  <c:v>Jul-25</c:v>
                </c:pt>
                <c:pt idx="17">
                  <c:v>Aug-25</c:v>
                </c:pt>
                <c:pt idx="18">
                  <c:v>Sep-25</c:v>
                </c:pt>
                <c:pt idx="19">
                  <c:v>Oct-25</c:v>
                </c:pt>
                <c:pt idx="20">
                  <c:v>Nov-25</c:v>
                </c:pt>
                <c:pt idx="21">
                  <c:v>Dec-25</c:v>
                </c:pt>
                <c:pt idx="22">
                  <c:v>Jan-26</c:v>
                </c:pt>
                <c:pt idx="23">
                  <c:v>Feb-26</c:v>
                </c:pt>
                <c:pt idx="24">
                  <c:v>Mar-26</c:v>
                </c:pt>
                <c:pt idx="25">
                  <c:v>Y-axis (max)</c:v>
                </c:pt>
              </c:strCache>
              <c:extLst xmlns:c15="http://schemas.microsoft.com/office/drawing/2012/chart"/>
            </c:strRef>
          </c:cat>
          <c:val>
            <c:numRef>
              <c:f>'G2&amp;G3_BowWave_2025MAR'!$D$40:$DD$40</c:f>
              <c:numCache>
                <c:formatCode>0.00</c:formatCode>
                <c:ptCount val="25"/>
                <c:pt idx="7">
                  <c:v>0.31</c:v>
                </c:pt>
                <c:pt idx="8">
                  <c:v>0.41000000000000003</c:v>
                </c:pt>
                <c:pt idx="9">
                  <c:v>0.41666666666666669</c:v>
                </c:pt>
                <c:pt idx="10">
                  <c:v>0.44999999999999996</c:v>
                </c:pt>
                <c:pt idx="11">
                  <c:v>0.45333333333333331</c:v>
                </c:pt>
                <c:pt idx="12">
                  <c:v>0.51333333333333331</c:v>
                </c:pt>
              </c:numCache>
              <c:extLst xmlns:c15="http://schemas.microsoft.com/office/drawing/2012/chart"/>
            </c:numRef>
          </c:val>
          <c:smooth val="0"/>
          <c:extLst>
            <c:ext xmlns:c16="http://schemas.microsoft.com/office/drawing/2014/chart" uri="{C3380CC4-5D6E-409C-BE32-E72D297353CC}">
              <c16:uniqueId val="{0000003B-E95B-4DA6-863A-3104E93734D5}"/>
            </c:ext>
          </c:extLst>
        </c:ser>
        <c:dLbls>
          <c:showLegendKey val="0"/>
          <c:showVal val="0"/>
          <c:showCatName val="0"/>
          <c:showSerName val="0"/>
          <c:showPercent val="0"/>
          <c:showBubbleSize val="0"/>
        </c:dLbls>
        <c:marker val="1"/>
        <c:smooth val="0"/>
        <c:axId val="1121466879"/>
        <c:axId val="1121471199"/>
        <c:extLst>
          <c:ext xmlns:c15="http://schemas.microsoft.com/office/drawing/2012/chart" uri="{02D57815-91ED-43cb-92C2-25804820EDAC}">
            <c15:filteredLineSeries>
              <c15:ser>
                <c:idx val="13"/>
                <c:order val="13"/>
                <c:tx>
                  <c:strRef>
                    <c:extLst>
                      <c:ext uri="{02D57815-91ED-43cb-92C2-25804820EDAC}">
                        <c15:formulaRef>
                          <c15:sqref>'G2&amp;G3_BowWave_2025MAR'!$C$25</c15:sqref>
                        </c15:formulaRef>
                      </c:ext>
                    </c:extLst>
                    <c:strCache>
                      <c:ptCount val="1"/>
                      <c:pt idx="0">
                        <c:v>BEI - Finishes</c:v>
                      </c:pt>
                    </c:strCache>
                  </c:strRef>
                </c:tx>
                <c:spPr>
                  <a:ln w="28575"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tx1"/>
                      </a:solidFill>
                    </a:ln>
                    <a:effectLst/>
                  </c:spPr>
                </c:marker>
                <c:cat>
                  <c:strRef>
                    <c:extLst>
                      <c:ext uri="{02D57815-91ED-43cb-92C2-25804820EDAC}">
                        <c15:formulaRef>
                          <c15:sqref>'G2&amp;G3_BowWave_2025MAR'!$D$11:$IY$11</c15:sqref>
                        </c15:formulaRef>
                      </c:ext>
                    </c:extLst>
                    <c:strCache>
                      <c:ptCount val="26"/>
                      <c:pt idx="0">
                        <c:v>Mar-24</c:v>
                      </c:pt>
                      <c:pt idx="1">
                        <c:v>Apr-24</c:v>
                      </c:pt>
                      <c:pt idx="2">
                        <c:v>May-24</c:v>
                      </c:pt>
                      <c:pt idx="3">
                        <c:v>Jun-24</c:v>
                      </c:pt>
                      <c:pt idx="4">
                        <c:v>Jul-24</c:v>
                      </c:pt>
                      <c:pt idx="5">
                        <c:v>Aug-24</c:v>
                      </c:pt>
                      <c:pt idx="6">
                        <c:v>Sep-24</c:v>
                      </c:pt>
                      <c:pt idx="7">
                        <c:v>Oct-24</c:v>
                      </c:pt>
                      <c:pt idx="8">
                        <c:v>Nov-24</c:v>
                      </c:pt>
                      <c:pt idx="9">
                        <c:v>Dec-24</c:v>
                      </c:pt>
                      <c:pt idx="10">
                        <c:v>Jan-25</c:v>
                      </c:pt>
                      <c:pt idx="11">
                        <c:v>Feb-25</c:v>
                      </c:pt>
                      <c:pt idx="12">
                        <c:v>Mar-25</c:v>
                      </c:pt>
                      <c:pt idx="13">
                        <c:v>Apr-25</c:v>
                      </c:pt>
                      <c:pt idx="14">
                        <c:v>May-25</c:v>
                      </c:pt>
                      <c:pt idx="15">
                        <c:v>Jun-25</c:v>
                      </c:pt>
                      <c:pt idx="16">
                        <c:v>Jul-25</c:v>
                      </c:pt>
                      <c:pt idx="17">
                        <c:v>Aug-25</c:v>
                      </c:pt>
                      <c:pt idx="18">
                        <c:v>Sep-25</c:v>
                      </c:pt>
                      <c:pt idx="19">
                        <c:v>Oct-25</c:v>
                      </c:pt>
                      <c:pt idx="20">
                        <c:v>Nov-25</c:v>
                      </c:pt>
                      <c:pt idx="21">
                        <c:v>Dec-25</c:v>
                      </c:pt>
                      <c:pt idx="22">
                        <c:v>Jan-26</c:v>
                      </c:pt>
                      <c:pt idx="23">
                        <c:v>Feb-26</c:v>
                      </c:pt>
                      <c:pt idx="24">
                        <c:v>Mar-26</c:v>
                      </c:pt>
                      <c:pt idx="25">
                        <c:v>Y-axis (max)</c:v>
                      </c:pt>
                    </c:strCache>
                  </c:strRef>
                </c:cat>
                <c:val>
                  <c:numRef>
                    <c:extLst>
                      <c:ext uri="{02D57815-91ED-43cb-92C2-25804820EDAC}">
                        <c15:formulaRef>
                          <c15:sqref>'G2&amp;G3_BowWave_2025MAR'!$D$25:$IX$25</c15:sqref>
                        </c15:formulaRef>
                      </c:ext>
                    </c:extLst>
                    <c:numCache>
                      <c:formatCode>General</c:formatCode>
                      <c:ptCount val="25"/>
                      <c:pt idx="6">
                        <c:v>0.85</c:v>
                      </c:pt>
                      <c:pt idx="7">
                        <c:v>0.84</c:v>
                      </c:pt>
                      <c:pt idx="8">
                        <c:v>0.84</c:v>
                      </c:pt>
                      <c:pt idx="9">
                        <c:v>0.83</c:v>
                      </c:pt>
                      <c:pt idx="10">
                        <c:v>0.85</c:v>
                      </c:pt>
                      <c:pt idx="11">
                        <c:v>0.86</c:v>
                      </c:pt>
                      <c:pt idx="12">
                        <c:v>0.87</c:v>
                      </c:pt>
                    </c:numCache>
                  </c:numRef>
                </c:val>
                <c:smooth val="0"/>
                <c:extLst>
                  <c:ext xmlns:c16="http://schemas.microsoft.com/office/drawing/2014/chart" uri="{C3380CC4-5D6E-409C-BE32-E72D297353CC}">
                    <c16:uniqueId val="{0000001B-E95B-4DA6-863A-3104E93734D5}"/>
                  </c:ext>
                </c:extLst>
              </c15:ser>
            </c15:filteredLineSeries>
            <c15:filteredLineSeries>
              <c15:ser>
                <c:idx val="14"/>
                <c:order val="14"/>
                <c:tx>
                  <c:strRef>
                    <c:extLst xmlns:c15="http://schemas.microsoft.com/office/drawing/2012/chart">
                      <c:ext xmlns:c15="http://schemas.microsoft.com/office/drawing/2012/chart" uri="{02D57815-91ED-43cb-92C2-25804820EDAC}">
                        <c15:formulaRef>
                          <c15:sqref>'G2&amp;G3_BowWave_2025MAR'!$C$26</c15:sqref>
                        </c15:formulaRef>
                      </c:ext>
                    </c:extLst>
                    <c:strCache>
                      <c:ptCount val="1"/>
                      <c:pt idx="0">
                        <c:v>HMI - Starts</c:v>
                      </c:pt>
                    </c:strCache>
                  </c:strRef>
                </c:tx>
                <c:spPr>
                  <a:ln w="28575" cap="rnd">
                    <a:solidFill>
                      <a:schemeClr val="accent1"/>
                    </a:solidFill>
                    <a:round/>
                  </a:ln>
                  <a:effectLst/>
                </c:spPr>
                <c:marker>
                  <c:symbol val="circle"/>
                  <c:size val="5"/>
                  <c:spPr>
                    <a:solidFill>
                      <a:schemeClr val="accent1"/>
                    </a:solidFill>
                    <a:ln w="9525">
                      <a:solidFill>
                        <a:schemeClr val="tx1"/>
                      </a:solidFill>
                    </a:ln>
                    <a:effectLst/>
                  </c:spPr>
                </c:marker>
                <c:cat>
                  <c:strRef>
                    <c:extLst xmlns:c15="http://schemas.microsoft.com/office/drawing/2012/chart">
                      <c:ext xmlns:c15="http://schemas.microsoft.com/office/drawing/2012/chart" uri="{02D57815-91ED-43cb-92C2-25804820EDAC}">
                        <c15:formulaRef>
                          <c15:sqref>'G2&amp;G3_BowWave_2025MAR'!$D$11:$IY$11</c15:sqref>
                        </c15:formulaRef>
                      </c:ext>
                    </c:extLst>
                    <c:strCache>
                      <c:ptCount val="26"/>
                      <c:pt idx="0">
                        <c:v>Mar-24</c:v>
                      </c:pt>
                      <c:pt idx="1">
                        <c:v>Apr-24</c:v>
                      </c:pt>
                      <c:pt idx="2">
                        <c:v>May-24</c:v>
                      </c:pt>
                      <c:pt idx="3">
                        <c:v>Jun-24</c:v>
                      </c:pt>
                      <c:pt idx="4">
                        <c:v>Jul-24</c:v>
                      </c:pt>
                      <c:pt idx="5">
                        <c:v>Aug-24</c:v>
                      </c:pt>
                      <c:pt idx="6">
                        <c:v>Sep-24</c:v>
                      </c:pt>
                      <c:pt idx="7">
                        <c:v>Oct-24</c:v>
                      </c:pt>
                      <c:pt idx="8">
                        <c:v>Nov-24</c:v>
                      </c:pt>
                      <c:pt idx="9">
                        <c:v>Dec-24</c:v>
                      </c:pt>
                      <c:pt idx="10">
                        <c:v>Jan-25</c:v>
                      </c:pt>
                      <c:pt idx="11">
                        <c:v>Feb-25</c:v>
                      </c:pt>
                      <c:pt idx="12">
                        <c:v>Mar-25</c:v>
                      </c:pt>
                      <c:pt idx="13">
                        <c:v>Apr-25</c:v>
                      </c:pt>
                      <c:pt idx="14">
                        <c:v>May-25</c:v>
                      </c:pt>
                      <c:pt idx="15">
                        <c:v>Jun-25</c:v>
                      </c:pt>
                      <c:pt idx="16">
                        <c:v>Jul-25</c:v>
                      </c:pt>
                      <c:pt idx="17">
                        <c:v>Aug-25</c:v>
                      </c:pt>
                      <c:pt idx="18">
                        <c:v>Sep-25</c:v>
                      </c:pt>
                      <c:pt idx="19">
                        <c:v>Oct-25</c:v>
                      </c:pt>
                      <c:pt idx="20">
                        <c:v>Nov-25</c:v>
                      </c:pt>
                      <c:pt idx="21">
                        <c:v>Dec-25</c:v>
                      </c:pt>
                      <c:pt idx="22">
                        <c:v>Jan-26</c:v>
                      </c:pt>
                      <c:pt idx="23">
                        <c:v>Feb-26</c:v>
                      </c:pt>
                      <c:pt idx="24">
                        <c:v>Mar-26</c:v>
                      </c:pt>
                      <c:pt idx="25">
                        <c:v>Y-axis (max)</c:v>
                      </c:pt>
                    </c:strCache>
                  </c:strRef>
                </c:cat>
                <c:val>
                  <c:numRef>
                    <c:extLst xmlns:c15="http://schemas.microsoft.com/office/drawing/2012/chart">
                      <c:ext xmlns:c15="http://schemas.microsoft.com/office/drawing/2012/chart" uri="{02D57815-91ED-43cb-92C2-25804820EDAC}">
                        <c15:formulaRef>
                          <c15:sqref>'G2&amp;G3_BowWave_2025MAR'!$D$26:$IX$26</c15:sqref>
                        </c15:formulaRef>
                      </c:ext>
                    </c:extLst>
                    <c:numCache>
                      <c:formatCode>General</c:formatCode>
                      <c:ptCount val="25"/>
                      <c:pt idx="7">
                        <c:v>0.02</c:v>
                      </c:pt>
                      <c:pt idx="8">
                        <c:v>0.02</c:v>
                      </c:pt>
                      <c:pt idx="9">
                        <c:v>0.04</c:v>
                      </c:pt>
                      <c:pt idx="10">
                        <c:v>0.03</c:v>
                      </c:pt>
                      <c:pt idx="11">
                        <c:v>0.08</c:v>
                      </c:pt>
                      <c:pt idx="12">
                        <c:v>0.06</c:v>
                      </c:pt>
                    </c:numCache>
                  </c:numRef>
                </c:val>
                <c:smooth val="0"/>
                <c:extLst xmlns:c15="http://schemas.microsoft.com/office/drawing/2012/chart">
                  <c:ext xmlns:c16="http://schemas.microsoft.com/office/drawing/2014/chart" uri="{C3380CC4-5D6E-409C-BE32-E72D297353CC}">
                    <c16:uniqueId val="{00000030-E95B-4DA6-863A-3104E93734D5}"/>
                  </c:ext>
                </c:extLst>
              </c15:ser>
            </c15:filteredLineSeries>
            <c15:filteredLineSeries>
              <c15:ser>
                <c:idx val="15"/>
                <c:order val="15"/>
                <c:tx>
                  <c:strRef>
                    <c:extLst xmlns:c15="http://schemas.microsoft.com/office/drawing/2012/chart">
                      <c:ext xmlns:c15="http://schemas.microsoft.com/office/drawing/2012/chart" uri="{02D57815-91ED-43cb-92C2-25804820EDAC}">
                        <c15:formulaRef>
                          <c15:sqref>'G2&amp;G3_BowWave_2025MAR'!$C$27</c15:sqref>
                        </c15:formulaRef>
                      </c:ext>
                    </c:extLst>
                    <c:strCache>
                      <c:ptCount val="1"/>
                      <c:pt idx="0">
                        <c:v>HMI - Finishes</c:v>
                      </c:pt>
                    </c:strCache>
                  </c:strRef>
                </c:tx>
                <c:spPr>
                  <a:ln w="28575"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tx1"/>
                      </a:solidFill>
                    </a:ln>
                    <a:effectLst/>
                  </c:spPr>
                </c:marker>
                <c:cat>
                  <c:strRef>
                    <c:extLst xmlns:c15="http://schemas.microsoft.com/office/drawing/2012/chart">
                      <c:ext xmlns:c15="http://schemas.microsoft.com/office/drawing/2012/chart" uri="{02D57815-91ED-43cb-92C2-25804820EDAC}">
                        <c15:formulaRef>
                          <c15:sqref>'G2&amp;G3_BowWave_2025MAR'!$D$11:$IY$11</c15:sqref>
                        </c15:formulaRef>
                      </c:ext>
                    </c:extLst>
                    <c:strCache>
                      <c:ptCount val="26"/>
                      <c:pt idx="0">
                        <c:v>Mar-24</c:v>
                      </c:pt>
                      <c:pt idx="1">
                        <c:v>Apr-24</c:v>
                      </c:pt>
                      <c:pt idx="2">
                        <c:v>May-24</c:v>
                      </c:pt>
                      <c:pt idx="3">
                        <c:v>Jun-24</c:v>
                      </c:pt>
                      <c:pt idx="4">
                        <c:v>Jul-24</c:v>
                      </c:pt>
                      <c:pt idx="5">
                        <c:v>Aug-24</c:v>
                      </c:pt>
                      <c:pt idx="6">
                        <c:v>Sep-24</c:v>
                      </c:pt>
                      <c:pt idx="7">
                        <c:v>Oct-24</c:v>
                      </c:pt>
                      <c:pt idx="8">
                        <c:v>Nov-24</c:v>
                      </c:pt>
                      <c:pt idx="9">
                        <c:v>Dec-24</c:v>
                      </c:pt>
                      <c:pt idx="10">
                        <c:v>Jan-25</c:v>
                      </c:pt>
                      <c:pt idx="11">
                        <c:v>Feb-25</c:v>
                      </c:pt>
                      <c:pt idx="12">
                        <c:v>Mar-25</c:v>
                      </c:pt>
                      <c:pt idx="13">
                        <c:v>Apr-25</c:v>
                      </c:pt>
                      <c:pt idx="14">
                        <c:v>May-25</c:v>
                      </c:pt>
                      <c:pt idx="15">
                        <c:v>Jun-25</c:v>
                      </c:pt>
                      <c:pt idx="16">
                        <c:v>Jul-25</c:v>
                      </c:pt>
                      <c:pt idx="17">
                        <c:v>Aug-25</c:v>
                      </c:pt>
                      <c:pt idx="18">
                        <c:v>Sep-25</c:v>
                      </c:pt>
                      <c:pt idx="19">
                        <c:v>Oct-25</c:v>
                      </c:pt>
                      <c:pt idx="20">
                        <c:v>Nov-25</c:v>
                      </c:pt>
                      <c:pt idx="21">
                        <c:v>Dec-25</c:v>
                      </c:pt>
                      <c:pt idx="22">
                        <c:v>Jan-26</c:v>
                      </c:pt>
                      <c:pt idx="23">
                        <c:v>Feb-26</c:v>
                      </c:pt>
                      <c:pt idx="24">
                        <c:v>Mar-26</c:v>
                      </c:pt>
                      <c:pt idx="25">
                        <c:v>Y-axis (max)</c:v>
                      </c:pt>
                    </c:strCache>
                  </c:strRef>
                </c:cat>
                <c:val>
                  <c:numRef>
                    <c:extLst xmlns:c15="http://schemas.microsoft.com/office/drawing/2012/chart">
                      <c:ext xmlns:c15="http://schemas.microsoft.com/office/drawing/2012/chart" uri="{02D57815-91ED-43cb-92C2-25804820EDAC}">
                        <c15:formulaRef>
                          <c15:sqref>'G2&amp;G3_BowWave_2025MAR'!$D$27:$IX$27</c15:sqref>
                        </c15:formulaRef>
                      </c:ext>
                    </c:extLst>
                    <c:numCache>
                      <c:formatCode>General</c:formatCode>
                      <c:ptCount val="25"/>
                      <c:pt idx="7">
                        <c:v>0.01</c:v>
                      </c:pt>
                      <c:pt idx="8">
                        <c:v>0.04</c:v>
                      </c:pt>
                      <c:pt idx="9">
                        <c:v>0.02</c:v>
                      </c:pt>
                      <c:pt idx="10">
                        <c:v>0</c:v>
                      </c:pt>
                      <c:pt idx="11">
                        <c:v>0</c:v>
                      </c:pt>
                      <c:pt idx="12">
                        <c:v>0</c:v>
                      </c:pt>
                    </c:numCache>
                  </c:numRef>
                </c:val>
                <c:smooth val="0"/>
                <c:extLst xmlns:c15="http://schemas.microsoft.com/office/drawing/2012/chart">
                  <c:ext xmlns:c16="http://schemas.microsoft.com/office/drawing/2014/chart" uri="{C3380CC4-5D6E-409C-BE32-E72D297353CC}">
                    <c16:uniqueId val="{00000031-E95B-4DA6-863A-3104E93734D5}"/>
                  </c:ext>
                </c:extLst>
              </c15:ser>
            </c15:filteredLineSeries>
            <c15:filteredLineSeries>
              <c15:ser>
                <c:idx val="16"/>
                <c:order val="16"/>
                <c:tx>
                  <c:strRef>
                    <c:extLst xmlns:c15="http://schemas.microsoft.com/office/drawing/2012/chart">
                      <c:ext xmlns:c15="http://schemas.microsoft.com/office/drawing/2012/chart" uri="{02D57815-91ED-43cb-92C2-25804820EDAC}">
                        <c15:formulaRef>
                          <c15:sqref>'G2&amp;G3_BowWave_2025MAR'!$C$28</c15:sqref>
                        </c15:formulaRef>
                      </c:ext>
                    </c:extLst>
                    <c:strCache>
                      <c:ptCount val="1"/>
                      <c:pt idx="0">
                        <c:v>CEI - Starts</c:v>
                      </c:pt>
                    </c:strCache>
                  </c:strRef>
                </c:tx>
                <c:spPr>
                  <a:ln w="28575" cap="rnd">
                    <a:solidFill>
                      <a:schemeClr val="accent6"/>
                    </a:solidFill>
                    <a:round/>
                  </a:ln>
                  <a:effectLst/>
                </c:spPr>
                <c:marker>
                  <c:symbol val="circle"/>
                  <c:size val="5"/>
                  <c:spPr>
                    <a:solidFill>
                      <a:schemeClr val="accent6"/>
                    </a:solidFill>
                    <a:ln w="9525">
                      <a:solidFill>
                        <a:schemeClr val="tx1"/>
                      </a:solidFill>
                    </a:ln>
                    <a:effectLst/>
                  </c:spPr>
                </c:marker>
                <c:cat>
                  <c:strRef>
                    <c:extLst xmlns:c15="http://schemas.microsoft.com/office/drawing/2012/chart">
                      <c:ext xmlns:c15="http://schemas.microsoft.com/office/drawing/2012/chart" uri="{02D57815-91ED-43cb-92C2-25804820EDAC}">
                        <c15:formulaRef>
                          <c15:sqref>'G2&amp;G3_BowWave_2025MAR'!$D$11:$IY$11</c15:sqref>
                        </c15:formulaRef>
                      </c:ext>
                    </c:extLst>
                    <c:strCache>
                      <c:ptCount val="26"/>
                      <c:pt idx="0">
                        <c:v>Mar-24</c:v>
                      </c:pt>
                      <c:pt idx="1">
                        <c:v>Apr-24</c:v>
                      </c:pt>
                      <c:pt idx="2">
                        <c:v>May-24</c:v>
                      </c:pt>
                      <c:pt idx="3">
                        <c:v>Jun-24</c:v>
                      </c:pt>
                      <c:pt idx="4">
                        <c:v>Jul-24</c:v>
                      </c:pt>
                      <c:pt idx="5">
                        <c:v>Aug-24</c:v>
                      </c:pt>
                      <c:pt idx="6">
                        <c:v>Sep-24</c:v>
                      </c:pt>
                      <c:pt idx="7">
                        <c:v>Oct-24</c:v>
                      </c:pt>
                      <c:pt idx="8">
                        <c:v>Nov-24</c:v>
                      </c:pt>
                      <c:pt idx="9">
                        <c:v>Dec-24</c:v>
                      </c:pt>
                      <c:pt idx="10">
                        <c:v>Jan-25</c:v>
                      </c:pt>
                      <c:pt idx="11">
                        <c:v>Feb-25</c:v>
                      </c:pt>
                      <c:pt idx="12">
                        <c:v>Mar-25</c:v>
                      </c:pt>
                      <c:pt idx="13">
                        <c:v>Apr-25</c:v>
                      </c:pt>
                      <c:pt idx="14">
                        <c:v>May-25</c:v>
                      </c:pt>
                      <c:pt idx="15">
                        <c:v>Jun-25</c:v>
                      </c:pt>
                      <c:pt idx="16">
                        <c:v>Jul-25</c:v>
                      </c:pt>
                      <c:pt idx="17">
                        <c:v>Aug-25</c:v>
                      </c:pt>
                      <c:pt idx="18">
                        <c:v>Sep-25</c:v>
                      </c:pt>
                      <c:pt idx="19">
                        <c:v>Oct-25</c:v>
                      </c:pt>
                      <c:pt idx="20">
                        <c:v>Nov-25</c:v>
                      </c:pt>
                      <c:pt idx="21">
                        <c:v>Dec-25</c:v>
                      </c:pt>
                      <c:pt idx="22">
                        <c:v>Jan-26</c:v>
                      </c:pt>
                      <c:pt idx="23">
                        <c:v>Feb-26</c:v>
                      </c:pt>
                      <c:pt idx="24">
                        <c:v>Mar-26</c:v>
                      </c:pt>
                      <c:pt idx="25">
                        <c:v>Y-axis (max)</c:v>
                      </c:pt>
                    </c:strCache>
                  </c:strRef>
                </c:cat>
                <c:val>
                  <c:numRef>
                    <c:extLst xmlns:c15="http://schemas.microsoft.com/office/drawing/2012/chart">
                      <c:ext xmlns:c15="http://schemas.microsoft.com/office/drawing/2012/chart" uri="{02D57815-91ED-43cb-92C2-25804820EDAC}">
                        <c15:formulaRef>
                          <c15:sqref>'G2&amp;G3_BowWave_2025MAR'!$D$28:$IX$28</c15:sqref>
                        </c15:formulaRef>
                      </c:ext>
                    </c:extLst>
                    <c:numCache>
                      <c:formatCode>General</c:formatCode>
                      <c:ptCount val="25"/>
                      <c:pt idx="7">
                        <c:v>0.31</c:v>
                      </c:pt>
                      <c:pt idx="8">
                        <c:v>0.51</c:v>
                      </c:pt>
                      <c:pt idx="9">
                        <c:v>0.43</c:v>
                      </c:pt>
                      <c:pt idx="10">
                        <c:v>0.41</c:v>
                      </c:pt>
                      <c:pt idx="11">
                        <c:v>0.52</c:v>
                      </c:pt>
                      <c:pt idx="12">
                        <c:v>0.61</c:v>
                      </c:pt>
                    </c:numCache>
                  </c:numRef>
                </c:val>
                <c:smooth val="0"/>
                <c:extLst xmlns:c15="http://schemas.microsoft.com/office/drawing/2012/chart">
                  <c:ext xmlns:c16="http://schemas.microsoft.com/office/drawing/2014/chart" uri="{C3380CC4-5D6E-409C-BE32-E72D297353CC}">
                    <c16:uniqueId val="{00000032-E95B-4DA6-863A-3104E93734D5}"/>
                  </c:ext>
                </c:extLst>
              </c15:ser>
            </c15:filteredLineSeries>
            <c15:filteredLineSeries>
              <c15:ser>
                <c:idx val="17"/>
                <c:order val="17"/>
                <c:tx>
                  <c:strRef>
                    <c:extLst xmlns:c15="http://schemas.microsoft.com/office/drawing/2012/chart">
                      <c:ext xmlns:c15="http://schemas.microsoft.com/office/drawing/2012/chart" uri="{02D57815-91ED-43cb-92C2-25804820EDAC}">
                        <c15:formulaRef>
                          <c15:sqref>'G2&amp;G3_BowWave_2025MAR'!$C$29</c15:sqref>
                        </c15:formulaRef>
                      </c:ext>
                    </c:extLst>
                    <c:strCache>
                      <c:ptCount val="1"/>
                      <c:pt idx="0">
                        <c:v>CEI - Finishes</c:v>
                      </c:pt>
                    </c:strCache>
                  </c:strRef>
                </c:tx>
                <c:spPr>
                  <a:ln w="28575" cap="rnd">
                    <a:solidFill>
                      <a:schemeClr val="accent6">
                        <a:lumMod val="80000"/>
                        <a:lumOff val="20000"/>
                      </a:schemeClr>
                    </a:solidFill>
                    <a:round/>
                  </a:ln>
                  <a:effectLst/>
                </c:spPr>
                <c:marker>
                  <c:symbol val="circle"/>
                  <c:size val="5"/>
                  <c:spPr>
                    <a:solidFill>
                      <a:schemeClr val="accent6">
                        <a:lumMod val="80000"/>
                        <a:lumOff val="20000"/>
                      </a:schemeClr>
                    </a:solidFill>
                    <a:ln w="9525">
                      <a:solidFill>
                        <a:schemeClr val="tx1"/>
                      </a:solidFill>
                    </a:ln>
                    <a:effectLst/>
                  </c:spPr>
                </c:marker>
                <c:cat>
                  <c:strRef>
                    <c:extLst xmlns:c15="http://schemas.microsoft.com/office/drawing/2012/chart">
                      <c:ext xmlns:c15="http://schemas.microsoft.com/office/drawing/2012/chart" uri="{02D57815-91ED-43cb-92C2-25804820EDAC}">
                        <c15:formulaRef>
                          <c15:sqref>'G2&amp;G3_BowWave_2025MAR'!$D$11:$IY$11</c15:sqref>
                        </c15:formulaRef>
                      </c:ext>
                    </c:extLst>
                    <c:strCache>
                      <c:ptCount val="26"/>
                      <c:pt idx="0">
                        <c:v>Mar-24</c:v>
                      </c:pt>
                      <c:pt idx="1">
                        <c:v>Apr-24</c:v>
                      </c:pt>
                      <c:pt idx="2">
                        <c:v>May-24</c:v>
                      </c:pt>
                      <c:pt idx="3">
                        <c:v>Jun-24</c:v>
                      </c:pt>
                      <c:pt idx="4">
                        <c:v>Jul-24</c:v>
                      </c:pt>
                      <c:pt idx="5">
                        <c:v>Aug-24</c:v>
                      </c:pt>
                      <c:pt idx="6">
                        <c:v>Sep-24</c:v>
                      </c:pt>
                      <c:pt idx="7">
                        <c:v>Oct-24</c:v>
                      </c:pt>
                      <c:pt idx="8">
                        <c:v>Nov-24</c:v>
                      </c:pt>
                      <c:pt idx="9">
                        <c:v>Dec-24</c:v>
                      </c:pt>
                      <c:pt idx="10">
                        <c:v>Jan-25</c:v>
                      </c:pt>
                      <c:pt idx="11">
                        <c:v>Feb-25</c:v>
                      </c:pt>
                      <c:pt idx="12">
                        <c:v>Mar-25</c:v>
                      </c:pt>
                      <c:pt idx="13">
                        <c:v>Apr-25</c:v>
                      </c:pt>
                      <c:pt idx="14">
                        <c:v>May-25</c:v>
                      </c:pt>
                      <c:pt idx="15">
                        <c:v>Jun-25</c:v>
                      </c:pt>
                      <c:pt idx="16">
                        <c:v>Jul-25</c:v>
                      </c:pt>
                      <c:pt idx="17">
                        <c:v>Aug-25</c:v>
                      </c:pt>
                      <c:pt idx="18">
                        <c:v>Sep-25</c:v>
                      </c:pt>
                      <c:pt idx="19">
                        <c:v>Oct-25</c:v>
                      </c:pt>
                      <c:pt idx="20">
                        <c:v>Nov-25</c:v>
                      </c:pt>
                      <c:pt idx="21">
                        <c:v>Dec-25</c:v>
                      </c:pt>
                      <c:pt idx="22">
                        <c:v>Jan-26</c:v>
                      </c:pt>
                      <c:pt idx="23">
                        <c:v>Feb-26</c:v>
                      </c:pt>
                      <c:pt idx="24">
                        <c:v>Mar-26</c:v>
                      </c:pt>
                      <c:pt idx="25">
                        <c:v>Y-axis (max)</c:v>
                      </c:pt>
                    </c:strCache>
                  </c:strRef>
                </c:cat>
                <c:val>
                  <c:numRef>
                    <c:extLst xmlns:c15="http://schemas.microsoft.com/office/drawing/2012/chart">
                      <c:ext xmlns:c15="http://schemas.microsoft.com/office/drawing/2012/chart" uri="{02D57815-91ED-43cb-92C2-25804820EDAC}">
                        <c15:formulaRef>
                          <c15:sqref>'G2&amp;G3_BowWave_2025MAR'!$D$29:$IX$29</c15:sqref>
                        </c15:formulaRef>
                      </c:ext>
                    </c:extLst>
                    <c:numCache>
                      <c:formatCode>General</c:formatCode>
                      <c:ptCount val="25"/>
                      <c:pt idx="7">
                        <c:v>0.3</c:v>
                      </c:pt>
                      <c:pt idx="8">
                        <c:v>0.42</c:v>
                      </c:pt>
                      <c:pt idx="9">
                        <c:v>0.35</c:v>
                      </c:pt>
                      <c:pt idx="10">
                        <c:v>0.47</c:v>
                      </c:pt>
                      <c:pt idx="11">
                        <c:v>0.57999999999999996</c:v>
                      </c:pt>
                      <c:pt idx="12">
                        <c:v>0.56999999999999995</c:v>
                      </c:pt>
                    </c:numCache>
                  </c:numRef>
                </c:val>
                <c:smooth val="0"/>
                <c:extLst xmlns:c15="http://schemas.microsoft.com/office/drawing/2012/chart">
                  <c:ext xmlns:c16="http://schemas.microsoft.com/office/drawing/2014/chart" uri="{C3380CC4-5D6E-409C-BE32-E72D297353CC}">
                    <c16:uniqueId val="{00000033-E95B-4DA6-863A-3104E93734D5}"/>
                  </c:ext>
                </c:extLst>
              </c15:ser>
            </c15:filteredLineSeries>
            <c15:filteredLineSeries>
              <c15:ser>
                <c:idx val="25"/>
                <c:order val="19"/>
                <c:tx>
                  <c:strRef>
                    <c:extLst xmlns:c15="http://schemas.microsoft.com/office/drawing/2012/chart">
                      <c:ext xmlns:c15="http://schemas.microsoft.com/office/drawing/2012/chart" uri="{02D57815-91ED-43cb-92C2-25804820EDAC}">
                        <c15:formulaRef>
                          <c15:sqref>'G2&amp;G3_BowWave_2025MAR'!$C$32</c15:sqref>
                        </c15:formulaRef>
                      </c:ext>
                    </c:extLst>
                    <c:strCache>
                      <c:ptCount val="1"/>
                      <c:pt idx="0">
                        <c:v>Baselined to Start - Cumulative</c:v>
                      </c:pt>
                    </c:strCache>
                  </c:strRef>
                </c:tx>
                <c:spPr>
                  <a:ln w="28575" cap="rnd">
                    <a:solidFill>
                      <a:schemeClr val="accent2">
                        <a:lumMod val="60000"/>
                        <a:lumOff val="40000"/>
                      </a:schemeClr>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cat>
                  <c:strRef>
                    <c:extLst xmlns:c15="http://schemas.microsoft.com/office/drawing/2012/chart">
                      <c:ext xmlns:c15="http://schemas.microsoft.com/office/drawing/2012/chart" uri="{02D57815-91ED-43cb-92C2-25804820EDAC}">
                        <c15:formulaRef>
                          <c15:sqref>'G2&amp;G3_BowWave_2025MAR'!$D$11:$IY$11</c15:sqref>
                        </c15:formulaRef>
                      </c:ext>
                    </c:extLst>
                    <c:strCache>
                      <c:ptCount val="26"/>
                      <c:pt idx="0">
                        <c:v>Mar-24</c:v>
                      </c:pt>
                      <c:pt idx="1">
                        <c:v>Apr-24</c:v>
                      </c:pt>
                      <c:pt idx="2">
                        <c:v>May-24</c:v>
                      </c:pt>
                      <c:pt idx="3">
                        <c:v>Jun-24</c:v>
                      </c:pt>
                      <c:pt idx="4">
                        <c:v>Jul-24</c:v>
                      </c:pt>
                      <c:pt idx="5">
                        <c:v>Aug-24</c:v>
                      </c:pt>
                      <c:pt idx="6">
                        <c:v>Sep-24</c:v>
                      </c:pt>
                      <c:pt idx="7">
                        <c:v>Oct-24</c:v>
                      </c:pt>
                      <c:pt idx="8">
                        <c:v>Nov-24</c:v>
                      </c:pt>
                      <c:pt idx="9">
                        <c:v>Dec-24</c:v>
                      </c:pt>
                      <c:pt idx="10">
                        <c:v>Jan-25</c:v>
                      </c:pt>
                      <c:pt idx="11">
                        <c:v>Feb-25</c:v>
                      </c:pt>
                      <c:pt idx="12">
                        <c:v>Mar-25</c:v>
                      </c:pt>
                      <c:pt idx="13">
                        <c:v>Apr-25</c:v>
                      </c:pt>
                      <c:pt idx="14">
                        <c:v>May-25</c:v>
                      </c:pt>
                      <c:pt idx="15">
                        <c:v>Jun-25</c:v>
                      </c:pt>
                      <c:pt idx="16">
                        <c:v>Jul-25</c:v>
                      </c:pt>
                      <c:pt idx="17">
                        <c:v>Aug-25</c:v>
                      </c:pt>
                      <c:pt idx="18">
                        <c:v>Sep-25</c:v>
                      </c:pt>
                      <c:pt idx="19">
                        <c:v>Oct-25</c:v>
                      </c:pt>
                      <c:pt idx="20">
                        <c:v>Nov-25</c:v>
                      </c:pt>
                      <c:pt idx="21">
                        <c:v>Dec-25</c:v>
                      </c:pt>
                      <c:pt idx="22">
                        <c:v>Jan-26</c:v>
                      </c:pt>
                      <c:pt idx="23">
                        <c:v>Feb-26</c:v>
                      </c:pt>
                      <c:pt idx="24">
                        <c:v>Mar-26</c:v>
                      </c:pt>
                      <c:pt idx="25">
                        <c:v>Y-axis (max)</c:v>
                      </c:pt>
                    </c:strCache>
                  </c:strRef>
                </c:cat>
                <c:val>
                  <c:numRef>
                    <c:extLst xmlns:c15="http://schemas.microsoft.com/office/drawing/2012/chart">
                      <c:ext xmlns:c15="http://schemas.microsoft.com/office/drawing/2012/chart" uri="{02D57815-91ED-43cb-92C2-25804820EDAC}">
                        <c15:formulaRef>
                          <c15:sqref>'G2&amp;G3_BowWave_2025MAR'!$D$32:$DD$32</c15:sqref>
                        </c15:formulaRef>
                      </c:ext>
                    </c:extLst>
                    <c:numCache>
                      <c:formatCode>0</c:formatCode>
                      <c:ptCount val="25"/>
                      <c:pt idx="0">
                        <c:v>1838</c:v>
                      </c:pt>
                      <c:pt idx="1">
                        <c:v>1885</c:v>
                      </c:pt>
                      <c:pt idx="2">
                        <c:v>1931</c:v>
                      </c:pt>
                      <c:pt idx="3">
                        <c:v>2021</c:v>
                      </c:pt>
                      <c:pt idx="4">
                        <c:v>2101</c:v>
                      </c:pt>
                      <c:pt idx="5">
                        <c:v>2189</c:v>
                      </c:pt>
                      <c:pt idx="6">
                        <c:v>2227</c:v>
                      </c:pt>
                      <c:pt idx="7">
                        <c:v>2312</c:v>
                      </c:pt>
                      <c:pt idx="8">
                        <c:v>2365</c:v>
                      </c:pt>
                      <c:pt idx="9">
                        <c:v>2418</c:v>
                      </c:pt>
                      <c:pt idx="10">
                        <c:v>2452</c:v>
                      </c:pt>
                      <c:pt idx="11">
                        <c:v>2462</c:v>
                      </c:pt>
                      <c:pt idx="12">
                        <c:v>2494</c:v>
                      </c:pt>
                      <c:pt idx="13">
                        <c:v>2527</c:v>
                      </c:pt>
                      <c:pt idx="14">
                        <c:v>2538</c:v>
                      </c:pt>
                      <c:pt idx="15">
                        <c:v>2545</c:v>
                      </c:pt>
                      <c:pt idx="16">
                        <c:v>2552</c:v>
                      </c:pt>
                      <c:pt idx="17">
                        <c:v>2553</c:v>
                      </c:pt>
                      <c:pt idx="18">
                        <c:v>2554</c:v>
                      </c:pt>
                      <c:pt idx="19">
                        <c:v>2555</c:v>
                      </c:pt>
                      <c:pt idx="20">
                        <c:v>2560</c:v>
                      </c:pt>
                      <c:pt idx="21">
                        <c:v>2565</c:v>
                      </c:pt>
                      <c:pt idx="22">
                        <c:v>2566</c:v>
                      </c:pt>
                      <c:pt idx="23">
                        <c:v>2567</c:v>
                      </c:pt>
                      <c:pt idx="24">
                        <c:v>2567</c:v>
                      </c:pt>
                    </c:numCache>
                  </c:numRef>
                </c:val>
                <c:smooth val="0"/>
                <c:extLst xmlns:c15="http://schemas.microsoft.com/office/drawing/2012/chart">
                  <c:ext xmlns:c16="http://schemas.microsoft.com/office/drawing/2014/chart" uri="{C3380CC4-5D6E-409C-BE32-E72D297353CC}">
                    <c16:uniqueId val="{00000034-E95B-4DA6-863A-3104E93734D5}"/>
                  </c:ext>
                </c:extLst>
              </c15:ser>
            </c15:filteredLineSeries>
            <c15:filteredLineSeries>
              <c15:ser>
                <c:idx val="26"/>
                <c:order val="20"/>
                <c:tx>
                  <c:strRef>
                    <c:extLst xmlns:c15="http://schemas.microsoft.com/office/drawing/2012/chart">
                      <c:ext xmlns:c15="http://schemas.microsoft.com/office/drawing/2012/chart" uri="{02D57815-91ED-43cb-92C2-25804820EDAC}">
                        <c15:formulaRef>
                          <c15:sqref>'G2&amp;G3_BowWave_2025MAR'!$C$33</c15:sqref>
                        </c15:formulaRef>
                      </c:ext>
                    </c:extLst>
                    <c:strCache>
                      <c:ptCount val="1"/>
                      <c:pt idx="0">
                        <c:v>Scheduled to Start - Cumulative</c:v>
                      </c:pt>
                    </c:strCache>
                  </c:strRef>
                </c:tx>
                <c:spPr>
                  <a:ln w="28575" cap="rnd">
                    <a:solidFill>
                      <a:schemeClr val="accent3">
                        <a:lumMod val="60000"/>
                        <a:lumOff val="40000"/>
                      </a:schemeClr>
                    </a:solid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cat>
                  <c:strRef>
                    <c:extLst xmlns:c15="http://schemas.microsoft.com/office/drawing/2012/chart">
                      <c:ext xmlns:c15="http://schemas.microsoft.com/office/drawing/2012/chart" uri="{02D57815-91ED-43cb-92C2-25804820EDAC}">
                        <c15:formulaRef>
                          <c15:sqref>'G2&amp;G3_BowWave_2025MAR'!$D$11:$IY$11</c15:sqref>
                        </c15:formulaRef>
                      </c:ext>
                    </c:extLst>
                    <c:strCache>
                      <c:ptCount val="26"/>
                      <c:pt idx="0">
                        <c:v>Mar-24</c:v>
                      </c:pt>
                      <c:pt idx="1">
                        <c:v>Apr-24</c:v>
                      </c:pt>
                      <c:pt idx="2">
                        <c:v>May-24</c:v>
                      </c:pt>
                      <c:pt idx="3">
                        <c:v>Jun-24</c:v>
                      </c:pt>
                      <c:pt idx="4">
                        <c:v>Jul-24</c:v>
                      </c:pt>
                      <c:pt idx="5">
                        <c:v>Aug-24</c:v>
                      </c:pt>
                      <c:pt idx="6">
                        <c:v>Sep-24</c:v>
                      </c:pt>
                      <c:pt idx="7">
                        <c:v>Oct-24</c:v>
                      </c:pt>
                      <c:pt idx="8">
                        <c:v>Nov-24</c:v>
                      </c:pt>
                      <c:pt idx="9">
                        <c:v>Dec-24</c:v>
                      </c:pt>
                      <c:pt idx="10">
                        <c:v>Jan-25</c:v>
                      </c:pt>
                      <c:pt idx="11">
                        <c:v>Feb-25</c:v>
                      </c:pt>
                      <c:pt idx="12">
                        <c:v>Mar-25</c:v>
                      </c:pt>
                      <c:pt idx="13">
                        <c:v>Apr-25</c:v>
                      </c:pt>
                      <c:pt idx="14">
                        <c:v>May-25</c:v>
                      </c:pt>
                      <c:pt idx="15">
                        <c:v>Jun-25</c:v>
                      </c:pt>
                      <c:pt idx="16">
                        <c:v>Jul-25</c:v>
                      </c:pt>
                      <c:pt idx="17">
                        <c:v>Aug-25</c:v>
                      </c:pt>
                      <c:pt idx="18">
                        <c:v>Sep-25</c:v>
                      </c:pt>
                      <c:pt idx="19">
                        <c:v>Oct-25</c:v>
                      </c:pt>
                      <c:pt idx="20">
                        <c:v>Nov-25</c:v>
                      </c:pt>
                      <c:pt idx="21">
                        <c:v>Dec-25</c:v>
                      </c:pt>
                      <c:pt idx="22">
                        <c:v>Jan-26</c:v>
                      </c:pt>
                      <c:pt idx="23">
                        <c:v>Feb-26</c:v>
                      </c:pt>
                      <c:pt idx="24">
                        <c:v>Mar-26</c:v>
                      </c:pt>
                      <c:pt idx="25">
                        <c:v>Y-axis (max)</c:v>
                      </c:pt>
                    </c:strCache>
                  </c:strRef>
                </c:cat>
                <c:val>
                  <c:numRef>
                    <c:extLst xmlns:c15="http://schemas.microsoft.com/office/drawing/2012/chart">
                      <c:ext xmlns:c15="http://schemas.microsoft.com/office/drawing/2012/chart" uri="{02D57815-91ED-43cb-92C2-25804820EDAC}">
                        <c15:formulaRef>
                          <c15:sqref>'G2&amp;G3_BowWave_2025MAR'!$D$33:$DD$33</c15:sqref>
                        </c15:formulaRef>
                      </c:ext>
                    </c:extLst>
                    <c:numCache>
                      <c:formatCode>General</c:formatCode>
                      <c:ptCount val="25"/>
                      <c:pt idx="0">
                        <c:v>1712</c:v>
                      </c:pt>
                      <c:pt idx="1">
                        <c:v>1771</c:v>
                      </c:pt>
                      <c:pt idx="2">
                        <c:v>1811</c:v>
                      </c:pt>
                      <c:pt idx="3">
                        <c:v>1860</c:v>
                      </c:pt>
                      <c:pt idx="4">
                        <c:v>1912</c:v>
                      </c:pt>
                      <c:pt idx="5">
                        <c:v>1951</c:v>
                      </c:pt>
                      <c:pt idx="6">
                        <c:v>1973</c:v>
                      </c:pt>
                      <c:pt idx="7">
                        <c:v>2015</c:v>
                      </c:pt>
                      <c:pt idx="8">
                        <c:v>2048</c:v>
                      </c:pt>
                      <c:pt idx="9">
                        <c:v>2104</c:v>
                      </c:pt>
                      <c:pt idx="10">
                        <c:v>2146</c:v>
                      </c:pt>
                      <c:pt idx="11">
                        <c:v>2182</c:v>
                      </c:pt>
                      <c:pt idx="12">
                        <c:v>2238</c:v>
                      </c:pt>
                      <c:pt idx="13">
                        <c:v>2320</c:v>
                      </c:pt>
                      <c:pt idx="14">
                        <c:v>2390</c:v>
                      </c:pt>
                      <c:pt idx="15">
                        <c:v>2445</c:v>
                      </c:pt>
                      <c:pt idx="16">
                        <c:v>2492</c:v>
                      </c:pt>
                      <c:pt idx="17">
                        <c:v>2516</c:v>
                      </c:pt>
                      <c:pt idx="18">
                        <c:v>2528</c:v>
                      </c:pt>
                      <c:pt idx="19">
                        <c:v>2554</c:v>
                      </c:pt>
                      <c:pt idx="20">
                        <c:v>2573</c:v>
                      </c:pt>
                      <c:pt idx="21">
                        <c:v>2592</c:v>
                      </c:pt>
                      <c:pt idx="22">
                        <c:v>2617</c:v>
                      </c:pt>
                      <c:pt idx="23">
                        <c:v>2625</c:v>
                      </c:pt>
                      <c:pt idx="24">
                        <c:v>2631</c:v>
                      </c:pt>
                    </c:numCache>
                  </c:numRef>
                </c:val>
                <c:smooth val="0"/>
                <c:extLst xmlns:c15="http://schemas.microsoft.com/office/drawing/2012/chart">
                  <c:ext xmlns:c16="http://schemas.microsoft.com/office/drawing/2014/chart" uri="{C3380CC4-5D6E-409C-BE32-E72D297353CC}">
                    <c16:uniqueId val="{00000035-E95B-4DA6-863A-3104E93734D5}"/>
                  </c:ext>
                </c:extLst>
              </c15:ser>
            </c15:filteredLineSeries>
            <c15:filteredLineSeries>
              <c15:ser>
                <c:idx val="27"/>
                <c:order val="21"/>
                <c:tx>
                  <c:strRef>
                    <c:extLst xmlns:c15="http://schemas.microsoft.com/office/drawing/2012/chart">
                      <c:ext xmlns:c15="http://schemas.microsoft.com/office/drawing/2012/chart" uri="{02D57815-91ED-43cb-92C2-25804820EDAC}">
                        <c15:formulaRef>
                          <c15:sqref>'G2&amp;G3_BowWave_2025MAR'!$C$34</c15:sqref>
                        </c15:formulaRef>
                      </c:ext>
                    </c:extLst>
                    <c:strCache>
                      <c:ptCount val="1"/>
                      <c:pt idx="0">
                        <c:v>Actual Starts - Cumulative</c:v>
                      </c:pt>
                    </c:strCache>
                  </c:strRef>
                </c:tx>
                <c:spPr>
                  <a:ln w="28575" cap="rnd">
                    <a:solidFill>
                      <a:schemeClr val="accent4">
                        <a:lumMod val="60000"/>
                        <a:lumOff val="40000"/>
                      </a:schemeClr>
                    </a:solid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cat>
                  <c:strRef>
                    <c:extLst xmlns:c15="http://schemas.microsoft.com/office/drawing/2012/chart">
                      <c:ext xmlns:c15="http://schemas.microsoft.com/office/drawing/2012/chart" uri="{02D57815-91ED-43cb-92C2-25804820EDAC}">
                        <c15:formulaRef>
                          <c15:sqref>'G2&amp;G3_BowWave_2025MAR'!$D$11:$IY$11</c15:sqref>
                        </c15:formulaRef>
                      </c:ext>
                    </c:extLst>
                    <c:strCache>
                      <c:ptCount val="26"/>
                      <c:pt idx="0">
                        <c:v>Mar-24</c:v>
                      </c:pt>
                      <c:pt idx="1">
                        <c:v>Apr-24</c:v>
                      </c:pt>
                      <c:pt idx="2">
                        <c:v>May-24</c:v>
                      </c:pt>
                      <c:pt idx="3">
                        <c:v>Jun-24</c:v>
                      </c:pt>
                      <c:pt idx="4">
                        <c:v>Jul-24</c:v>
                      </c:pt>
                      <c:pt idx="5">
                        <c:v>Aug-24</c:v>
                      </c:pt>
                      <c:pt idx="6">
                        <c:v>Sep-24</c:v>
                      </c:pt>
                      <c:pt idx="7">
                        <c:v>Oct-24</c:v>
                      </c:pt>
                      <c:pt idx="8">
                        <c:v>Nov-24</c:v>
                      </c:pt>
                      <c:pt idx="9">
                        <c:v>Dec-24</c:v>
                      </c:pt>
                      <c:pt idx="10">
                        <c:v>Jan-25</c:v>
                      </c:pt>
                      <c:pt idx="11">
                        <c:v>Feb-25</c:v>
                      </c:pt>
                      <c:pt idx="12">
                        <c:v>Mar-25</c:v>
                      </c:pt>
                      <c:pt idx="13">
                        <c:v>Apr-25</c:v>
                      </c:pt>
                      <c:pt idx="14">
                        <c:v>May-25</c:v>
                      </c:pt>
                      <c:pt idx="15">
                        <c:v>Jun-25</c:v>
                      </c:pt>
                      <c:pt idx="16">
                        <c:v>Jul-25</c:v>
                      </c:pt>
                      <c:pt idx="17">
                        <c:v>Aug-25</c:v>
                      </c:pt>
                      <c:pt idx="18">
                        <c:v>Sep-25</c:v>
                      </c:pt>
                      <c:pt idx="19">
                        <c:v>Oct-25</c:v>
                      </c:pt>
                      <c:pt idx="20">
                        <c:v>Nov-25</c:v>
                      </c:pt>
                      <c:pt idx="21">
                        <c:v>Dec-25</c:v>
                      </c:pt>
                      <c:pt idx="22">
                        <c:v>Jan-26</c:v>
                      </c:pt>
                      <c:pt idx="23">
                        <c:v>Feb-26</c:v>
                      </c:pt>
                      <c:pt idx="24">
                        <c:v>Mar-26</c:v>
                      </c:pt>
                      <c:pt idx="25">
                        <c:v>Y-axis (max)</c:v>
                      </c:pt>
                    </c:strCache>
                  </c:strRef>
                </c:cat>
                <c:val>
                  <c:numRef>
                    <c:extLst xmlns:c15="http://schemas.microsoft.com/office/drawing/2012/chart">
                      <c:ext xmlns:c15="http://schemas.microsoft.com/office/drawing/2012/chart" uri="{02D57815-91ED-43cb-92C2-25804820EDAC}">
                        <c15:formulaRef>
                          <c15:sqref>'G2&amp;G3_BowWave_2025MAR'!$D$34:$DD$34</c15:sqref>
                        </c15:formulaRef>
                      </c:ext>
                    </c:extLst>
                    <c:numCache>
                      <c:formatCode>General</c:formatCode>
                      <c:ptCount val="25"/>
                      <c:pt idx="0">
                        <c:v>1712</c:v>
                      </c:pt>
                      <c:pt idx="1">
                        <c:v>1771</c:v>
                      </c:pt>
                      <c:pt idx="2">
                        <c:v>1811</c:v>
                      </c:pt>
                      <c:pt idx="3">
                        <c:v>1860</c:v>
                      </c:pt>
                      <c:pt idx="4">
                        <c:v>1912</c:v>
                      </c:pt>
                      <c:pt idx="5">
                        <c:v>1951</c:v>
                      </c:pt>
                      <c:pt idx="6">
                        <c:v>1973</c:v>
                      </c:pt>
                      <c:pt idx="7">
                        <c:v>2015</c:v>
                      </c:pt>
                      <c:pt idx="8">
                        <c:v>2048</c:v>
                      </c:pt>
                      <c:pt idx="9">
                        <c:v>2104</c:v>
                      </c:pt>
                      <c:pt idx="10">
                        <c:v>2146</c:v>
                      </c:pt>
                      <c:pt idx="11">
                        <c:v>2182</c:v>
                      </c:pt>
                      <c:pt idx="12">
                        <c:v>2224</c:v>
                      </c:pt>
                      <c:pt idx="13">
                        <c:v>2224</c:v>
                      </c:pt>
                      <c:pt idx="14">
                        <c:v>2224</c:v>
                      </c:pt>
                      <c:pt idx="15">
                        <c:v>2224</c:v>
                      </c:pt>
                      <c:pt idx="16">
                        <c:v>2224</c:v>
                      </c:pt>
                      <c:pt idx="17">
                        <c:v>2224</c:v>
                      </c:pt>
                      <c:pt idx="18">
                        <c:v>2224</c:v>
                      </c:pt>
                      <c:pt idx="19">
                        <c:v>2224</c:v>
                      </c:pt>
                      <c:pt idx="20">
                        <c:v>2224</c:v>
                      </c:pt>
                      <c:pt idx="21">
                        <c:v>2224</c:v>
                      </c:pt>
                      <c:pt idx="22">
                        <c:v>2224</c:v>
                      </c:pt>
                      <c:pt idx="23">
                        <c:v>2224</c:v>
                      </c:pt>
                      <c:pt idx="24">
                        <c:v>2224</c:v>
                      </c:pt>
                    </c:numCache>
                  </c:numRef>
                </c:val>
                <c:smooth val="0"/>
                <c:extLst xmlns:c15="http://schemas.microsoft.com/office/drawing/2012/chart">
                  <c:ext xmlns:c16="http://schemas.microsoft.com/office/drawing/2014/chart" uri="{C3380CC4-5D6E-409C-BE32-E72D297353CC}">
                    <c16:uniqueId val="{00000036-E95B-4DA6-863A-3104E93734D5}"/>
                  </c:ext>
                </c:extLst>
              </c15:ser>
            </c15:filteredLineSeries>
            <c15:filteredLineSeries>
              <c15:ser>
                <c:idx val="28"/>
                <c:order val="22"/>
                <c:tx>
                  <c:strRef>
                    <c:extLst xmlns:c15="http://schemas.microsoft.com/office/drawing/2012/chart">
                      <c:ext xmlns:c15="http://schemas.microsoft.com/office/drawing/2012/chart" uri="{02D57815-91ED-43cb-92C2-25804820EDAC}">
                        <c15:formulaRef>
                          <c15:sqref>'G2&amp;G3_BowWave_2025MAR'!$C$35</c15:sqref>
                        </c15:formulaRef>
                      </c:ext>
                    </c:extLst>
                    <c:strCache>
                      <c:ptCount val="1"/>
                      <c:pt idx="0">
                        <c:v>Baselined to Finish  - Cumulative</c:v>
                      </c:pt>
                    </c:strCache>
                  </c:strRef>
                </c:tx>
                <c:spPr>
                  <a:ln w="28575" cap="rnd">
                    <a:solidFill>
                      <a:schemeClr val="accent5">
                        <a:lumMod val="60000"/>
                        <a:lumOff val="40000"/>
                      </a:schemeClr>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cat>
                  <c:strRef>
                    <c:extLst xmlns:c15="http://schemas.microsoft.com/office/drawing/2012/chart">
                      <c:ext xmlns:c15="http://schemas.microsoft.com/office/drawing/2012/chart" uri="{02D57815-91ED-43cb-92C2-25804820EDAC}">
                        <c15:formulaRef>
                          <c15:sqref>'G2&amp;G3_BowWave_2025MAR'!$D$11:$IY$11</c15:sqref>
                        </c15:formulaRef>
                      </c:ext>
                    </c:extLst>
                    <c:strCache>
                      <c:ptCount val="26"/>
                      <c:pt idx="0">
                        <c:v>Mar-24</c:v>
                      </c:pt>
                      <c:pt idx="1">
                        <c:v>Apr-24</c:v>
                      </c:pt>
                      <c:pt idx="2">
                        <c:v>May-24</c:v>
                      </c:pt>
                      <c:pt idx="3">
                        <c:v>Jun-24</c:v>
                      </c:pt>
                      <c:pt idx="4">
                        <c:v>Jul-24</c:v>
                      </c:pt>
                      <c:pt idx="5">
                        <c:v>Aug-24</c:v>
                      </c:pt>
                      <c:pt idx="6">
                        <c:v>Sep-24</c:v>
                      </c:pt>
                      <c:pt idx="7">
                        <c:v>Oct-24</c:v>
                      </c:pt>
                      <c:pt idx="8">
                        <c:v>Nov-24</c:v>
                      </c:pt>
                      <c:pt idx="9">
                        <c:v>Dec-24</c:v>
                      </c:pt>
                      <c:pt idx="10">
                        <c:v>Jan-25</c:v>
                      </c:pt>
                      <c:pt idx="11">
                        <c:v>Feb-25</c:v>
                      </c:pt>
                      <c:pt idx="12">
                        <c:v>Mar-25</c:v>
                      </c:pt>
                      <c:pt idx="13">
                        <c:v>Apr-25</c:v>
                      </c:pt>
                      <c:pt idx="14">
                        <c:v>May-25</c:v>
                      </c:pt>
                      <c:pt idx="15">
                        <c:v>Jun-25</c:v>
                      </c:pt>
                      <c:pt idx="16">
                        <c:v>Jul-25</c:v>
                      </c:pt>
                      <c:pt idx="17">
                        <c:v>Aug-25</c:v>
                      </c:pt>
                      <c:pt idx="18">
                        <c:v>Sep-25</c:v>
                      </c:pt>
                      <c:pt idx="19">
                        <c:v>Oct-25</c:v>
                      </c:pt>
                      <c:pt idx="20">
                        <c:v>Nov-25</c:v>
                      </c:pt>
                      <c:pt idx="21">
                        <c:v>Dec-25</c:v>
                      </c:pt>
                      <c:pt idx="22">
                        <c:v>Jan-26</c:v>
                      </c:pt>
                      <c:pt idx="23">
                        <c:v>Feb-26</c:v>
                      </c:pt>
                      <c:pt idx="24">
                        <c:v>Mar-26</c:v>
                      </c:pt>
                      <c:pt idx="25">
                        <c:v>Y-axis (max)</c:v>
                      </c:pt>
                    </c:strCache>
                  </c:strRef>
                </c:cat>
                <c:val>
                  <c:numRef>
                    <c:extLst xmlns:c15="http://schemas.microsoft.com/office/drawing/2012/chart">
                      <c:ext xmlns:c15="http://schemas.microsoft.com/office/drawing/2012/chart" uri="{02D57815-91ED-43cb-92C2-25804820EDAC}">
                        <c15:formulaRef>
                          <c15:sqref>'G2&amp;G3_BowWave_2025MAR'!$D$35:$DD$35</c15:sqref>
                        </c15:formulaRef>
                      </c:ext>
                    </c:extLst>
                    <c:numCache>
                      <c:formatCode>General</c:formatCode>
                      <c:ptCount val="25"/>
                      <c:pt idx="0">
                        <c:v>1788</c:v>
                      </c:pt>
                      <c:pt idx="1">
                        <c:v>1837</c:v>
                      </c:pt>
                      <c:pt idx="2">
                        <c:v>1893</c:v>
                      </c:pt>
                      <c:pt idx="3">
                        <c:v>1974</c:v>
                      </c:pt>
                      <c:pt idx="4">
                        <c:v>2052</c:v>
                      </c:pt>
                      <c:pt idx="5">
                        <c:v>2158</c:v>
                      </c:pt>
                      <c:pt idx="6">
                        <c:v>2216</c:v>
                      </c:pt>
                      <c:pt idx="7">
                        <c:v>2306</c:v>
                      </c:pt>
                      <c:pt idx="8">
                        <c:v>2353</c:v>
                      </c:pt>
                      <c:pt idx="9">
                        <c:v>2403</c:v>
                      </c:pt>
                      <c:pt idx="10">
                        <c:v>2440</c:v>
                      </c:pt>
                      <c:pt idx="11">
                        <c:v>2456</c:v>
                      </c:pt>
                      <c:pt idx="12">
                        <c:v>2487</c:v>
                      </c:pt>
                      <c:pt idx="13">
                        <c:v>2518</c:v>
                      </c:pt>
                      <c:pt idx="14">
                        <c:v>2534</c:v>
                      </c:pt>
                      <c:pt idx="15">
                        <c:v>2542</c:v>
                      </c:pt>
                      <c:pt idx="16">
                        <c:v>2544</c:v>
                      </c:pt>
                      <c:pt idx="17">
                        <c:v>2547</c:v>
                      </c:pt>
                      <c:pt idx="18">
                        <c:v>2553</c:v>
                      </c:pt>
                      <c:pt idx="19">
                        <c:v>2555</c:v>
                      </c:pt>
                      <c:pt idx="20">
                        <c:v>2557</c:v>
                      </c:pt>
                      <c:pt idx="21">
                        <c:v>2563</c:v>
                      </c:pt>
                      <c:pt idx="22">
                        <c:v>2566</c:v>
                      </c:pt>
                      <c:pt idx="23">
                        <c:v>2567</c:v>
                      </c:pt>
                      <c:pt idx="24">
                        <c:v>2567</c:v>
                      </c:pt>
                    </c:numCache>
                  </c:numRef>
                </c:val>
                <c:smooth val="0"/>
                <c:extLst xmlns:c15="http://schemas.microsoft.com/office/drawing/2012/chart">
                  <c:ext xmlns:c16="http://schemas.microsoft.com/office/drawing/2014/chart" uri="{C3380CC4-5D6E-409C-BE32-E72D297353CC}">
                    <c16:uniqueId val="{00000037-E95B-4DA6-863A-3104E93734D5}"/>
                  </c:ext>
                </c:extLst>
              </c15:ser>
            </c15:filteredLineSeries>
            <c15:filteredLineSeries>
              <c15:ser>
                <c:idx val="29"/>
                <c:order val="23"/>
                <c:tx>
                  <c:strRef>
                    <c:extLst xmlns:c15="http://schemas.microsoft.com/office/drawing/2012/chart">
                      <c:ext xmlns:c15="http://schemas.microsoft.com/office/drawing/2012/chart" uri="{02D57815-91ED-43cb-92C2-25804820EDAC}">
                        <c15:formulaRef>
                          <c15:sqref>'G2&amp;G3_BowWave_2025MAR'!$C$36</c15:sqref>
                        </c15:formulaRef>
                      </c:ext>
                    </c:extLst>
                    <c:strCache>
                      <c:ptCount val="1"/>
                      <c:pt idx="0">
                        <c:v>Scheduled to Finish  - Cumulative</c:v>
                      </c:pt>
                    </c:strCache>
                  </c:strRef>
                </c:tx>
                <c:spPr>
                  <a:ln w="28575" cap="rnd">
                    <a:solidFill>
                      <a:schemeClr val="accent6">
                        <a:lumMod val="60000"/>
                        <a:lumOff val="40000"/>
                      </a:schemeClr>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cat>
                  <c:strRef>
                    <c:extLst xmlns:c15="http://schemas.microsoft.com/office/drawing/2012/chart">
                      <c:ext xmlns:c15="http://schemas.microsoft.com/office/drawing/2012/chart" uri="{02D57815-91ED-43cb-92C2-25804820EDAC}">
                        <c15:formulaRef>
                          <c15:sqref>'G2&amp;G3_BowWave_2025MAR'!$D$11:$IY$11</c15:sqref>
                        </c15:formulaRef>
                      </c:ext>
                    </c:extLst>
                    <c:strCache>
                      <c:ptCount val="26"/>
                      <c:pt idx="0">
                        <c:v>Mar-24</c:v>
                      </c:pt>
                      <c:pt idx="1">
                        <c:v>Apr-24</c:v>
                      </c:pt>
                      <c:pt idx="2">
                        <c:v>May-24</c:v>
                      </c:pt>
                      <c:pt idx="3">
                        <c:v>Jun-24</c:v>
                      </c:pt>
                      <c:pt idx="4">
                        <c:v>Jul-24</c:v>
                      </c:pt>
                      <c:pt idx="5">
                        <c:v>Aug-24</c:v>
                      </c:pt>
                      <c:pt idx="6">
                        <c:v>Sep-24</c:v>
                      </c:pt>
                      <c:pt idx="7">
                        <c:v>Oct-24</c:v>
                      </c:pt>
                      <c:pt idx="8">
                        <c:v>Nov-24</c:v>
                      </c:pt>
                      <c:pt idx="9">
                        <c:v>Dec-24</c:v>
                      </c:pt>
                      <c:pt idx="10">
                        <c:v>Jan-25</c:v>
                      </c:pt>
                      <c:pt idx="11">
                        <c:v>Feb-25</c:v>
                      </c:pt>
                      <c:pt idx="12">
                        <c:v>Mar-25</c:v>
                      </c:pt>
                      <c:pt idx="13">
                        <c:v>Apr-25</c:v>
                      </c:pt>
                      <c:pt idx="14">
                        <c:v>May-25</c:v>
                      </c:pt>
                      <c:pt idx="15">
                        <c:v>Jun-25</c:v>
                      </c:pt>
                      <c:pt idx="16">
                        <c:v>Jul-25</c:v>
                      </c:pt>
                      <c:pt idx="17">
                        <c:v>Aug-25</c:v>
                      </c:pt>
                      <c:pt idx="18">
                        <c:v>Sep-25</c:v>
                      </c:pt>
                      <c:pt idx="19">
                        <c:v>Oct-25</c:v>
                      </c:pt>
                      <c:pt idx="20">
                        <c:v>Nov-25</c:v>
                      </c:pt>
                      <c:pt idx="21">
                        <c:v>Dec-25</c:v>
                      </c:pt>
                      <c:pt idx="22">
                        <c:v>Jan-26</c:v>
                      </c:pt>
                      <c:pt idx="23">
                        <c:v>Feb-26</c:v>
                      </c:pt>
                      <c:pt idx="24">
                        <c:v>Mar-26</c:v>
                      </c:pt>
                      <c:pt idx="25">
                        <c:v>Y-axis (max)</c:v>
                      </c:pt>
                    </c:strCache>
                  </c:strRef>
                </c:cat>
                <c:val>
                  <c:numRef>
                    <c:extLst xmlns:c15="http://schemas.microsoft.com/office/drawing/2012/chart">
                      <c:ext xmlns:c15="http://schemas.microsoft.com/office/drawing/2012/chart" uri="{02D57815-91ED-43cb-92C2-25804820EDAC}">
                        <c15:formulaRef>
                          <c15:sqref>'G2&amp;G3_BowWave_2025MAR'!$D$36:$DD$36</c15:sqref>
                        </c15:formulaRef>
                      </c:ext>
                    </c:extLst>
                    <c:numCache>
                      <c:formatCode>General</c:formatCode>
                      <c:ptCount val="25"/>
                      <c:pt idx="0">
                        <c:v>1654</c:v>
                      </c:pt>
                      <c:pt idx="1">
                        <c:v>1710</c:v>
                      </c:pt>
                      <c:pt idx="2">
                        <c:v>1753</c:v>
                      </c:pt>
                      <c:pt idx="3">
                        <c:v>1800</c:v>
                      </c:pt>
                      <c:pt idx="4">
                        <c:v>1845</c:v>
                      </c:pt>
                      <c:pt idx="5">
                        <c:v>1900</c:v>
                      </c:pt>
                      <c:pt idx="6">
                        <c:v>1931</c:v>
                      </c:pt>
                      <c:pt idx="7">
                        <c:v>1962</c:v>
                      </c:pt>
                      <c:pt idx="8">
                        <c:v>1992</c:v>
                      </c:pt>
                      <c:pt idx="9">
                        <c:v>2052</c:v>
                      </c:pt>
                      <c:pt idx="10">
                        <c:v>2099</c:v>
                      </c:pt>
                      <c:pt idx="11">
                        <c:v>2137</c:v>
                      </c:pt>
                      <c:pt idx="12">
                        <c:v>2198</c:v>
                      </c:pt>
                      <c:pt idx="13">
                        <c:v>2293</c:v>
                      </c:pt>
                      <c:pt idx="14">
                        <c:v>2356</c:v>
                      </c:pt>
                      <c:pt idx="15">
                        <c:v>2423</c:v>
                      </c:pt>
                      <c:pt idx="16">
                        <c:v>2471</c:v>
                      </c:pt>
                      <c:pt idx="17">
                        <c:v>2504</c:v>
                      </c:pt>
                      <c:pt idx="18">
                        <c:v>2521</c:v>
                      </c:pt>
                      <c:pt idx="19">
                        <c:v>2552</c:v>
                      </c:pt>
                      <c:pt idx="20">
                        <c:v>2569</c:v>
                      </c:pt>
                      <c:pt idx="21">
                        <c:v>2585</c:v>
                      </c:pt>
                      <c:pt idx="22">
                        <c:v>2614</c:v>
                      </c:pt>
                      <c:pt idx="23">
                        <c:v>2624</c:v>
                      </c:pt>
                      <c:pt idx="24">
                        <c:v>2627</c:v>
                      </c:pt>
                    </c:numCache>
                  </c:numRef>
                </c:val>
                <c:smooth val="0"/>
                <c:extLst xmlns:c15="http://schemas.microsoft.com/office/drawing/2012/chart">
                  <c:ext xmlns:c16="http://schemas.microsoft.com/office/drawing/2014/chart" uri="{C3380CC4-5D6E-409C-BE32-E72D297353CC}">
                    <c16:uniqueId val="{00000038-E95B-4DA6-863A-3104E93734D5}"/>
                  </c:ext>
                </c:extLst>
              </c15:ser>
            </c15:filteredLineSeries>
            <c15:filteredLineSeries>
              <c15:ser>
                <c:idx val="30"/>
                <c:order val="24"/>
                <c:tx>
                  <c:strRef>
                    <c:extLst xmlns:c15="http://schemas.microsoft.com/office/drawing/2012/chart">
                      <c:ext xmlns:c15="http://schemas.microsoft.com/office/drawing/2012/chart" uri="{02D57815-91ED-43cb-92C2-25804820EDAC}">
                        <c15:formulaRef>
                          <c15:sqref>'G2&amp;G3_BowWave_2025MAR'!$C$37</c15:sqref>
                        </c15:formulaRef>
                      </c:ext>
                    </c:extLst>
                    <c:strCache>
                      <c:ptCount val="1"/>
                      <c:pt idx="0">
                        <c:v>Actual Finishes  - Cumulative</c:v>
                      </c:pt>
                    </c:strCache>
                  </c:strRef>
                </c:tx>
                <c:spPr>
                  <a:ln w="28575" cap="rnd">
                    <a:solidFill>
                      <a:schemeClr val="accent1">
                        <a:lumMod val="50000"/>
                      </a:schemeClr>
                    </a:solidFill>
                    <a:round/>
                  </a:ln>
                  <a:effectLst/>
                </c:spPr>
                <c:marker>
                  <c:symbol val="circle"/>
                  <c:size val="5"/>
                  <c:spPr>
                    <a:solidFill>
                      <a:schemeClr val="accent1">
                        <a:lumMod val="50000"/>
                      </a:schemeClr>
                    </a:solidFill>
                    <a:ln w="9525">
                      <a:solidFill>
                        <a:schemeClr val="accent1">
                          <a:lumMod val="50000"/>
                        </a:schemeClr>
                      </a:solidFill>
                    </a:ln>
                    <a:effectLst/>
                  </c:spPr>
                </c:marker>
                <c:cat>
                  <c:strRef>
                    <c:extLst xmlns:c15="http://schemas.microsoft.com/office/drawing/2012/chart">
                      <c:ext xmlns:c15="http://schemas.microsoft.com/office/drawing/2012/chart" uri="{02D57815-91ED-43cb-92C2-25804820EDAC}">
                        <c15:formulaRef>
                          <c15:sqref>'G2&amp;G3_BowWave_2025MAR'!$D$11:$IY$11</c15:sqref>
                        </c15:formulaRef>
                      </c:ext>
                    </c:extLst>
                    <c:strCache>
                      <c:ptCount val="26"/>
                      <c:pt idx="0">
                        <c:v>Mar-24</c:v>
                      </c:pt>
                      <c:pt idx="1">
                        <c:v>Apr-24</c:v>
                      </c:pt>
                      <c:pt idx="2">
                        <c:v>May-24</c:v>
                      </c:pt>
                      <c:pt idx="3">
                        <c:v>Jun-24</c:v>
                      </c:pt>
                      <c:pt idx="4">
                        <c:v>Jul-24</c:v>
                      </c:pt>
                      <c:pt idx="5">
                        <c:v>Aug-24</c:v>
                      </c:pt>
                      <c:pt idx="6">
                        <c:v>Sep-24</c:v>
                      </c:pt>
                      <c:pt idx="7">
                        <c:v>Oct-24</c:v>
                      </c:pt>
                      <c:pt idx="8">
                        <c:v>Nov-24</c:v>
                      </c:pt>
                      <c:pt idx="9">
                        <c:v>Dec-24</c:v>
                      </c:pt>
                      <c:pt idx="10">
                        <c:v>Jan-25</c:v>
                      </c:pt>
                      <c:pt idx="11">
                        <c:v>Feb-25</c:v>
                      </c:pt>
                      <c:pt idx="12">
                        <c:v>Mar-25</c:v>
                      </c:pt>
                      <c:pt idx="13">
                        <c:v>Apr-25</c:v>
                      </c:pt>
                      <c:pt idx="14">
                        <c:v>May-25</c:v>
                      </c:pt>
                      <c:pt idx="15">
                        <c:v>Jun-25</c:v>
                      </c:pt>
                      <c:pt idx="16">
                        <c:v>Jul-25</c:v>
                      </c:pt>
                      <c:pt idx="17">
                        <c:v>Aug-25</c:v>
                      </c:pt>
                      <c:pt idx="18">
                        <c:v>Sep-25</c:v>
                      </c:pt>
                      <c:pt idx="19">
                        <c:v>Oct-25</c:v>
                      </c:pt>
                      <c:pt idx="20">
                        <c:v>Nov-25</c:v>
                      </c:pt>
                      <c:pt idx="21">
                        <c:v>Dec-25</c:v>
                      </c:pt>
                      <c:pt idx="22">
                        <c:v>Jan-26</c:v>
                      </c:pt>
                      <c:pt idx="23">
                        <c:v>Feb-26</c:v>
                      </c:pt>
                      <c:pt idx="24">
                        <c:v>Mar-26</c:v>
                      </c:pt>
                      <c:pt idx="25">
                        <c:v>Y-axis (max)</c:v>
                      </c:pt>
                    </c:strCache>
                  </c:strRef>
                </c:cat>
                <c:val>
                  <c:numRef>
                    <c:extLst xmlns:c15="http://schemas.microsoft.com/office/drawing/2012/chart">
                      <c:ext xmlns:c15="http://schemas.microsoft.com/office/drawing/2012/chart" uri="{02D57815-91ED-43cb-92C2-25804820EDAC}">
                        <c15:formulaRef>
                          <c15:sqref>'G2&amp;G3_BowWave_2025MAR'!$D$37:$DD$37</c15:sqref>
                        </c15:formulaRef>
                      </c:ext>
                    </c:extLst>
                    <c:numCache>
                      <c:formatCode>General</c:formatCode>
                      <c:ptCount val="25"/>
                      <c:pt idx="0">
                        <c:v>1654</c:v>
                      </c:pt>
                      <c:pt idx="1">
                        <c:v>1710</c:v>
                      </c:pt>
                      <c:pt idx="2">
                        <c:v>1753</c:v>
                      </c:pt>
                      <c:pt idx="3">
                        <c:v>1800</c:v>
                      </c:pt>
                      <c:pt idx="4">
                        <c:v>1845</c:v>
                      </c:pt>
                      <c:pt idx="5">
                        <c:v>1900</c:v>
                      </c:pt>
                      <c:pt idx="6">
                        <c:v>1931</c:v>
                      </c:pt>
                      <c:pt idx="7">
                        <c:v>1962</c:v>
                      </c:pt>
                      <c:pt idx="8">
                        <c:v>1992</c:v>
                      </c:pt>
                      <c:pt idx="9">
                        <c:v>2052</c:v>
                      </c:pt>
                      <c:pt idx="10">
                        <c:v>2099</c:v>
                      </c:pt>
                      <c:pt idx="11">
                        <c:v>2137</c:v>
                      </c:pt>
                      <c:pt idx="12">
                        <c:v>2190</c:v>
                      </c:pt>
                      <c:pt idx="13">
                        <c:v>2190</c:v>
                      </c:pt>
                      <c:pt idx="14">
                        <c:v>2190</c:v>
                      </c:pt>
                      <c:pt idx="15">
                        <c:v>2190</c:v>
                      </c:pt>
                      <c:pt idx="16">
                        <c:v>2190</c:v>
                      </c:pt>
                      <c:pt idx="17">
                        <c:v>2190</c:v>
                      </c:pt>
                      <c:pt idx="18">
                        <c:v>2190</c:v>
                      </c:pt>
                      <c:pt idx="19">
                        <c:v>2190</c:v>
                      </c:pt>
                      <c:pt idx="20">
                        <c:v>2190</c:v>
                      </c:pt>
                      <c:pt idx="21">
                        <c:v>2190</c:v>
                      </c:pt>
                      <c:pt idx="22">
                        <c:v>2190</c:v>
                      </c:pt>
                      <c:pt idx="23">
                        <c:v>2190</c:v>
                      </c:pt>
                      <c:pt idx="24">
                        <c:v>2190</c:v>
                      </c:pt>
                    </c:numCache>
                  </c:numRef>
                </c:val>
                <c:smooth val="0"/>
                <c:extLst xmlns:c15="http://schemas.microsoft.com/office/drawing/2012/chart">
                  <c:ext xmlns:c16="http://schemas.microsoft.com/office/drawing/2014/chart" uri="{C3380CC4-5D6E-409C-BE32-E72D297353CC}">
                    <c16:uniqueId val="{00000039-E95B-4DA6-863A-3104E93734D5}"/>
                  </c:ext>
                </c:extLst>
              </c15:ser>
            </c15:filteredLineSeries>
            <c15:filteredLineSeries>
              <c15:ser>
                <c:idx val="33"/>
                <c:order val="26"/>
                <c:tx>
                  <c:strRef>
                    <c:extLst xmlns:c15="http://schemas.microsoft.com/office/drawing/2012/chart">
                      <c:ext xmlns:c15="http://schemas.microsoft.com/office/drawing/2012/chart" uri="{02D57815-91ED-43cb-92C2-25804820EDAC}">
                        <c15:formulaRef>
                          <c15:sqref>'G2&amp;G3_BowWave_2025MAR'!$C$39</c15:sqref>
                        </c15:formulaRef>
                      </c:ext>
                    </c:extLst>
                    <c:strCache>
                      <c:ptCount val="1"/>
                      <c:pt idx="0">
                        <c:v>HMI Finishes - 3-mo Rolling Average</c:v>
                      </c:pt>
                    </c:strCache>
                  </c:strRef>
                </c:tx>
                <c:spPr>
                  <a:ln w="28575" cap="rnd">
                    <a:solidFill>
                      <a:schemeClr val="accent4">
                        <a:lumMod val="50000"/>
                      </a:schemeClr>
                    </a:solidFill>
                    <a:round/>
                  </a:ln>
                  <a:effectLst/>
                </c:spPr>
                <c:marker>
                  <c:symbol val="circle"/>
                  <c:size val="5"/>
                  <c:spPr>
                    <a:solidFill>
                      <a:schemeClr val="accent4">
                        <a:lumMod val="75000"/>
                      </a:schemeClr>
                    </a:solidFill>
                    <a:ln w="9525">
                      <a:solidFill>
                        <a:schemeClr val="accent4">
                          <a:lumMod val="50000"/>
                        </a:schemeClr>
                      </a:solidFill>
                    </a:ln>
                    <a:effectLst/>
                  </c:spPr>
                </c:marker>
                <c:cat>
                  <c:strRef>
                    <c:extLst xmlns:c15="http://schemas.microsoft.com/office/drawing/2012/chart">
                      <c:ext xmlns:c15="http://schemas.microsoft.com/office/drawing/2012/chart" uri="{02D57815-91ED-43cb-92C2-25804820EDAC}">
                        <c15:formulaRef>
                          <c15:sqref>'G2&amp;G3_BowWave_2025MAR'!$D$11:$IY$11</c15:sqref>
                        </c15:formulaRef>
                      </c:ext>
                    </c:extLst>
                    <c:strCache>
                      <c:ptCount val="26"/>
                      <c:pt idx="0">
                        <c:v>Mar-24</c:v>
                      </c:pt>
                      <c:pt idx="1">
                        <c:v>Apr-24</c:v>
                      </c:pt>
                      <c:pt idx="2">
                        <c:v>May-24</c:v>
                      </c:pt>
                      <c:pt idx="3">
                        <c:v>Jun-24</c:v>
                      </c:pt>
                      <c:pt idx="4">
                        <c:v>Jul-24</c:v>
                      </c:pt>
                      <c:pt idx="5">
                        <c:v>Aug-24</c:v>
                      </c:pt>
                      <c:pt idx="6">
                        <c:v>Sep-24</c:v>
                      </c:pt>
                      <c:pt idx="7">
                        <c:v>Oct-24</c:v>
                      </c:pt>
                      <c:pt idx="8">
                        <c:v>Nov-24</c:v>
                      </c:pt>
                      <c:pt idx="9">
                        <c:v>Dec-24</c:v>
                      </c:pt>
                      <c:pt idx="10">
                        <c:v>Jan-25</c:v>
                      </c:pt>
                      <c:pt idx="11">
                        <c:v>Feb-25</c:v>
                      </c:pt>
                      <c:pt idx="12">
                        <c:v>Mar-25</c:v>
                      </c:pt>
                      <c:pt idx="13">
                        <c:v>Apr-25</c:v>
                      </c:pt>
                      <c:pt idx="14">
                        <c:v>May-25</c:v>
                      </c:pt>
                      <c:pt idx="15">
                        <c:v>Jun-25</c:v>
                      </c:pt>
                      <c:pt idx="16">
                        <c:v>Jul-25</c:v>
                      </c:pt>
                      <c:pt idx="17">
                        <c:v>Aug-25</c:v>
                      </c:pt>
                      <c:pt idx="18">
                        <c:v>Sep-25</c:v>
                      </c:pt>
                      <c:pt idx="19">
                        <c:v>Oct-25</c:v>
                      </c:pt>
                      <c:pt idx="20">
                        <c:v>Nov-25</c:v>
                      </c:pt>
                      <c:pt idx="21">
                        <c:v>Dec-25</c:v>
                      </c:pt>
                      <c:pt idx="22">
                        <c:v>Jan-26</c:v>
                      </c:pt>
                      <c:pt idx="23">
                        <c:v>Feb-26</c:v>
                      </c:pt>
                      <c:pt idx="24">
                        <c:v>Mar-26</c:v>
                      </c:pt>
                      <c:pt idx="25">
                        <c:v>Y-axis (max)</c:v>
                      </c:pt>
                    </c:strCache>
                  </c:strRef>
                </c:cat>
                <c:val>
                  <c:numRef>
                    <c:extLst xmlns:c15="http://schemas.microsoft.com/office/drawing/2012/chart">
                      <c:ext xmlns:c15="http://schemas.microsoft.com/office/drawing/2012/chart" uri="{02D57815-91ED-43cb-92C2-25804820EDAC}">
                        <c15:formulaRef>
                          <c15:sqref>'G2&amp;G3_BowWave_2025MAR'!$D$39:$DD$39</c15:sqref>
                        </c15:formulaRef>
                      </c:ext>
                    </c:extLst>
                    <c:numCache>
                      <c:formatCode>0.00</c:formatCode>
                      <c:ptCount val="25"/>
                      <c:pt idx="7">
                        <c:v>0.01</c:v>
                      </c:pt>
                      <c:pt idx="8">
                        <c:v>2.5000000000000001E-2</c:v>
                      </c:pt>
                      <c:pt idx="9">
                        <c:v>2.3333333333333334E-2</c:v>
                      </c:pt>
                      <c:pt idx="10">
                        <c:v>0.02</c:v>
                      </c:pt>
                      <c:pt idx="11">
                        <c:v>6.6666666666666671E-3</c:v>
                      </c:pt>
                      <c:pt idx="12">
                        <c:v>0</c:v>
                      </c:pt>
                    </c:numCache>
                  </c:numRef>
                </c:val>
                <c:smooth val="0"/>
                <c:extLst xmlns:c15="http://schemas.microsoft.com/office/drawing/2012/chart">
                  <c:ext xmlns:c16="http://schemas.microsoft.com/office/drawing/2014/chart" uri="{C3380CC4-5D6E-409C-BE32-E72D297353CC}">
                    <c16:uniqueId val="{0000001D-E95B-4DA6-863A-3104E93734D5}"/>
                  </c:ext>
                </c:extLst>
              </c15:ser>
            </c15:filteredLineSeries>
            <c15:filteredLineSeries>
              <c15:ser>
                <c:idx val="35"/>
                <c:order val="28"/>
                <c:tx>
                  <c:strRef>
                    <c:extLst xmlns:c15="http://schemas.microsoft.com/office/drawing/2012/chart">
                      <c:ext xmlns:c15="http://schemas.microsoft.com/office/drawing/2012/chart" uri="{02D57815-91ED-43cb-92C2-25804820EDAC}">
                        <c15:formulaRef>
                          <c15:sqref>'G2&amp;G3_BowWave_2025MAR'!$C$41</c15:sqref>
                        </c15:formulaRef>
                      </c:ext>
                    </c:extLst>
                    <c:strCache>
                      <c:ptCount val="1"/>
                      <c:pt idx="0">
                        <c:v>CEI Finishes - 3-mo Rolling Average</c:v>
                      </c:pt>
                    </c:strCache>
                  </c:strRef>
                </c:tx>
                <c:spPr>
                  <a:ln w="28575" cap="rnd">
                    <a:solidFill>
                      <a:schemeClr val="accent6">
                        <a:lumMod val="50000"/>
                      </a:schemeClr>
                    </a:solidFill>
                    <a:round/>
                  </a:ln>
                  <a:effectLst/>
                </c:spPr>
                <c:marker>
                  <c:symbol val="circle"/>
                  <c:size val="5"/>
                  <c:spPr>
                    <a:solidFill>
                      <a:schemeClr val="accent6"/>
                    </a:solidFill>
                    <a:ln w="9525">
                      <a:solidFill>
                        <a:schemeClr val="accent6">
                          <a:lumMod val="50000"/>
                        </a:schemeClr>
                      </a:solidFill>
                    </a:ln>
                    <a:effectLst/>
                  </c:spPr>
                </c:marker>
                <c:cat>
                  <c:strRef>
                    <c:extLst xmlns:c15="http://schemas.microsoft.com/office/drawing/2012/chart">
                      <c:ext xmlns:c15="http://schemas.microsoft.com/office/drawing/2012/chart" uri="{02D57815-91ED-43cb-92C2-25804820EDAC}">
                        <c15:formulaRef>
                          <c15:sqref>'G2&amp;G3_BowWave_2025MAR'!$D$11:$IY$11</c15:sqref>
                        </c15:formulaRef>
                      </c:ext>
                    </c:extLst>
                    <c:strCache>
                      <c:ptCount val="26"/>
                      <c:pt idx="0">
                        <c:v>Mar-24</c:v>
                      </c:pt>
                      <c:pt idx="1">
                        <c:v>Apr-24</c:v>
                      </c:pt>
                      <c:pt idx="2">
                        <c:v>May-24</c:v>
                      </c:pt>
                      <c:pt idx="3">
                        <c:v>Jun-24</c:v>
                      </c:pt>
                      <c:pt idx="4">
                        <c:v>Jul-24</c:v>
                      </c:pt>
                      <c:pt idx="5">
                        <c:v>Aug-24</c:v>
                      </c:pt>
                      <c:pt idx="6">
                        <c:v>Sep-24</c:v>
                      </c:pt>
                      <c:pt idx="7">
                        <c:v>Oct-24</c:v>
                      </c:pt>
                      <c:pt idx="8">
                        <c:v>Nov-24</c:v>
                      </c:pt>
                      <c:pt idx="9">
                        <c:v>Dec-24</c:v>
                      </c:pt>
                      <c:pt idx="10">
                        <c:v>Jan-25</c:v>
                      </c:pt>
                      <c:pt idx="11">
                        <c:v>Feb-25</c:v>
                      </c:pt>
                      <c:pt idx="12">
                        <c:v>Mar-25</c:v>
                      </c:pt>
                      <c:pt idx="13">
                        <c:v>Apr-25</c:v>
                      </c:pt>
                      <c:pt idx="14">
                        <c:v>May-25</c:v>
                      </c:pt>
                      <c:pt idx="15">
                        <c:v>Jun-25</c:v>
                      </c:pt>
                      <c:pt idx="16">
                        <c:v>Jul-25</c:v>
                      </c:pt>
                      <c:pt idx="17">
                        <c:v>Aug-25</c:v>
                      </c:pt>
                      <c:pt idx="18">
                        <c:v>Sep-25</c:v>
                      </c:pt>
                      <c:pt idx="19">
                        <c:v>Oct-25</c:v>
                      </c:pt>
                      <c:pt idx="20">
                        <c:v>Nov-25</c:v>
                      </c:pt>
                      <c:pt idx="21">
                        <c:v>Dec-25</c:v>
                      </c:pt>
                      <c:pt idx="22">
                        <c:v>Jan-26</c:v>
                      </c:pt>
                      <c:pt idx="23">
                        <c:v>Feb-26</c:v>
                      </c:pt>
                      <c:pt idx="24">
                        <c:v>Mar-26</c:v>
                      </c:pt>
                      <c:pt idx="25">
                        <c:v>Y-axis (max)</c:v>
                      </c:pt>
                    </c:strCache>
                  </c:strRef>
                </c:cat>
                <c:val>
                  <c:numRef>
                    <c:extLst xmlns:c15="http://schemas.microsoft.com/office/drawing/2012/chart">
                      <c:ext xmlns:c15="http://schemas.microsoft.com/office/drawing/2012/chart" uri="{02D57815-91ED-43cb-92C2-25804820EDAC}">
                        <c15:formulaRef>
                          <c15:sqref>'G2&amp;G3_BowWave_2025MAR'!$D$41:$DD$41</c15:sqref>
                        </c15:formulaRef>
                      </c:ext>
                    </c:extLst>
                    <c:numCache>
                      <c:formatCode>0.00</c:formatCode>
                      <c:ptCount val="25"/>
                      <c:pt idx="7">
                        <c:v>0.3</c:v>
                      </c:pt>
                      <c:pt idx="8">
                        <c:v>0.36</c:v>
                      </c:pt>
                      <c:pt idx="9">
                        <c:v>0.35666666666666663</c:v>
                      </c:pt>
                      <c:pt idx="10">
                        <c:v>0.41333333333333333</c:v>
                      </c:pt>
                      <c:pt idx="11">
                        <c:v>0.46666666666666662</c:v>
                      </c:pt>
                      <c:pt idx="12">
                        <c:v>0.53999999999999992</c:v>
                      </c:pt>
                    </c:numCache>
                  </c:numRef>
                </c:val>
                <c:smooth val="0"/>
                <c:extLst xmlns:c15="http://schemas.microsoft.com/office/drawing/2012/chart">
                  <c:ext xmlns:c16="http://schemas.microsoft.com/office/drawing/2014/chart" uri="{C3380CC4-5D6E-409C-BE32-E72D297353CC}">
                    <c16:uniqueId val="{0000001E-E95B-4DA6-863A-3104E93734D5}"/>
                  </c:ext>
                </c:extLst>
              </c15:ser>
            </c15:filteredLineSeries>
          </c:ext>
        </c:extLst>
      </c:lineChart>
      <c:dateAx>
        <c:axId val="2001818015"/>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2001820415"/>
        <c:crosses val="autoZero"/>
        <c:auto val="1"/>
        <c:lblOffset val="100"/>
        <c:baseTimeUnit val="months"/>
      </c:dateAx>
      <c:valAx>
        <c:axId val="2001820415"/>
        <c:scaling>
          <c:orientation val="minMax"/>
          <c:max val="125"/>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 of Activities</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001818015"/>
        <c:crosses val="autoZero"/>
        <c:crossBetween val="between"/>
        <c:majorUnit val="25"/>
      </c:valAx>
      <c:valAx>
        <c:axId val="1121471199"/>
        <c:scaling>
          <c:orientation val="minMax"/>
          <c:max val="1"/>
        </c:scaling>
        <c:delete val="0"/>
        <c:axPos val="r"/>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Schedule Execution Index</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121466879"/>
        <c:crosses val="max"/>
        <c:crossBetween val="between"/>
      </c:valAx>
      <c:catAx>
        <c:axId val="1121466879"/>
        <c:scaling>
          <c:orientation val="minMax"/>
        </c:scaling>
        <c:delete val="1"/>
        <c:axPos val="b"/>
        <c:numFmt formatCode="General" sourceLinked="1"/>
        <c:majorTickMark val="out"/>
        <c:minorTickMark val="none"/>
        <c:tickLblPos val="nextTo"/>
        <c:crossAx val="1121471199"/>
        <c:crosses val="autoZero"/>
        <c:auto val="1"/>
        <c:lblAlgn val="ctr"/>
        <c:lblOffset val="100"/>
        <c:tickLblSkip val="1"/>
        <c:tickMarkSkip val="1"/>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baseline="0"/>
              <a:t>Activity Starts - As of March 2025</a:t>
            </a:r>
            <a:endParaRPr lang="en-US" sz="1600" b="1"/>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8"/>
          <c:order val="6"/>
          <c:tx>
            <c:strRef>
              <c:f>'G2&amp;G3_BowWave_2024SEP'!$C$20</c:f>
              <c:strCache>
                <c:ptCount val="1"/>
                <c:pt idx="0">
                  <c:v>Started Delayed (&gt;60 days)</c:v>
                </c:pt>
              </c:strCache>
            </c:strRef>
          </c:tx>
          <c:spPr>
            <a:solidFill>
              <a:srgbClr val="9999FF"/>
            </a:solidFill>
            <a:ln>
              <a:noFill/>
            </a:ln>
            <a:effectLst/>
          </c:spPr>
          <c:cat>
            <c:numRef>
              <c:f>'G2&amp;G3_BowWave_2024SEP'!$D$11:$IX$11</c:f>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f>'G2&amp;G3_BowWave_2024SEP'!$D$20:$IX$20</c:f>
              <c:numCache>
                <c:formatCode>General</c:formatCode>
                <c:ptCount val="25"/>
                <c:pt idx="0">
                  <c:v>4</c:v>
                </c:pt>
                <c:pt idx="1">
                  <c:v>7</c:v>
                </c:pt>
                <c:pt idx="2">
                  <c:v>1</c:v>
                </c:pt>
                <c:pt idx="3">
                  <c:v>10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extLst>
            <c:ext xmlns:c16="http://schemas.microsoft.com/office/drawing/2014/chart" uri="{C3380CC4-5D6E-409C-BE32-E72D297353CC}">
              <c16:uniqueId val="{00000000-FFB8-41AD-92FB-67252E0988F0}"/>
            </c:ext>
          </c:extLst>
        </c:ser>
        <c:ser>
          <c:idx val="7"/>
          <c:order val="7"/>
          <c:tx>
            <c:strRef>
              <c:f>'G2&amp;G3_BowWave_2024SEP'!$C$19</c:f>
              <c:strCache>
                <c:ptCount val="1"/>
                <c:pt idx="0">
                  <c:v>Started Delayed (Between 31 to 60 days)</c:v>
                </c:pt>
              </c:strCache>
            </c:strRef>
          </c:tx>
          <c:spPr>
            <a:solidFill>
              <a:srgbClr val="FFFFCC"/>
            </a:solidFill>
            <a:ln>
              <a:noFill/>
            </a:ln>
            <a:effectLst/>
          </c:spPr>
          <c:cat>
            <c:numRef>
              <c:f>'G2&amp;G3_BowWave_2024SEP'!$D$11:$IX$11</c:f>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f>'G2&amp;G3_BowWave_2024SEP'!$D$19:$IX$19</c:f>
              <c:numCache>
                <c:formatCode>General</c:formatCode>
                <c:ptCount val="25"/>
                <c:pt idx="0">
                  <c:v>1</c:v>
                </c:pt>
                <c:pt idx="1">
                  <c:v>3</c:v>
                </c:pt>
                <c:pt idx="2">
                  <c:v>0</c:v>
                </c:pt>
                <c:pt idx="3">
                  <c:v>8</c:v>
                </c:pt>
                <c:pt idx="4">
                  <c:v>1</c:v>
                </c:pt>
                <c:pt idx="5">
                  <c:v>3</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extLst>
            <c:ext xmlns:c16="http://schemas.microsoft.com/office/drawing/2014/chart" uri="{C3380CC4-5D6E-409C-BE32-E72D297353CC}">
              <c16:uniqueId val="{00000001-FFB8-41AD-92FB-67252E0988F0}"/>
            </c:ext>
          </c:extLst>
        </c:ser>
        <c:ser>
          <c:idx val="6"/>
          <c:order val="8"/>
          <c:tx>
            <c:strRef>
              <c:f>'G2&amp;G3_BowWave_2024SEP'!$C$18</c:f>
              <c:strCache>
                <c:ptCount val="1"/>
                <c:pt idx="0">
                  <c:v>Started Delayed (&lt;=30 days)</c:v>
                </c:pt>
              </c:strCache>
            </c:strRef>
          </c:tx>
          <c:spPr>
            <a:solidFill>
              <a:srgbClr val="00FFFF"/>
            </a:solidFill>
            <a:ln>
              <a:noFill/>
            </a:ln>
            <a:effectLst/>
          </c:spPr>
          <c:cat>
            <c:numRef>
              <c:f>'G2&amp;G3_BowWave_2024SEP'!$D$11:$IX$11</c:f>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f>'G2&amp;G3_BowWave_2024SEP'!$D$18:$IX$18</c:f>
              <c:numCache>
                <c:formatCode>General</c:formatCode>
                <c:ptCount val="25"/>
                <c:pt idx="0">
                  <c:v>9</c:v>
                </c:pt>
                <c:pt idx="1">
                  <c:v>0</c:v>
                </c:pt>
                <c:pt idx="2">
                  <c:v>3</c:v>
                </c:pt>
                <c:pt idx="3">
                  <c:v>4</c:v>
                </c:pt>
                <c:pt idx="4">
                  <c:v>3</c:v>
                </c:pt>
                <c:pt idx="5">
                  <c:v>7</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extLst>
            <c:ext xmlns:c16="http://schemas.microsoft.com/office/drawing/2014/chart" uri="{C3380CC4-5D6E-409C-BE32-E72D297353CC}">
              <c16:uniqueId val="{00000002-FFB8-41AD-92FB-67252E0988F0}"/>
            </c:ext>
          </c:extLst>
        </c:ser>
        <c:dLbls>
          <c:showLegendKey val="0"/>
          <c:showVal val="0"/>
          <c:showCatName val="0"/>
          <c:showSerName val="0"/>
          <c:showPercent val="0"/>
          <c:showBubbleSize val="0"/>
        </c:dLbls>
        <c:axId val="2001818015"/>
        <c:axId val="2001820415"/>
        <c:extLst>
          <c:ext xmlns:c15="http://schemas.microsoft.com/office/drawing/2012/chart" uri="{02D57815-91ED-43cb-92C2-25804820EDAC}">
            <c15:filteredAreaSeries>
              <c15:ser>
                <c:idx val="9"/>
                <c:order val="9"/>
                <c:tx>
                  <c:strRef>
                    <c:extLst>
                      <c:ext uri="{02D57815-91ED-43cb-92C2-25804820EDAC}">
                        <c15:formulaRef>
                          <c15:sqref>'G2&amp;G3_BowWave_2024SEP'!$C$21</c15:sqref>
                        </c15:formulaRef>
                      </c:ext>
                    </c:extLst>
                    <c:strCache>
                      <c:ptCount val="1"/>
                      <c:pt idx="0">
                        <c:v>Completed Delayed (&lt;=30 days)</c:v>
                      </c:pt>
                    </c:strCache>
                  </c:strRef>
                </c:tx>
                <c:spPr>
                  <a:solidFill>
                    <a:schemeClr val="accent4">
                      <a:lumMod val="60000"/>
                    </a:schemeClr>
                  </a:solidFill>
                  <a:ln>
                    <a:noFill/>
                  </a:ln>
                  <a:effectLst/>
                </c:spPr>
                <c:cat>
                  <c:numRef>
                    <c:extLst>
                      <c:ext uri="{02D57815-91ED-43cb-92C2-25804820EDAC}">
                        <c15:formulaRef>
                          <c15:sqref>'G2&amp;G3_BowWave_2024SEP'!$D$11:$IX$11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c:ext uri="{02D57815-91ED-43cb-92C2-25804820EDAC}">
                        <c15:formulaRef>
                          <c15:sqref>'G2&amp;G3_BowWave_2024SEP'!$D$21:$IX$21</c15:sqref>
                        </c15:formulaRef>
                      </c:ext>
                    </c:extLst>
                    <c:numCache>
                      <c:formatCode>General</c:formatCode>
                      <c:ptCount val="25"/>
                      <c:pt idx="0">
                        <c:v>6</c:v>
                      </c:pt>
                      <c:pt idx="1">
                        <c:v>0</c:v>
                      </c:pt>
                      <c:pt idx="2">
                        <c:v>1</c:v>
                      </c:pt>
                      <c:pt idx="3">
                        <c:v>6</c:v>
                      </c:pt>
                      <c:pt idx="4">
                        <c:v>8</c:v>
                      </c:pt>
                      <c:pt idx="5">
                        <c:v>8</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extLst>
                  <c:ext xmlns:c16="http://schemas.microsoft.com/office/drawing/2014/chart" uri="{C3380CC4-5D6E-409C-BE32-E72D297353CC}">
                    <c16:uniqueId val="{0000002B-FFB8-41AD-92FB-67252E0988F0}"/>
                  </c:ext>
                </c:extLst>
              </c15:ser>
            </c15:filteredAreaSeries>
            <c15:filteredAreaSeries>
              <c15:ser>
                <c:idx val="10"/>
                <c:order val="10"/>
                <c:tx>
                  <c:strRef>
                    <c:extLst xmlns:c15="http://schemas.microsoft.com/office/drawing/2012/chart">
                      <c:ext xmlns:c15="http://schemas.microsoft.com/office/drawing/2012/chart" uri="{02D57815-91ED-43cb-92C2-25804820EDAC}">
                        <c15:formulaRef>
                          <c15:sqref>'G2&amp;G3_BowWave_2024SEP'!$C$22</c15:sqref>
                        </c15:formulaRef>
                      </c:ext>
                    </c:extLst>
                    <c:strCache>
                      <c:ptCount val="1"/>
                      <c:pt idx="0">
                        <c:v>Completed Delayed (Between 31 to 60 days)</c:v>
                      </c:pt>
                    </c:strCache>
                  </c:strRef>
                </c:tx>
                <c:spPr>
                  <a:solidFill>
                    <a:schemeClr val="accent5">
                      <a:lumMod val="60000"/>
                    </a:schemeClr>
                  </a:solidFill>
                  <a:ln>
                    <a:noFill/>
                  </a:ln>
                  <a:effectLst/>
                </c:spPr>
                <c:cat>
                  <c:numRef>
                    <c:extLst xmlns:c15="http://schemas.microsoft.com/office/drawing/2012/chart">
                      <c:ext xmlns:c15="http://schemas.microsoft.com/office/drawing/2012/chart" uri="{02D57815-91ED-43cb-92C2-25804820EDAC}">
                        <c15:formulaRef>
                          <c15:sqref>'G2&amp;G3_BowWave_2024SEP'!$D$11:$IX$11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'G2&amp;G3_BowWave_2024SEP'!$D$22:$IX$22</c15:sqref>
                        </c15:formulaRef>
                      </c:ext>
                    </c:extLst>
                    <c:numCache>
                      <c:formatCode>General</c:formatCode>
                      <c:ptCount val="25"/>
                      <c:pt idx="0">
                        <c:v>0</c:v>
                      </c:pt>
                      <c:pt idx="1">
                        <c:v>3</c:v>
                      </c:pt>
                      <c:pt idx="2">
                        <c:v>6</c:v>
                      </c:pt>
                      <c:pt idx="3">
                        <c:v>7</c:v>
                      </c:pt>
                      <c:pt idx="4">
                        <c:v>3</c:v>
                      </c:pt>
                      <c:pt idx="5">
                        <c:v>3</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extLst xmlns:c15="http://schemas.microsoft.com/office/drawing/2012/chart">
                  <c:ext xmlns:c16="http://schemas.microsoft.com/office/drawing/2014/chart" uri="{C3380CC4-5D6E-409C-BE32-E72D297353CC}">
                    <c16:uniqueId val="{0000002C-FFB8-41AD-92FB-67252E0988F0}"/>
                  </c:ext>
                </c:extLst>
              </c15:ser>
            </c15:filteredAreaSeries>
            <c15:filteredAreaSeries>
              <c15:ser>
                <c:idx val="11"/>
                <c:order val="11"/>
                <c:tx>
                  <c:strRef>
                    <c:extLst xmlns:c15="http://schemas.microsoft.com/office/drawing/2012/chart">
                      <c:ext xmlns:c15="http://schemas.microsoft.com/office/drawing/2012/chart" uri="{02D57815-91ED-43cb-92C2-25804820EDAC}">
                        <c15:formulaRef>
                          <c15:sqref>'G2&amp;G3_BowWave_2024SEP'!$C$23</c15:sqref>
                        </c15:formulaRef>
                      </c:ext>
                    </c:extLst>
                    <c:strCache>
                      <c:ptCount val="1"/>
                      <c:pt idx="0">
                        <c:v>Completed Delayed (&gt;60 days)</c:v>
                      </c:pt>
                    </c:strCache>
                  </c:strRef>
                </c:tx>
                <c:spPr>
                  <a:solidFill>
                    <a:schemeClr val="accent6">
                      <a:lumMod val="60000"/>
                    </a:schemeClr>
                  </a:solidFill>
                  <a:ln>
                    <a:noFill/>
                  </a:ln>
                  <a:effectLst/>
                </c:spPr>
                <c:cat>
                  <c:numRef>
                    <c:extLst xmlns:c15="http://schemas.microsoft.com/office/drawing/2012/chart">
                      <c:ext xmlns:c15="http://schemas.microsoft.com/office/drawing/2012/chart" uri="{02D57815-91ED-43cb-92C2-25804820EDAC}">
                        <c15:formulaRef>
                          <c15:sqref>'G2&amp;G3_BowWave_2024SEP'!$D$11:$IX$11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'G2&amp;G3_BowWave_2024SEP'!$D$23:$IX$23</c15:sqref>
                        </c15:formulaRef>
                      </c:ext>
                    </c:extLst>
                    <c:numCache>
                      <c:formatCode>General</c:formatCode>
                      <c:ptCount val="25"/>
                      <c:pt idx="0">
                        <c:v>6</c:v>
                      </c:pt>
                      <c:pt idx="1">
                        <c:v>7</c:v>
                      </c:pt>
                      <c:pt idx="2">
                        <c:v>1</c:v>
                      </c:pt>
                      <c:pt idx="3">
                        <c:v>8</c:v>
                      </c:pt>
                      <c:pt idx="4">
                        <c:v>2</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extLst xmlns:c15="http://schemas.microsoft.com/office/drawing/2012/chart">
                  <c:ext xmlns:c16="http://schemas.microsoft.com/office/drawing/2014/chart" uri="{C3380CC4-5D6E-409C-BE32-E72D297353CC}">
                    <c16:uniqueId val="{0000002D-FFB8-41AD-92FB-67252E0988F0}"/>
                  </c:ext>
                </c:extLst>
              </c15:ser>
            </c15:filteredAreaSeries>
          </c:ext>
        </c:extLst>
      </c:areaChart>
      <c:barChart>
        <c:barDir val="col"/>
        <c:grouping val="clustered"/>
        <c:varyColors val="0"/>
        <c:ser>
          <c:idx val="0"/>
          <c:order val="0"/>
          <c:tx>
            <c:strRef>
              <c:f>'G2&amp;G3_BowWave_2024SEP'!$C$12</c:f>
              <c:strCache>
                <c:ptCount val="1"/>
                <c:pt idx="0">
                  <c:v>Baselined to Start</c:v>
                </c:pt>
              </c:strCache>
            </c:strRef>
          </c:tx>
          <c:spPr>
            <a:solidFill>
              <a:schemeClr val="bg2">
                <a:lumMod val="50000"/>
              </a:schemeClr>
            </a:solidFill>
            <a:ln>
              <a:solidFill>
                <a:schemeClr val="tx1"/>
              </a:solidFill>
            </a:ln>
            <a:effectLst/>
          </c:spPr>
          <c:invertIfNegative val="0"/>
          <c:cat>
            <c:numRef>
              <c:f>'G2&amp;G3_BowWave_2024SEP'!$D$11:$IX$11</c:f>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f>'G2&amp;G3_BowWave_2024SEP'!$D$12:$IX$12</c:f>
              <c:numCache>
                <c:formatCode>General</c:formatCode>
                <c:ptCount val="25"/>
                <c:pt idx="0">
                  <c:v>75</c:v>
                </c:pt>
                <c:pt idx="1">
                  <c:v>47</c:v>
                </c:pt>
                <c:pt idx="2">
                  <c:v>46</c:v>
                </c:pt>
                <c:pt idx="3">
                  <c:v>89</c:v>
                </c:pt>
                <c:pt idx="4">
                  <c:v>81</c:v>
                </c:pt>
                <c:pt idx="5">
                  <c:v>90</c:v>
                </c:pt>
                <c:pt idx="6">
                  <c:v>39</c:v>
                </c:pt>
                <c:pt idx="7">
                  <c:v>87</c:v>
                </c:pt>
                <c:pt idx="8">
                  <c:v>52</c:v>
                </c:pt>
                <c:pt idx="9">
                  <c:v>52</c:v>
                </c:pt>
                <c:pt idx="10">
                  <c:v>35</c:v>
                </c:pt>
                <c:pt idx="11">
                  <c:v>10</c:v>
                </c:pt>
                <c:pt idx="12">
                  <c:v>30</c:v>
                </c:pt>
                <c:pt idx="13">
                  <c:v>26</c:v>
                </c:pt>
                <c:pt idx="14">
                  <c:v>8</c:v>
                </c:pt>
                <c:pt idx="15">
                  <c:v>7</c:v>
                </c:pt>
                <c:pt idx="16">
                  <c:v>1</c:v>
                </c:pt>
                <c:pt idx="17">
                  <c:v>1</c:v>
                </c:pt>
                <c:pt idx="18">
                  <c:v>1</c:v>
                </c:pt>
                <c:pt idx="19">
                  <c:v>1</c:v>
                </c:pt>
                <c:pt idx="20">
                  <c:v>4</c:v>
                </c:pt>
                <c:pt idx="21">
                  <c:v>5</c:v>
                </c:pt>
                <c:pt idx="22">
                  <c:v>1</c:v>
                </c:pt>
                <c:pt idx="23">
                  <c:v>1</c:v>
                </c:pt>
                <c:pt idx="24">
                  <c:v>0</c:v>
                </c:pt>
              </c:numCache>
            </c:numRef>
          </c:val>
          <c:extLst>
            <c:ext xmlns:c16="http://schemas.microsoft.com/office/drawing/2014/chart" uri="{C3380CC4-5D6E-409C-BE32-E72D297353CC}">
              <c16:uniqueId val="{00000003-FFB8-41AD-92FB-67252E0988F0}"/>
            </c:ext>
          </c:extLst>
        </c:ser>
        <c:ser>
          <c:idx val="1"/>
          <c:order val="1"/>
          <c:tx>
            <c:strRef>
              <c:f>'G2&amp;G3_BowWave_2024SEP'!$C$13</c:f>
              <c:strCache>
                <c:ptCount val="1"/>
                <c:pt idx="0">
                  <c:v>Scheduled to Start</c:v>
                </c:pt>
              </c:strCache>
            </c:strRef>
          </c:tx>
          <c:spPr>
            <a:solidFill>
              <a:srgbClr val="FFC000"/>
            </a:solidFill>
            <a:ln>
              <a:solidFill>
                <a:schemeClr val="accent2"/>
              </a:solidFill>
            </a:ln>
            <a:effectLst/>
          </c:spPr>
          <c:invertIfNegative val="0"/>
          <c:cat>
            <c:numRef>
              <c:f>'G2&amp;G3_BowWave_2024SEP'!$D$11:$IX$11</c:f>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f>'G2&amp;G3_BowWave_2024SEP'!$D$13:$IX$13</c:f>
              <c:numCache>
                <c:formatCode>General</c:formatCode>
                <c:ptCount val="25"/>
                <c:pt idx="0">
                  <c:v>61</c:v>
                </c:pt>
                <c:pt idx="1">
                  <c:v>59</c:v>
                </c:pt>
                <c:pt idx="2">
                  <c:v>40</c:v>
                </c:pt>
                <c:pt idx="3">
                  <c:v>49</c:v>
                </c:pt>
                <c:pt idx="4">
                  <c:v>46</c:v>
                </c:pt>
                <c:pt idx="5">
                  <c:v>35</c:v>
                </c:pt>
                <c:pt idx="6">
                  <c:v>25</c:v>
                </c:pt>
                <c:pt idx="7">
                  <c:v>70</c:v>
                </c:pt>
                <c:pt idx="8">
                  <c:v>63</c:v>
                </c:pt>
                <c:pt idx="9">
                  <c:v>71</c:v>
                </c:pt>
                <c:pt idx="10">
                  <c:v>80</c:v>
                </c:pt>
                <c:pt idx="11">
                  <c:v>59</c:v>
                </c:pt>
                <c:pt idx="12">
                  <c:v>51</c:v>
                </c:pt>
                <c:pt idx="13">
                  <c:v>69</c:v>
                </c:pt>
                <c:pt idx="14">
                  <c:v>37</c:v>
                </c:pt>
                <c:pt idx="15">
                  <c:v>43</c:v>
                </c:pt>
                <c:pt idx="16">
                  <c:v>18</c:v>
                </c:pt>
                <c:pt idx="17">
                  <c:v>9</c:v>
                </c:pt>
                <c:pt idx="18">
                  <c:v>1</c:v>
                </c:pt>
                <c:pt idx="19">
                  <c:v>1</c:v>
                </c:pt>
                <c:pt idx="20">
                  <c:v>11</c:v>
                </c:pt>
                <c:pt idx="21">
                  <c:v>12</c:v>
                </c:pt>
                <c:pt idx="22">
                  <c:v>10</c:v>
                </c:pt>
                <c:pt idx="23">
                  <c:v>7</c:v>
                </c:pt>
                <c:pt idx="24">
                  <c:v>21</c:v>
                </c:pt>
              </c:numCache>
            </c:numRef>
          </c:val>
          <c:extLst>
            <c:ext xmlns:c16="http://schemas.microsoft.com/office/drawing/2014/chart" uri="{C3380CC4-5D6E-409C-BE32-E72D297353CC}">
              <c16:uniqueId val="{00000004-FFB8-41AD-92FB-67252E0988F0}"/>
            </c:ext>
          </c:extLst>
        </c:ser>
        <c:ser>
          <c:idx val="21"/>
          <c:order val="2"/>
          <c:tx>
            <c:strRef>
              <c:f>'G2&amp;G3_BowWave_2024SEP'!$C$14</c:f>
              <c:strCache>
                <c:ptCount val="1"/>
                <c:pt idx="0">
                  <c:v>Actual Starts</c:v>
                </c:pt>
              </c:strCache>
            </c:strRef>
          </c:tx>
          <c:spPr>
            <a:solidFill>
              <a:srgbClr val="92D050"/>
            </a:solidFill>
            <a:ln>
              <a:solidFill>
                <a:schemeClr val="accent6">
                  <a:lumMod val="75000"/>
                </a:schemeClr>
              </a:solidFill>
            </a:ln>
            <a:effectLst/>
          </c:spPr>
          <c:invertIfNegative val="0"/>
          <c:cat>
            <c:numRef>
              <c:f>'G2&amp;G3_BowWave_2024SEP'!$D$11:$IX$11</c:f>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f>'G2&amp;G3_BowWave_2024SEP'!$D$14:$IX$14</c:f>
              <c:numCache>
                <c:formatCode>General</c:formatCode>
                <c:ptCount val="25"/>
                <c:pt idx="0">
                  <c:v>61</c:v>
                </c:pt>
                <c:pt idx="1">
                  <c:v>59</c:v>
                </c:pt>
                <c:pt idx="2">
                  <c:v>40</c:v>
                </c:pt>
                <c:pt idx="3">
                  <c:v>49</c:v>
                </c:pt>
                <c:pt idx="4">
                  <c:v>46</c:v>
                </c:pt>
                <c:pt idx="5">
                  <c:v>35</c:v>
                </c:pt>
                <c:pt idx="6">
                  <c:v>18</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extLst>
            <c:ext xmlns:c16="http://schemas.microsoft.com/office/drawing/2014/chart" uri="{C3380CC4-5D6E-409C-BE32-E72D297353CC}">
              <c16:uniqueId val="{00000005-FFB8-41AD-92FB-67252E0988F0}"/>
            </c:ext>
          </c:extLst>
        </c:ser>
        <c:ser>
          <c:idx val="18"/>
          <c:order val="18"/>
          <c:tx>
            <c:strRef>
              <c:f>'G2&amp;G3_BowWave_2024SEP'!$C$30</c:f>
              <c:strCache>
                <c:ptCount val="1"/>
                <c:pt idx="0">
                  <c:v>Status Date (6-mo interval)</c:v>
                </c:pt>
              </c:strCache>
            </c:strRef>
          </c:tx>
          <c:spPr>
            <a:noFill/>
            <a:ln w="19050">
              <a:solidFill>
                <a:schemeClr val="accent1"/>
              </a:solidFill>
              <a:prstDash val="dash"/>
            </a:ln>
            <a:effectLst/>
          </c:spPr>
          <c:invertIfNegative val="0"/>
          <c:dPt>
            <c:idx val="0"/>
            <c:invertIfNegative val="0"/>
            <c:bubble3D val="0"/>
            <c:spPr>
              <a:noFill/>
              <a:ln w="19050">
                <a:solidFill>
                  <a:srgbClr val="002060"/>
                </a:solidFill>
                <a:prstDash val="dash"/>
              </a:ln>
              <a:effectLst/>
            </c:spPr>
            <c:extLst>
              <c:ext xmlns:c16="http://schemas.microsoft.com/office/drawing/2014/chart" uri="{C3380CC4-5D6E-409C-BE32-E72D297353CC}">
                <c16:uniqueId val="{00000007-FFB8-41AD-92FB-67252E0988F0}"/>
              </c:ext>
            </c:extLst>
          </c:dPt>
          <c:dPt>
            <c:idx val="6"/>
            <c:invertIfNegative val="0"/>
            <c:bubble3D val="0"/>
            <c:spPr>
              <a:noFill/>
              <a:ln w="19050">
                <a:solidFill>
                  <a:srgbClr val="FF0000"/>
                </a:solidFill>
                <a:prstDash val="dash"/>
              </a:ln>
              <a:effectLst/>
            </c:spPr>
            <c:extLst>
              <c:ext xmlns:c16="http://schemas.microsoft.com/office/drawing/2014/chart" uri="{C3380CC4-5D6E-409C-BE32-E72D297353CC}">
                <c16:uniqueId val="{00000009-FFB8-41AD-92FB-67252E0988F0}"/>
              </c:ext>
            </c:extLst>
          </c:dPt>
          <c:dPt>
            <c:idx val="12"/>
            <c:invertIfNegative val="0"/>
            <c:bubble3D val="0"/>
            <c:spPr>
              <a:noFill/>
              <a:ln w="19050">
                <a:solidFill>
                  <a:srgbClr val="002060"/>
                </a:solidFill>
                <a:prstDash val="dash"/>
              </a:ln>
              <a:effectLst/>
            </c:spPr>
            <c:extLst>
              <c:ext xmlns:c16="http://schemas.microsoft.com/office/drawing/2014/chart" uri="{C3380CC4-5D6E-409C-BE32-E72D297353CC}">
                <c16:uniqueId val="{0000000B-FFB8-41AD-92FB-67252E0988F0}"/>
              </c:ext>
            </c:extLst>
          </c:dPt>
          <c:dPt>
            <c:idx val="18"/>
            <c:invertIfNegative val="0"/>
            <c:bubble3D val="0"/>
            <c:spPr>
              <a:noFill/>
              <a:ln w="19050">
                <a:solidFill>
                  <a:srgbClr val="FF0000"/>
                </a:solidFill>
                <a:prstDash val="dash"/>
              </a:ln>
              <a:effectLst/>
            </c:spPr>
            <c:extLst>
              <c:ext xmlns:c16="http://schemas.microsoft.com/office/drawing/2014/chart" uri="{C3380CC4-5D6E-409C-BE32-E72D297353CC}">
                <c16:uniqueId val="{0000000D-FFB8-41AD-92FB-67252E0988F0}"/>
              </c:ext>
            </c:extLst>
          </c:dPt>
          <c:dPt>
            <c:idx val="32"/>
            <c:invertIfNegative val="0"/>
            <c:bubble3D val="0"/>
            <c:spPr>
              <a:noFill/>
              <a:ln w="19050">
                <a:solidFill>
                  <a:srgbClr val="FF0000"/>
                </a:solidFill>
                <a:prstDash val="dash"/>
              </a:ln>
              <a:effectLst/>
            </c:spPr>
            <c:extLst>
              <c:ext xmlns:c16="http://schemas.microsoft.com/office/drawing/2014/chart" uri="{C3380CC4-5D6E-409C-BE32-E72D297353CC}">
                <c16:uniqueId val="{0000000F-FFB8-41AD-92FB-67252E0988F0}"/>
              </c:ext>
            </c:extLst>
          </c:dPt>
          <c:dPt>
            <c:idx val="35"/>
            <c:invertIfNegative val="0"/>
            <c:bubble3D val="0"/>
            <c:spPr>
              <a:noFill/>
              <a:ln w="19050">
                <a:solidFill>
                  <a:srgbClr val="FF0000"/>
                </a:solidFill>
                <a:prstDash val="dash"/>
              </a:ln>
              <a:effectLst/>
            </c:spPr>
            <c:extLst>
              <c:ext xmlns:c16="http://schemas.microsoft.com/office/drawing/2014/chart" uri="{C3380CC4-5D6E-409C-BE32-E72D297353CC}">
                <c16:uniqueId val="{00000011-FFB8-41AD-92FB-67252E0988F0}"/>
              </c:ext>
            </c:extLst>
          </c:dPt>
          <c:dPt>
            <c:idx val="44"/>
            <c:invertIfNegative val="0"/>
            <c:bubble3D val="0"/>
            <c:spPr>
              <a:noFill/>
              <a:ln w="19050">
                <a:solidFill>
                  <a:srgbClr val="002060"/>
                </a:solidFill>
                <a:prstDash val="dash"/>
              </a:ln>
              <a:effectLst/>
            </c:spPr>
            <c:extLst>
              <c:ext xmlns:c16="http://schemas.microsoft.com/office/drawing/2014/chart" uri="{C3380CC4-5D6E-409C-BE32-E72D297353CC}">
                <c16:uniqueId val="{00000013-FFB8-41AD-92FB-67252E0988F0}"/>
              </c:ext>
            </c:extLst>
          </c:dPt>
          <c:dPt>
            <c:idx val="50"/>
            <c:invertIfNegative val="0"/>
            <c:bubble3D val="0"/>
            <c:spPr>
              <a:noFill/>
              <a:ln w="19050">
                <a:solidFill>
                  <a:srgbClr val="CC3300"/>
                </a:solidFill>
                <a:prstDash val="dash"/>
              </a:ln>
              <a:effectLst/>
            </c:spPr>
            <c:extLst>
              <c:ext xmlns:c16="http://schemas.microsoft.com/office/drawing/2014/chart" uri="{C3380CC4-5D6E-409C-BE32-E72D297353CC}">
                <c16:uniqueId val="{00000015-FFB8-41AD-92FB-67252E0988F0}"/>
              </c:ext>
            </c:extLst>
          </c:dPt>
          <c:dPt>
            <c:idx val="56"/>
            <c:invertIfNegative val="0"/>
            <c:bubble3D val="0"/>
            <c:spPr>
              <a:noFill/>
              <a:ln w="19050">
                <a:solidFill>
                  <a:srgbClr val="002060"/>
                </a:solidFill>
                <a:prstDash val="dash"/>
              </a:ln>
              <a:effectLst/>
            </c:spPr>
            <c:extLst>
              <c:ext xmlns:c16="http://schemas.microsoft.com/office/drawing/2014/chart" uri="{C3380CC4-5D6E-409C-BE32-E72D297353CC}">
                <c16:uniqueId val="{00000017-FFB8-41AD-92FB-67252E0988F0}"/>
              </c:ext>
            </c:extLst>
          </c:dPt>
          <c:dPt>
            <c:idx val="86"/>
            <c:invertIfNegative val="0"/>
            <c:bubble3D val="0"/>
            <c:spPr>
              <a:noFill/>
              <a:ln w="19050">
                <a:solidFill>
                  <a:srgbClr val="FF0000"/>
                </a:solidFill>
                <a:prstDash val="dash"/>
              </a:ln>
              <a:effectLst/>
            </c:spPr>
            <c:extLst>
              <c:ext xmlns:c16="http://schemas.microsoft.com/office/drawing/2014/chart" uri="{C3380CC4-5D6E-409C-BE32-E72D297353CC}">
                <c16:uniqueId val="{00000019-FFB8-41AD-92FB-67252E0988F0}"/>
              </c:ext>
            </c:extLst>
          </c:dPt>
          <c:cat>
            <c:numRef>
              <c:f>'G2&amp;G3_BowWave_2024SEP'!$D$11:$IX$11</c:f>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f>'G2&amp;G3_BowWave_2024SEP'!$D$30:$IX$30</c:f>
              <c:numCache>
                <c:formatCode>General</c:formatCode>
                <c:ptCount val="25"/>
                <c:pt idx="0">
                  <c:v>125</c:v>
                </c:pt>
                <c:pt idx="6">
                  <c:v>125</c:v>
                </c:pt>
                <c:pt idx="12">
                  <c:v>125</c:v>
                </c:pt>
              </c:numCache>
            </c:numRef>
          </c:val>
          <c:extLst>
            <c:ext xmlns:c16="http://schemas.microsoft.com/office/drawing/2014/chart" uri="{C3380CC4-5D6E-409C-BE32-E72D297353CC}">
              <c16:uniqueId val="{0000001A-FFB8-41AD-92FB-67252E0988F0}"/>
            </c:ext>
          </c:extLst>
        </c:ser>
        <c:dLbls>
          <c:showLegendKey val="0"/>
          <c:showVal val="0"/>
          <c:showCatName val="0"/>
          <c:showSerName val="0"/>
          <c:showPercent val="0"/>
          <c:showBubbleSize val="0"/>
        </c:dLbls>
        <c:gapWidth val="150"/>
        <c:axId val="2001818015"/>
        <c:axId val="2001820415"/>
        <c:extLst>
          <c:ext xmlns:c15="http://schemas.microsoft.com/office/drawing/2012/chart" uri="{02D57815-91ED-43cb-92C2-25804820EDAC}">
            <c15:filteredBarSeries>
              <c15:ser>
                <c:idx val="3"/>
                <c:order val="3"/>
                <c:tx>
                  <c:strRef>
                    <c:extLst>
                      <c:ext uri="{02D57815-91ED-43cb-92C2-25804820EDAC}">
                        <c15:formulaRef>
                          <c15:sqref>'G2&amp;G3_BowWave_2024SEP'!$C$15</c15:sqref>
                        </c15:formulaRef>
                      </c:ext>
                    </c:extLst>
                    <c:strCache>
                      <c:ptCount val="1"/>
                      <c:pt idx="0">
                        <c:v>Baselined to Finish</c:v>
                      </c:pt>
                    </c:strCache>
                  </c:strRef>
                </c:tx>
                <c:spPr>
                  <a:solidFill>
                    <a:schemeClr val="accent4"/>
                  </a:solidFill>
                  <a:ln>
                    <a:noFill/>
                  </a:ln>
                  <a:effectLst/>
                </c:spPr>
                <c:invertIfNegative val="0"/>
                <c:cat>
                  <c:numRef>
                    <c:extLst>
                      <c:ext uri="{02D57815-91ED-43cb-92C2-25804820EDAC}">
                        <c15:formulaRef>
                          <c15:sqref>'G2&amp;G3_BowWave_2024SEP'!$D$11:$IX$11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c:ext uri="{02D57815-91ED-43cb-92C2-25804820EDAC}">
                        <c15:formulaRef>
                          <c15:sqref>'G2&amp;G3_BowWave_2024SEP'!$D$15:$IX$15</c15:sqref>
                        </c15:formulaRef>
                      </c:ext>
                    </c:extLst>
                    <c:numCache>
                      <c:formatCode>General</c:formatCode>
                      <c:ptCount val="25"/>
                      <c:pt idx="0">
                        <c:v>64</c:v>
                      </c:pt>
                      <c:pt idx="1">
                        <c:v>49</c:v>
                      </c:pt>
                      <c:pt idx="2">
                        <c:v>56</c:v>
                      </c:pt>
                      <c:pt idx="3">
                        <c:v>80</c:v>
                      </c:pt>
                      <c:pt idx="4">
                        <c:v>79</c:v>
                      </c:pt>
                      <c:pt idx="5">
                        <c:v>107</c:v>
                      </c:pt>
                      <c:pt idx="6">
                        <c:v>60</c:v>
                      </c:pt>
                      <c:pt idx="7">
                        <c:v>92</c:v>
                      </c:pt>
                      <c:pt idx="8">
                        <c:v>46</c:v>
                      </c:pt>
                      <c:pt idx="9">
                        <c:v>49</c:v>
                      </c:pt>
                      <c:pt idx="10">
                        <c:v>38</c:v>
                      </c:pt>
                      <c:pt idx="11">
                        <c:v>16</c:v>
                      </c:pt>
                      <c:pt idx="12">
                        <c:v>29</c:v>
                      </c:pt>
                      <c:pt idx="13">
                        <c:v>25</c:v>
                      </c:pt>
                      <c:pt idx="14">
                        <c:v>12</c:v>
                      </c:pt>
                      <c:pt idx="15">
                        <c:v>8</c:v>
                      </c:pt>
                      <c:pt idx="16">
                        <c:v>2</c:v>
                      </c:pt>
                      <c:pt idx="17">
                        <c:v>1</c:v>
                      </c:pt>
                      <c:pt idx="18">
                        <c:v>2</c:v>
                      </c:pt>
                      <c:pt idx="19">
                        <c:v>2</c:v>
                      </c:pt>
                      <c:pt idx="20">
                        <c:v>2</c:v>
                      </c:pt>
                      <c:pt idx="21">
                        <c:v>5</c:v>
                      </c:pt>
                      <c:pt idx="22">
                        <c:v>3</c:v>
                      </c:pt>
                      <c:pt idx="23">
                        <c:v>1</c:v>
                      </c:pt>
                      <c:pt idx="24">
                        <c:v>0</c:v>
                      </c:pt>
                    </c:numCache>
                  </c:numRef>
                </c:val>
                <c:extLst>
                  <c:ext xmlns:c16="http://schemas.microsoft.com/office/drawing/2014/chart" uri="{C3380CC4-5D6E-409C-BE32-E72D297353CC}">
                    <c16:uniqueId val="{00000025-FFB8-41AD-92FB-67252E0988F0}"/>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'G2&amp;G3_BowWave_2024SEP'!$C$16</c15:sqref>
                        </c15:formulaRef>
                      </c:ext>
                    </c:extLst>
                    <c:strCache>
                      <c:ptCount val="1"/>
                      <c:pt idx="0">
                        <c:v>Scheduled to Finish</c:v>
                      </c:pt>
                    </c:strCache>
                  </c:strRef>
                </c:tx>
                <c:spPr>
                  <a:solidFill>
                    <a:schemeClr val="accent5"/>
                  </a:solidFill>
                  <a:ln>
                    <a:noFill/>
                  </a:ln>
                  <a:effectLst/>
                </c:spPr>
                <c:invertIfNegative val="0"/>
                <c:cat>
                  <c:numRef>
                    <c:extLst xmlns:c15="http://schemas.microsoft.com/office/drawing/2012/chart">
                      <c:ext xmlns:c15="http://schemas.microsoft.com/office/drawing/2012/chart" uri="{02D57815-91ED-43cb-92C2-25804820EDAC}">
                        <c15:formulaRef>
                          <c15:sqref>'G2&amp;G3_BowWave_2024SEP'!$D$11:$IX$11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'G2&amp;G3_BowWave_2024SEP'!$D$16:$IX$16</c15:sqref>
                        </c15:formulaRef>
                      </c:ext>
                    </c:extLst>
                    <c:numCache>
                      <c:formatCode>General</c:formatCode>
                      <c:ptCount val="25"/>
                      <c:pt idx="0">
                        <c:v>70</c:v>
                      </c:pt>
                      <c:pt idx="1">
                        <c:v>56</c:v>
                      </c:pt>
                      <c:pt idx="2">
                        <c:v>43</c:v>
                      </c:pt>
                      <c:pt idx="3">
                        <c:v>47</c:v>
                      </c:pt>
                      <c:pt idx="4">
                        <c:v>42</c:v>
                      </c:pt>
                      <c:pt idx="5">
                        <c:v>50</c:v>
                      </c:pt>
                      <c:pt idx="6">
                        <c:v>31</c:v>
                      </c:pt>
                      <c:pt idx="7">
                        <c:v>69</c:v>
                      </c:pt>
                      <c:pt idx="8">
                        <c:v>63</c:v>
                      </c:pt>
                      <c:pt idx="9">
                        <c:v>79</c:v>
                      </c:pt>
                      <c:pt idx="10">
                        <c:v>89</c:v>
                      </c:pt>
                      <c:pt idx="11">
                        <c:v>59</c:v>
                      </c:pt>
                      <c:pt idx="12">
                        <c:v>55</c:v>
                      </c:pt>
                      <c:pt idx="13">
                        <c:v>70</c:v>
                      </c:pt>
                      <c:pt idx="14">
                        <c:v>49</c:v>
                      </c:pt>
                      <c:pt idx="15">
                        <c:v>45</c:v>
                      </c:pt>
                      <c:pt idx="16">
                        <c:v>22</c:v>
                      </c:pt>
                      <c:pt idx="17">
                        <c:v>11</c:v>
                      </c:pt>
                      <c:pt idx="18">
                        <c:v>2</c:v>
                      </c:pt>
                      <c:pt idx="19">
                        <c:v>1</c:v>
                      </c:pt>
                      <c:pt idx="20">
                        <c:v>10</c:v>
                      </c:pt>
                      <c:pt idx="21">
                        <c:v>9</c:v>
                      </c:pt>
                      <c:pt idx="22">
                        <c:v>13</c:v>
                      </c:pt>
                      <c:pt idx="23">
                        <c:v>8</c:v>
                      </c:pt>
                      <c:pt idx="24">
                        <c:v>19</c:v>
                      </c:pt>
                    </c:numCache>
                  </c:numRef>
                </c:val>
                <c:extLst xmlns:c15="http://schemas.microsoft.com/office/drawing/2012/chart">
                  <c:ext xmlns:c16="http://schemas.microsoft.com/office/drawing/2014/chart" uri="{C3380CC4-5D6E-409C-BE32-E72D297353CC}">
                    <c16:uniqueId val="{00000026-FFB8-41AD-92FB-67252E0988F0}"/>
                  </c:ext>
                </c:extLst>
              </c15:ser>
            </c15:filteredBarSeries>
            <c15:filteredBarSeries>
              <c15:ser>
                <c:idx val="22"/>
                <c:order val="5"/>
                <c:tx>
                  <c:strRef>
                    <c:extLst xmlns:c15="http://schemas.microsoft.com/office/drawing/2012/chart">
                      <c:ext xmlns:c15="http://schemas.microsoft.com/office/drawing/2012/chart" uri="{02D57815-91ED-43cb-92C2-25804820EDAC}">
                        <c15:formulaRef>
                          <c15:sqref>'G2&amp;G3_BowWave_2024SEP'!$C$17</c15:sqref>
                        </c15:formulaRef>
                      </c:ext>
                    </c:extLst>
                    <c:strCache>
                      <c:ptCount val="1"/>
                      <c:pt idx="0">
                        <c:v>Actual Finishes</c:v>
                      </c:pt>
                    </c:strCache>
                  </c:strRef>
                </c:tx>
                <c:spPr>
                  <a:solidFill>
                    <a:schemeClr val="accent5">
                      <a:lumMod val="80000"/>
                    </a:schemeClr>
                  </a:solidFill>
                  <a:ln>
                    <a:noFill/>
                  </a:ln>
                  <a:effectLst/>
                </c:spPr>
                <c:invertIfNegative val="0"/>
                <c:cat>
                  <c:numRef>
                    <c:extLst xmlns:c15="http://schemas.microsoft.com/office/drawing/2012/chart">
                      <c:ext xmlns:c15="http://schemas.microsoft.com/office/drawing/2012/chart" uri="{02D57815-91ED-43cb-92C2-25804820EDAC}">
                        <c15:formulaRef>
                          <c15:sqref>'G2&amp;G3_BowWave_2024SEP'!$D$11:$IX$11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'G2&amp;G3_BowWave_2024SEP'!$D$17:$IX$17</c15:sqref>
                        </c15:formulaRef>
                      </c:ext>
                    </c:extLst>
                    <c:numCache>
                      <c:formatCode>General</c:formatCode>
                      <c:ptCount val="25"/>
                      <c:pt idx="0">
                        <c:v>70</c:v>
                      </c:pt>
                      <c:pt idx="1">
                        <c:v>56</c:v>
                      </c:pt>
                      <c:pt idx="2">
                        <c:v>43</c:v>
                      </c:pt>
                      <c:pt idx="3">
                        <c:v>47</c:v>
                      </c:pt>
                      <c:pt idx="4">
                        <c:v>42</c:v>
                      </c:pt>
                      <c:pt idx="5">
                        <c:v>50</c:v>
                      </c:pt>
                      <c:pt idx="6">
                        <c:v>29</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extLst xmlns:c15="http://schemas.microsoft.com/office/drawing/2012/chart">
                  <c:ext xmlns:c16="http://schemas.microsoft.com/office/drawing/2014/chart" uri="{C3380CC4-5D6E-409C-BE32-E72D297353CC}">
                    <c16:uniqueId val="{00000027-FFB8-41AD-92FB-67252E0988F0}"/>
                  </c:ext>
                </c:extLst>
              </c15:ser>
            </c15:filteredBarSeries>
          </c:ext>
        </c:extLst>
      </c:barChart>
      <c:lineChart>
        <c:grouping val="standard"/>
        <c:varyColors val="0"/>
        <c:ser>
          <c:idx val="12"/>
          <c:order val="12"/>
          <c:tx>
            <c:strRef>
              <c:f>'G2&amp;G3_BowWave_2024SEP'!$C$24</c:f>
              <c:strCache>
                <c:ptCount val="1"/>
                <c:pt idx="0">
                  <c:v>BEI - Starts</c:v>
                </c:pt>
              </c:strCache>
            </c:strRef>
          </c:tx>
          <c:spPr>
            <a:ln w="28575" cap="rnd">
              <a:solidFill>
                <a:schemeClr val="accent2"/>
              </a:solidFill>
              <a:round/>
            </a:ln>
            <a:effectLst/>
          </c:spPr>
          <c:marker>
            <c:symbol val="circle"/>
            <c:size val="5"/>
            <c:spPr>
              <a:solidFill>
                <a:schemeClr val="accent2"/>
              </a:solidFill>
              <a:ln w="9525">
                <a:solidFill>
                  <a:schemeClr val="tx1"/>
                </a:solidFill>
              </a:ln>
              <a:effectLst/>
            </c:spPr>
          </c:marker>
          <c:cat>
            <c:numRef>
              <c:f>'G2&amp;G3_BowWave_2024SEP'!$D$11:$IX$11</c:f>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f>'G2&amp;G3_BowWave_2024SEP'!$D$24:$IX$24</c:f>
              <c:numCache>
                <c:formatCode>General</c:formatCode>
                <c:ptCount val="25"/>
                <c:pt idx="6">
                  <c:v>0.87</c:v>
                </c:pt>
                <c:pt idx="7">
                  <c:v>0.85</c:v>
                </c:pt>
                <c:pt idx="8">
                  <c:v>0.85</c:v>
                </c:pt>
                <c:pt idx="9">
                  <c:v>0.85</c:v>
                </c:pt>
                <c:pt idx="10">
                  <c:v>0.86</c:v>
                </c:pt>
                <c:pt idx="11">
                  <c:v>0.87</c:v>
                </c:pt>
                <c:pt idx="12">
                  <c:v>0.88</c:v>
                </c:pt>
              </c:numCache>
            </c:numRef>
          </c:val>
          <c:smooth val="0"/>
          <c:extLst xmlns:c15="http://schemas.microsoft.com/office/drawing/2012/chart">
            <c:ext xmlns:c16="http://schemas.microsoft.com/office/drawing/2014/chart" uri="{C3380CC4-5D6E-409C-BE32-E72D297353CC}">
              <c16:uniqueId val="{0000001B-FFB8-41AD-92FB-67252E0988F0}"/>
            </c:ext>
          </c:extLst>
        </c:ser>
        <c:ser>
          <c:idx val="14"/>
          <c:order val="14"/>
          <c:tx>
            <c:strRef>
              <c:f>'G2&amp;G3_BowWave_2024SEP'!$C$26</c:f>
              <c:strCache>
                <c:ptCount val="1"/>
                <c:pt idx="0">
                  <c:v>HMI - Starts</c:v>
                </c:pt>
              </c:strCache>
            </c:strRef>
          </c:tx>
          <c:spPr>
            <a:ln w="28575" cap="rnd">
              <a:solidFill>
                <a:schemeClr val="accent1"/>
              </a:solidFill>
              <a:round/>
            </a:ln>
            <a:effectLst/>
          </c:spPr>
          <c:marker>
            <c:symbol val="circle"/>
            <c:size val="5"/>
            <c:spPr>
              <a:solidFill>
                <a:schemeClr val="accent1"/>
              </a:solidFill>
              <a:ln w="9525">
                <a:solidFill>
                  <a:schemeClr val="tx1"/>
                </a:solidFill>
              </a:ln>
              <a:effectLst/>
            </c:spPr>
          </c:marker>
          <c:cat>
            <c:numRef>
              <c:f>'G2&amp;G3_BowWave_2024SEP'!$D$11:$IX$11</c:f>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f>'G2&amp;G3_BowWave_2024SEP'!$D$26:$IX$26</c:f>
              <c:numCache>
                <c:formatCode>General</c:formatCode>
                <c:ptCount val="25"/>
                <c:pt idx="7">
                  <c:v>0.02</c:v>
                </c:pt>
                <c:pt idx="8">
                  <c:v>0.02</c:v>
                </c:pt>
                <c:pt idx="9">
                  <c:v>0.04</c:v>
                </c:pt>
              </c:numCache>
            </c:numRef>
          </c:val>
          <c:smooth val="0"/>
          <c:extLst xmlns:c15="http://schemas.microsoft.com/office/drawing/2012/chart">
            <c:ext xmlns:c16="http://schemas.microsoft.com/office/drawing/2014/chart" uri="{C3380CC4-5D6E-409C-BE32-E72D297353CC}">
              <c16:uniqueId val="{0000001C-FFB8-41AD-92FB-67252E0988F0}"/>
            </c:ext>
          </c:extLst>
        </c:ser>
        <c:ser>
          <c:idx val="16"/>
          <c:order val="16"/>
          <c:tx>
            <c:strRef>
              <c:f>'G2&amp;G3_BowWave_2024SEP'!$C$28</c:f>
              <c:strCache>
                <c:ptCount val="1"/>
                <c:pt idx="0">
                  <c:v>CEI - Starts</c:v>
                </c:pt>
              </c:strCache>
            </c:strRef>
          </c:tx>
          <c:spPr>
            <a:ln w="28575" cap="rnd">
              <a:solidFill>
                <a:schemeClr val="accent6"/>
              </a:solidFill>
              <a:round/>
            </a:ln>
            <a:effectLst/>
          </c:spPr>
          <c:marker>
            <c:symbol val="circle"/>
            <c:size val="5"/>
            <c:spPr>
              <a:solidFill>
                <a:schemeClr val="accent6"/>
              </a:solidFill>
              <a:ln w="9525">
                <a:solidFill>
                  <a:schemeClr val="tx1"/>
                </a:solidFill>
              </a:ln>
              <a:effectLst/>
            </c:spPr>
          </c:marker>
          <c:cat>
            <c:numRef>
              <c:f>'G2&amp;G3_BowWave_2024SEP'!$D$11:$IX$11</c:f>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f>'G2&amp;G3_BowWave_2024SEP'!$D$28:$IX$28</c:f>
              <c:numCache>
                <c:formatCode>General</c:formatCode>
                <c:ptCount val="25"/>
                <c:pt idx="7">
                  <c:v>0.31</c:v>
                </c:pt>
                <c:pt idx="8">
                  <c:v>0.51</c:v>
                </c:pt>
                <c:pt idx="9">
                  <c:v>0.43</c:v>
                </c:pt>
              </c:numCache>
            </c:numRef>
          </c:val>
          <c:smooth val="0"/>
          <c:extLst xmlns:c15="http://schemas.microsoft.com/office/drawing/2012/chart">
            <c:ext xmlns:c16="http://schemas.microsoft.com/office/drawing/2014/chart" uri="{C3380CC4-5D6E-409C-BE32-E72D297353CC}">
              <c16:uniqueId val="{0000001D-FFB8-41AD-92FB-67252E0988F0}"/>
            </c:ext>
          </c:extLst>
        </c:ser>
        <c:dLbls>
          <c:showLegendKey val="0"/>
          <c:showVal val="0"/>
          <c:showCatName val="0"/>
          <c:showSerName val="0"/>
          <c:showPercent val="0"/>
          <c:showBubbleSize val="0"/>
        </c:dLbls>
        <c:marker val="1"/>
        <c:smooth val="0"/>
        <c:axId val="1121466879"/>
        <c:axId val="1121471199"/>
        <c:extLst>
          <c:ext xmlns:c15="http://schemas.microsoft.com/office/drawing/2012/chart" uri="{02D57815-91ED-43cb-92C2-25804820EDAC}">
            <c15:filteredLineSeries>
              <c15:ser>
                <c:idx val="13"/>
                <c:order val="13"/>
                <c:tx>
                  <c:strRef>
                    <c:extLst>
                      <c:ext uri="{02D57815-91ED-43cb-92C2-25804820EDAC}">
                        <c15:formulaRef>
                          <c15:sqref>'G2&amp;G3_BowWave_2024SEP'!$C$25</c15:sqref>
                        </c15:formulaRef>
                      </c:ext>
                    </c:extLst>
                    <c:strCache>
                      <c:ptCount val="1"/>
                      <c:pt idx="0">
                        <c:v>BEI - Finishes</c:v>
                      </c:pt>
                    </c:strCache>
                  </c:strRef>
                </c:tx>
                <c:spPr>
                  <a:ln w="28575"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tx1"/>
                      </a:solidFill>
                    </a:ln>
                    <a:effectLst/>
                  </c:spPr>
                </c:marker>
                <c:cat>
                  <c:numRef>
                    <c:extLst>
                      <c:ext uri="{02D57815-91ED-43cb-92C2-25804820EDAC}">
                        <c15:formulaRef>
                          <c15:sqref>'G2&amp;G3_BowWave_2024SEP'!$D$11:$IX$11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c:ext uri="{02D57815-91ED-43cb-92C2-25804820EDAC}">
                        <c15:formulaRef>
                          <c15:sqref>'G2&amp;G3_BowWave_2024SEP'!$D$25:$IX$25</c15:sqref>
                        </c15:formulaRef>
                      </c:ext>
                    </c:extLst>
                    <c:numCache>
                      <c:formatCode>General</c:formatCode>
                      <c:ptCount val="25"/>
                      <c:pt idx="6">
                        <c:v>0.85</c:v>
                      </c:pt>
                      <c:pt idx="7">
                        <c:v>0.84</c:v>
                      </c:pt>
                      <c:pt idx="8">
                        <c:v>0.84</c:v>
                      </c:pt>
                      <c:pt idx="9">
                        <c:v>0.83</c:v>
                      </c:pt>
                      <c:pt idx="10">
                        <c:v>0.85</c:v>
                      </c:pt>
                      <c:pt idx="11">
                        <c:v>0.86</c:v>
                      </c:pt>
                      <c:pt idx="12">
                        <c:v>0.87</c:v>
                      </c:pt>
                    </c:numCache>
                  </c:numRef>
                </c:val>
                <c:smooth val="0"/>
                <c:extLst>
                  <c:ext xmlns:c16="http://schemas.microsoft.com/office/drawing/2014/chart" uri="{C3380CC4-5D6E-409C-BE32-E72D297353CC}">
                    <c16:uniqueId val="{0000002E-FFB8-41AD-92FB-67252E0988F0}"/>
                  </c:ext>
                </c:extLst>
              </c15:ser>
            </c15:filteredLineSeries>
            <c15:filteredLineSeries>
              <c15:ser>
                <c:idx val="15"/>
                <c:order val="15"/>
                <c:tx>
                  <c:strRef>
                    <c:extLst xmlns:c15="http://schemas.microsoft.com/office/drawing/2012/chart">
                      <c:ext xmlns:c15="http://schemas.microsoft.com/office/drawing/2012/chart" uri="{02D57815-91ED-43cb-92C2-25804820EDAC}">
                        <c15:formulaRef>
                          <c15:sqref>'G2&amp;G3_BowWave_2024SEP'!$C$27</c15:sqref>
                        </c15:formulaRef>
                      </c:ext>
                    </c:extLst>
                    <c:strCache>
                      <c:ptCount val="1"/>
                      <c:pt idx="0">
                        <c:v>HMI - Finishes</c:v>
                      </c:pt>
                    </c:strCache>
                  </c:strRef>
                </c:tx>
                <c:spPr>
                  <a:ln w="28575"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tx1"/>
                      </a:solidFill>
                    </a:ln>
                    <a:effectLst/>
                  </c:spPr>
                </c:marker>
                <c:cat>
                  <c:numRef>
                    <c:extLst xmlns:c15="http://schemas.microsoft.com/office/drawing/2012/chart">
                      <c:ext xmlns:c15="http://schemas.microsoft.com/office/drawing/2012/chart" uri="{02D57815-91ED-43cb-92C2-25804820EDAC}">
                        <c15:formulaRef>
                          <c15:sqref>'G2&amp;G3_BowWave_2024SEP'!$D$11:$IX$11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'G2&amp;G3_BowWave_2024SEP'!$D$27:$IX$27</c15:sqref>
                        </c15:formulaRef>
                      </c:ext>
                    </c:extLst>
                    <c:numCache>
                      <c:formatCode>General</c:formatCode>
                      <c:ptCount val="25"/>
                      <c:pt idx="7">
                        <c:v>0.01</c:v>
                      </c:pt>
                      <c:pt idx="8">
                        <c:v>0.04</c:v>
                      </c:pt>
                      <c:pt idx="9">
                        <c:v>0.02</c:v>
                      </c:pt>
                    </c:numCache>
                  </c:numRef>
                </c:val>
                <c:smooth val="0"/>
                <c:extLst xmlns:c15="http://schemas.microsoft.com/office/drawing/2012/chart">
                  <c:ext xmlns:c16="http://schemas.microsoft.com/office/drawing/2014/chart" uri="{C3380CC4-5D6E-409C-BE32-E72D297353CC}">
                    <c16:uniqueId val="{0000002F-FFB8-41AD-92FB-67252E0988F0}"/>
                  </c:ext>
                </c:extLst>
              </c15:ser>
            </c15:filteredLineSeries>
            <c15:filteredLineSeries>
              <c15:ser>
                <c:idx val="17"/>
                <c:order val="17"/>
                <c:tx>
                  <c:strRef>
                    <c:extLst xmlns:c15="http://schemas.microsoft.com/office/drawing/2012/chart">
                      <c:ext xmlns:c15="http://schemas.microsoft.com/office/drawing/2012/chart" uri="{02D57815-91ED-43cb-92C2-25804820EDAC}">
                        <c15:formulaRef>
                          <c15:sqref>'G2&amp;G3_BowWave_2024SEP'!$C$29</c15:sqref>
                        </c15:formulaRef>
                      </c:ext>
                    </c:extLst>
                    <c:strCache>
                      <c:ptCount val="1"/>
                      <c:pt idx="0">
                        <c:v>CEI - Finishes</c:v>
                      </c:pt>
                    </c:strCache>
                  </c:strRef>
                </c:tx>
                <c:spPr>
                  <a:ln w="28575" cap="rnd">
                    <a:solidFill>
                      <a:schemeClr val="accent6">
                        <a:lumMod val="80000"/>
                        <a:lumOff val="20000"/>
                      </a:schemeClr>
                    </a:solidFill>
                    <a:round/>
                  </a:ln>
                  <a:effectLst/>
                </c:spPr>
                <c:marker>
                  <c:symbol val="circle"/>
                  <c:size val="5"/>
                  <c:spPr>
                    <a:solidFill>
                      <a:schemeClr val="accent6">
                        <a:lumMod val="80000"/>
                        <a:lumOff val="20000"/>
                      </a:schemeClr>
                    </a:solidFill>
                    <a:ln w="9525">
                      <a:solidFill>
                        <a:schemeClr val="tx1"/>
                      </a:solidFill>
                    </a:ln>
                    <a:effectLst/>
                  </c:spPr>
                </c:marker>
                <c:cat>
                  <c:numRef>
                    <c:extLst xmlns:c15="http://schemas.microsoft.com/office/drawing/2012/chart">
                      <c:ext xmlns:c15="http://schemas.microsoft.com/office/drawing/2012/chart" uri="{02D57815-91ED-43cb-92C2-25804820EDAC}">
                        <c15:formulaRef>
                          <c15:sqref>'G2&amp;G3_BowWave_2024SEP'!$D$11:$IX$11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'G2&amp;G3_BowWave_2024SEP'!$D$29:$IX$29</c15:sqref>
                        </c15:formulaRef>
                      </c:ext>
                    </c:extLst>
                    <c:numCache>
                      <c:formatCode>General</c:formatCode>
                      <c:ptCount val="25"/>
                      <c:pt idx="7">
                        <c:v>0.3</c:v>
                      </c:pt>
                      <c:pt idx="8">
                        <c:v>0.42</c:v>
                      </c:pt>
                      <c:pt idx="9">
                        <c:v>0.35</c:v>
                      </c:pt>
                    </c:numCache>
                  </c:numRef>
                </c:val>
                <c:smooth val="0"/>
                <c:extLst xmlns:c15="http://schemas.microsoft.com/office/drawing/2012/chart">
                  <c:ext xmlns:c16="http://schemas.microsoft.com/office/drawing/2014/chart" uri="{C3380CC4-5D6E-409C-BE32-E72D297353CC}">
                    <c16:uniqueId val="{00000030-FFB8-41AD-92FB-67252E0988F0}"/>
                  </c:ext>
                </c:extLst>
              </c15:ser>
            </c15:filteredLineSeries>
            <c15:filteredLineSeries>
              <c15:ser>
                <c:idx val="25"/>
                <c:order val="19"/>
                <c:tx>
                  <c:strRef>
                    <c:extLst xmlns:c15="http://schemas.microsoft.com/office/drawing/2012/chart">
                      <c:ext xmlns:c15="http://schemas.microsoft.com/office/drawing/2012/chart" uri="{02D57815-91ED-43cb-92C2-25804820EDAC}">
                        <c15:formulaRef>
                          <c15:sqref>'G2&amp;G3_BowWave_2024SEP'!$C$32</c15:sqref>
                        </c15:formulaRef>
                      </c:ext>
                    </c:extLst>
                    <c:strCache>
                      <c:ptCount val="1"/>
                      <c:pt idx="0">
                        <c:v>Baselined to Start - Cumulative</c:v>
                      </c:pt>
                    </c:strCache>
                  </c:strRef>
                </c:tx>
                <c:spPr>
                  <a:ln w="28575" cap="rnd">
                    <a:solidFill>
                      <a:schemeClr val="accent2">
                        <a:lumMod val="60000"/>
                        <a:lumOff val="40000"/>
                      </a:schemeClr>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cat>
                  <c:numRef>
                    <c:extLst xmlns:c15="http://schemas.microsoft.com/office/drawing/2012/chart">
                      <c:ext xmlns:c15="http://schemas.microsoft.com/office/drawing/2012/chart" uri="{02D57815-91ED-43cb-92C2-25804820EDAC}">
                        <c15:formulaRef>
                          <c15:sqref>'G2&amp;G3_BowWave_2024SEP'!$D$11:$IX$11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'G2&amp;G3_BowWave_2024SEP'!$D$32:$DD$32</c15:sqref>
                        </c15:formulaRef>
                      </c:ext>
                    </c:extLst>
                    <c:numCache>
                      <c:formatCode>0</c:formatCode>
                      <c:ptCount val="25"/>
                      <c:pt idx="0">
                        <c:v>1843</c:v>
                      </c:pt>
                      <c:pt idx="1">
                        <c:v>1890</c:v>
                      </c:pt>
                      <c:pt idx="2">
                        <c:v>1936</c:v>
                      </c:pt>
                      <c:pt idx="3">
                        <c:v>2025</c:v>
                      </c:pt>
                      <c:pt idx="4">
                        <c:v>2106</c:v>
                      </c:pt>
                      <c:pt idx="5">
                        <c:v>2196</c:v>
                      </c:pt>
                      <c:pt idx="6">
                        <c:v>2235</c:v>
                      </c:pt>
                      <c:pt idx="7">
                        <c:v>2322</c:v>
                      </c:pt>
                      <c:pt idx="8">
                        <c:v>2374</c:v>
                      </c:pt>
                      <c:pt idx="9">
                        <c:v>2426</c:v>
                      </c:pt>
                      <c:pt idx="10">
                        <c:v>2461</c:v>
                      </c:pt>
                      <c:pt idx="11">
                        <c:v>2471</c:v>
                      </c:pt>
                      <c:pt idx="12">
                        <c:v>2501</c:v>
                      </c:pt>
                      <c:pt idx="13">
                        <c:v>2527</c:v>
                      </c:pt>
                      <c:pt idx="14">
                        <c:v>2535</c:v>
                      </c:pt>
                      <c:pt idx="15">
                        <c:v>2542</c:v>
                      </c:pt>
                      <c:pt idx="16">
                        <c:v>2543</c:v>
                      </c:pt>
                      <c:pt idx="17">
                        <c:v>2544</c:v>
                      </c:pt>
                      <c:pt idx="18">
                        <c:v>2545</c:v>
                      </c:pt>
                      <c:pt idx="19">
                        <c:v>2546</c:v>
                      </c:pt>
                      <c:pt idx="20">
                        <c:v>2550</c:v>
                      </c:pt>
                      <c:pt idx="21">
                        <c:v>2555</c:v>
                      </c:pt>
                      <c:pt idx="22">
                        <c:v>2556</c:v>
                      </c:pt>
                      <c:pt idx="23">
                        <c:v>2557</c:v>
                      </c:pt>
                      <c:pt idx="24">
                        <c:v>2557</c:v>
                      </c:pt>
                    </c:numCache>
                  </c:numRef>
                </c:val>
                <c:smooth val="0"/>
                <c:extLst xmlns:c15="http://schemas.microsoft.com/office/drawing/2012/chart">
                  <c:ext xmlns:c16="http://schemas.microsoft.com/office/drawing/2014/chart" uri="{C3380CC4-5D6E-409C-BE32-E72D297353CC}">
                    <c16:uniqueId val="{00000031-FFB8-41AD-92FB-67252E0988F0}"/>
                  </c:ext>
                </c:extLst>
              </c15:ser>
            </c15:filteredLineSeries>
            <c15:filteredLineSeries>
              <c15:ser>
                <c:idx val="27"/>
                <c:order val="20"/>
                <c:tx>
                  <c:strRef>
                    <c:extLst xmlns:c15="http://schemas.microsoft.com/office/drawing/2012/chart">
                      <c:ext xmlns:c15="http://schemas.microsoft.com/office/drawing/2012/chart" uri="{02D57815-91ED-43cb-92C2-25804820EDAC}">
                        <c15:formulaRef>
                          <c15:sqref>'G2&amp;G3_BowWave_2024SEP'!$C$33</c15:sqref>
                        </c15:formulaRef>
                      </c:ext>
                    </c:extLst>
                    <c:strCache>
                      <c:ptCount val="1"/>
                      <c:pt idx="0">
                        <c:v>Scheduled to Start - Cumulative</c:v>
                      </c:pt>
                    </c:strCache>
                  </c:strRef>
                </c:tx>
                <c:spPr>
                  <a:ln w="28575" cap="rnd">
                    <a:solidFill>
                      <a:schemeClr val="accent4">
                        <a:lumMod val="60000"/>
                        <a:lumOff val="40000"/>
                      </a:schemeClr>
                    </a:solid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cat>
                  <c:numRef>
                    <c:extLst xmlns:c15="http://schemas.microsoft.com/office/drawing/2012/chart">
                      <c:ext xmlns:c15="http://schemas.microsoft.com/office/drawing/2012/chart" uri="{02D57815-91ED-43cb-92C2-25804820EDAC}">
                        <c15:formulaRef>
                          <c15:sqref>'G2&amp;G3_BowWave_2024SEP'!$D$11:$IX$11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'G2&amp;G3_BowWave_2024SEP'!$D$33</c15:sqref>
                        </c15:formulaRef>
                      </c:ext>
                    </c:extLst>
                  </c:numRef>
                </c:val>
                <c:smooth val="0"/>
                <c:extLst xmlns:c15="http://schemas.microsoft.com/office/drawing/2012/chart">
                  <c:ext xmlns:c16="http://schemas.microsoft.com/office/drawing/2014/chart" uri="{C3380CC4-5D6E-409C-BE32-E72D297353CC}">
                    <c16:uniqueId val="{00000032-FFB8-41AD-92FB-67252E0988F0}"/>
                  </c:ext>
                </c:extLst>
              </c15:ser>
            </c15:filteredLineSeries>
            <c15:filteredLineSeries>
              <c15:ser>
                <c:idx val="26"/>
                <c:order val="21"/>
                <c:tx>
                  <c:strRef>
                    <c:extLst xmlns:c15="http://schemas.microsoft.com/office/drawing/2012/chart">
                      <c:ext xmlns:c15="http://schemas.microsoft.com/office/drawing/2012/chart" uri="{02D57815-91ED-43cb-92C2-25804820EDAC}">
                        <c15:formulaRef>
                          <c15:sqref>'G2&amp;G3_BowWave_2024SEP'!$C$34</c15:sqref>
                        </c15:formulaRef>
                      </c:ext>
                    </c:extLst>
                    <c:strCache>
                      <c:ptCount val="1"/>
                      <c:pt idx="0">
                        <c:v>Actual Starts - Cumulative</c:v>
                      </c:pt>
                    </c:strCache>
                  </c:strRef>
                </c:tx>
                <c:spPr>
                  <a:ln w="28575" cap="rnd">
                    <a:solidFill>
                      <a:schemeClr val="accent3">
                        <a:lumMod val="60000"/>
                        <a:lumOff val="40000"/>
                      </a:schemeClr>
                    </a:solid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cat>
                  <c:numRef>
                    <c:extLst xmlns:c15="http://schemas.microsoft.com/office/drawing/2012/chart">
                      <c:ext xmlns:c15="http://schemas.microsoft.com/office/drawing/2012/chart" uri="{02D57815-91ED-43cb-92C2-25804820EDAC}">
                        <c15:formulaRef>
                          <c15:sqref>'G2&amp;G3_BowWave_2024SEP'!$D$11:$IX$11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'G2&amp;G3_BowWave_2024SEP'!$D$34:$DD$34</c15:sqref>
                        </c15:formulaRef>
                      </c:ext>
                    </c:extLst>
                    <c:numCache>
                      <c:formatCode>General</c:formatCode>
                      <c:ptCount val="25"/>
                      <c:pt idx="0">
                        <c:v>1708</c:v>
                      </c:pt>
                      <c:pt idx="1">
                        <c:v>1767</c:v>
                      </c:pt>
                      <c:pt idx="2">
                        <c:v>1807</c:v>
                      </c:pt>
                      <c:pt idx="3">
                        <c:v>1856</c:v>
                      </c:pt>
                      <c:pt idx="4">
                        <c:v>1902</c:v>
                      </c:pt>
                      <c:pt idx="5">
                        <c:v>1937</c:v>
                      </c:pt>
                      <c:pt idx="6">
                        <c:v>1955</c:v>
                      </c:pt>
                      <c:pt idx="7">
                        <c:v>1955</c:v>
                      </c:pt>
                      <c:pt idx="8">
                        <c:v>1955</c:v>
                      </c:pt>
                      <c:pt idx="9">
                        <c:v>1955</c:v>
                      </c:pt>
                      <c:pt idx="10">
                        <c:v>1955</c:v>
                      </c:pt>
                      <c:pt idx="11">
                        <c:v>1955</c:v>
                      </c:pt>
                      <c:pt idx="12">
                        <c:v>1955</c:v>
                      </c:pt>
                      <c:pt idx="13">
                        <c:v>1955</c:v>
                      </c:pt>
                      <c:pt idx="14">
                        <c:v>1955</c:v>
                      </c:pt>
                      <c:pt idx="15">
                        <c:v>1955</c:v>
                      </c:pt>
                      <c:pt idx="16">
                        <c:v>1955</c:v>
                      </c:pt>
                      <c:pt idx="17">
                        <c:v>1955</c:v>
                      </c:pt>
                      <c:pt idx="18">
                        <c:v>1955</c:v>
                      </c:pt>
                      <c:pt idx="19">
                        <c:v>1955</c:v>
                      </c:pt>
                      <c:pt idx="20">
                        <c:v>1955</c:v>
                      </c:pt>
                      <c:pt idx="21">
                        <c:v>1955</c:v>
                      </c:pt>
                      <c:pt idx="22">
                        <c:v>1955</c:v>
                      </c:pt>
                      <c:pt idx="23">
                        <c:v>1955</c:v>
                      </c:pt>
                      <c:pt idx="24">
                        <c:v>1955</c:v>
                      </c:pt>
                    </c:numCache>
                  </c:numRef>
                </c:val>
                <c:smooth val="0"/>
                <c:extLst xmlns:c15="http://schemas.microsoft.com/office/drawing/2012/chart">
                  <c:ext xmlns:c16="http://schemas.microsoft.com/office/drawing/2014/chart" uri="{C3380CC4-5D6E-409C-BE32-E72D297353CC}">
                    <c16:uniqueId val="{00000033-FFB8-41AD-92FB-67252E0988F0}"/>
                  </c:ext>
                </c:extLst>
              </c15:ser>
            </c15:filteredLineSeries>
            <c15:filteredLineSeries>
              <c15:ser>
                <c:idx val="28"/>
                <c:order val="22"/>
                <c:tx>
                  <c:strRef>
                    <c:extLst xmlns:c15="http://schemas.microsoft.com/office/drawing/2012/chart">
                      <c:ext xmlns:c15="http://schemas.microsoft.com/office/drawing/2012/chart" uri="{02D57815-91ED-43cb-92C2-25804820EDAC}">
                        <c15:formulaRef>
                          <c15:sqref>'G2&amp;G3_BowWave_2024SEP'!$C$35</c15:sqref>
                        </c15:formulaRef>
                      </c:ext>
                    </c:extLst>
                    <c:strCache>
                      <c:ptCount val="1"/>
                      <c:pt idx="0">
                        <c:v>Baselined to Finish  - Cumulative</c:v>
                      </c:pt>
                    </c:strCache>
                  </c:strRef>
                </c:tx>
                <c:spPr>
                  <a:ln w="28575" cap="rnd">
                    <a:solidFill>
                      <a:schemeClr val="accent5">
                        <a:lumMod val="60000"/>
                        <a:lumOff val="40000"/>
                      </a:schemeClr>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cat>
                  <c:numRef>
                    <c:extLst xmlns:c15="http://schemas.microsoft.com/office/drawing/2012/chart">
                      <c:ext xmlns:c15="http://schemas.microsoft.com/office/drawing/2012/chart" uri="{02D57815-91ED-43cb-92C2-25804820EDAC}">
                        <c15:formulaRef>
                          <c15:sqref>'G2&amp;G3_BowWave_2024SEP'!$D$11:$IX$11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'G2&amp;G3_BowWave_2024SEP'!$D$35</c15:sqref>
                        </c15:formulaRef>
                      </c:ext>
                    </c:extLst>
                  </c:numRef>
                </c:val>
                <c:smooth val="0"/>
                <c:extLst xmlns:c15="http://schemas.microsoft.com/office/drawing/2012/chart">
                  <c:ext xmlns:c16="http://schemas.microsoft.com/office/drawing/2014/chart" uri="{C3380CC4-5D6E-409C-BE32-E72D297353CC}">
                    <c16:uniqueId val="{00000034-FFB8-41AD-92FB-67252E0988F0}"/>
                  </c:ext>
                </c:extLst>
              </c15:ser>
            </c15:filteredLineSeries>
            <c15:filteredLineSeries>
              <c15:ser>
                <c:idx val="29"/>
                <c:order val="23"/>
                <c:tx>
                  <c:strRef>
                    <c:extLst xmlns:c15="http://schemas.microsoft.com/office/drawing/2012/chart">
                      <c:ext xmlns:c15="http://schemas.microsoft.com/office/drawing/2012/chart" uri="{02D57815-91ED-43cb-92C2-25804820EDAC}">
                        <c15:formulaRef>
                          <c15:sqref>'G2&amp;G3_BowWave_2024SEP'!$C$36</c15:sqref>
                        </c15:formulaRef>
                      </c:ext>
                    </c:extLst>
                    <c:strCache>
                      <c:ptCount val="1"/>
                      <c:pt idx="0">
                        <c:v>Scheduled to Finish  - Cumulative</c:v>
                      </c:pt>
                    </c:strCache>
                  </c:strRef>
                </c:tx>
                <c:spPr>
                  <a:ln w="28575" cap="rnd">
                    <a:solidFill>
                      <a:schemeClr val="accent6">
                        <a:lumMod val="60000"/>
                        <a:lumOff val="40000"/>
                      </a:schemeClr>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cat>
                  <c:numRef>
                    <c:extLst xmlns:c15="http://schemas.microsoft.com/office/drawing/2012/chart">
                      <c:ext xmlns:c15="http://schemas.microsoft.com/office/drawing/2012/chart" uri="{02D57815-91ED-43cb-92C2-25804820EDAC}">
                        <c15:formulaRef>
                          <c15:sqref>'G2&amp;G3_BowWave_2024SEP'!$D$11:$IX$11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'G2&amp;G3_BowWave_2024SEP'!$D$36</c15:sqref>
                        </c15:formulaRef>
                      </c:ext>
                    </c:extLst>
                  </c:numRef>
                </c:val>
                <c:smooth val="0"/>
                <c:extLst xmlns:c15="http://schemas.microsoft.com/office/drawing/2012/chart">
                  <c:ext xmlns:c16="http://schemas.microsoft.com/office/drawing/2014/chart" uri="{C3380CC4-5D6E-409C-BE32-E72D297353CC}">
                    <c16:uniqueId val="{00000035-FFB8-41AD-92FB-67252E0988F0}"/>
                  </c:ext>
                </c:extLst>
              </c15:ser>
            </c15:filteredLineSeries>
            <c15:filteredLineSeries>
              <c15:ser>
                <c:idx val="30"/>
                <c:order val="24"/>
                <c:tx>
                  <c:strRef>
                    <c:extLst xmlns:c15="http://schemas.microsoft.com/office/drawing/2012/chart">
                      <c:ext xmlns:c15="http://schemas.microsoft.com/office/drawing/2012/chart" uri="{02D57815-91ED-43cb-92C2-25804820EDAC}">
                        <c15:formulaRef>
                          <c15:sqref>'G2&amp;G3_BowWave_2024SEP'!$C$37</c15:sqref>
                        </c15:formulaRef>
                      </c:ext>
                    </c:extLst>
                    <c:strCache>
                      <c:ptCount val="1"/>
                      <c:pt idx="0">
                        <c:v>Actual Finishes  - Cumulative</c:v>
                      </c:pt>
                    </c:strCache>
                  </c:strRef>
                </c:tx>
                <c:spPr>
                  <a:ln w="28575" cap="rnd">
                    <a:solidFill>
                      <a:schemeClr val="accent1">
                        <a:lumMod val="50000"/>
                      </a:schemeClr>
                    </a:solidFill>
                    <a:round/>
                  </a:ln>
                  <a:effectLst/>
                </c:spPr>
                <c:marker>
                  <c:symbol val="circle"/>
                  <c:size val="5"/>
                  <c:spPr>
                    <a:solidFill>
                      <a:schemeClr val="accent1">
                        <a:lumMod val="50000"/>
                      </a:schemeClr>
                    </a:solidFill>
                    <a:ln w="9525">
                      <a:solidFill>
                        <a:schemeClr val="accent1">
                          <a:lumMod val="50000"/>
                        </a:schemeClr>
                      </a:solidFill>
                    </a:ln>
                    <a:effectLst/>
                  </c:spPr>
                </c:marker>
                <c:cat>
                  <c:numRef>
                    <c:extLst xmlns:c15="http://schemas.microsoft.com/office/drawing/2012/chart">
                      <c:ext xmlns:c15="http://schemas.microsoft.com/office/drawing/2012/chart" uri="{02D57815-91ED-43cb-92C2-25804820EDAC}">
                        <c15:formulaRef>
                          <c15:sqref>'G2&amp;G3_BowWave_2024SEP'!$D$11:$IX$11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'G2&amp;G3_BowWave_2024SEP'!$D$37:$DD$37</c15:sqref>
                        </c15:formulaRef>
                      </c:ext>
                    </c:extLst>
                    <c:numCache>
                      <c:formatCode>General</c:formatCode>
                      <c:ptCount val="25"/>
                      <c:pt idx="0">
                        <c:v>1650</c:v>
                      </c:pt>
                      <c:pt idx="1">
                        <c:v>1706</c:v>
                      </c:pt>
                      <c:pt idx="2">
                        <c:v>1749</c:v>
                      </c:pt>
                      <c:pt idx="3">
                        <c:v>1796</c:v>
                      </c:pt>
                      <c:pt idx="4">
                        <c:v>1838</c:v>
                      </c:pt>
                      <c:pt idx="5">
                        <c:v>1888</c:v>
                      </c:pt>
                      <c:pt idx="6">
                        <c:v>1917</c:v>
                      </c:pt>
                      <c:pt idx="7">
                        <c:v>1917</c:v>
                      </c:pt>
                      <c:pt idx="8">
                        <c:v>1917</c:v>
                      </c:pt>
                      <c:pt idx="9">
                        <c:v>1917</c:v>
                      </c:pt>
                      <c:pt idx="10">
                        <c:v>1917</c:v>
                      </c:pt>
                      <c:pt idx="11">
                        <c:v>1917</c:v>
                      </c:pt>
                      <c:pt idx="12">
                        <c:v>1917</c:v>
                      </c:pt>
                      <c:pt idx="13">
                        <c:v>1917</c:v>
                      </c:pt>
                      <c:pt idx="14">
                        <c:v>1917</c:v>
                      </c:pt>
                      <c:pt idx="15">
                        <c:v>1917</c:v>
                      </c:pt>
                      <c:pt idx="16">
                        <c:v>1917</c:v>
                      </c:pt>
                      <c:pt idx="17">
                        <c:v>1917</c:v>
                      </c:pt>
                      <c:pt idx="18">
                        <c:v>1917</c:v>
                      </c:pt>
                      <c:pt idx="19">
                        <c:v>1917</c:v>
                      </c:pt>
                      <c:pt idx="20">
                        <c:v>1917</c:v>
                      </c:pt>
                      <c:pt idx="21">
                        <c:v>1917</c:v>
                      </c:pt>
                      <c:pt idx="22">
                        <c:v>1917</c:v>
                      </c:pt>
                      <c:pt idx="23">
                        <c:v>1917</c:v>
                      </c:pt>
                      <c:pt idx="24">
                        <c:v>1917</c:v>
                      </c:pt>
                    </c:numCache>
                  </c:numRef>
                </c:val>
                <c:smooth val="0"/>
                <c:extLst xmlns:c15="http://schemas.microsoft.com/office/drawing/2012/chart">
                  <c:ext xmlns:c16="http://schemas.microsoft.com/office/drawing/2014/chart" uri="{C3380CC4-5D6E-409C-BE32-E72D297353CC}">
                    <c16:uniqueId val="{00000036-FFB8-41AD-92FB-67252E0988F0}"/>
                  </c:ext>
                </c:extLst>
              </c15:ser>
            </c15:filteredLineSeries>
          </c:ext>
        </c:extLst>
      </c:lineChart>
      <c:dateAx>
        <c:axId val="2001818015"/>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2001820415"/>
        <c:crosses val="autoZero"/>
        <c:auto val="1"/>
        <c:lblOffset val="100"/>
        <c:baseTimeUnit val="months"/>
      </c:dateAx>
      <c:valAx>
        <c:axId val="2001820415"/>
        <c:scaling>
          <c:orientation val="minMax"/>
          <c:max val="125"/>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 of Activities</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2001818015"/>
        <c:crosses val="autoZero"/>
        <c:crossBetween val="between"/>
        <c:majorUnit val="25"/>
      </c:valAx>
      <c:valAx>
        <c:axId val="1121471199"/>
        <c:scaling>
          <c:orientation val="minMax"/>
          <c:max val="1"/>
          <c:min val="0"/>
        </c:scaling>
        <c:delete val="0"/>
        <c:axPos val="r"/>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Schedule Performance Index</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121466879"/>
        <c:crosses val="max"/>
        <c:crossBetween val="between"/>
        <c:majorUnit val="0.1"/>
      </c:valAx>
      <c:dateAx>
        <c:axId val="1121466879"/>
        <c:scaling>
          <c:orientation val="minMax"/>
        </c:scaling>
        <c:delete val="1"/>
        <c:axPos val="b"/>
        <c:numFmt formatCode="mmm\-yy" sourceLinked="1"/>
        <c:majorTickMark val="out"/>
        <c:minorTickMark val="none"/>
        <c:tickLblPos val="nextTo"/>
        <c:crossAx val="1121471199"/>
        <c:crosses val="autoZero"/>
        <c:auto val="1"/>
        <c:lblOffset val="100"/>
        <c:baseTimeUnit val="months"/>
        <c:majorUnit val="1"/>
        <c:minorUnit val="1"/>
      </c:date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baseline="0"/>
              <a:t>Activity Finishes - As of March 2025</a:t>
            </a:r>
            <a:endParaRPr lang="en-US" sz="1600" b="1"/>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11"/>
          <c:order val="9"/>
          <c:tx>
            <c:strRef>
              <c:f>'G2&amp;G3_BowWave_2024SEP'!$C$23</c:f>
              <c:strCache>
                <c:ptCount val="1"/>
                <c:pt idx="0">
                  <c:v>Completed Delayed (&gt;60 days)</c:v>
                </c:pt>
              </c:strCache>
            </c:strRef>
          </c:tx>
          <c:spPr>
            <a:solidFill>
              <a:srgbClr val="CC99FF"/>
            </a:solidFill>
            <a:ln>
              <a:noFill/>
            </a:ln>
            <a:effectLst/>
          </c:spPr>
          <c:cat>
            <c:numRef>
              <c:f>'G2&amp;G3_BowWave_2024SEP'!$D$11:$IX$11</c:f>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f>'G2&amp;G3_BowWave_2024SEP'!$D$23:$IX$23</c:f>
              <c:numCache>
                <c:formatCode>General</c:formatCode>
                <c:ptCount val="25"/>
                <c:pt idx="0">
                  <c:v>6</c:v>
                </c:pt>
                <c:pt idx="1">
                  <c:v>7</c:v>
                </c:pt>
                <c:pt idx="2">
                  <c:v>1</c:v>
                </c:pt>
                <c:pt idx="3">
                  <c:v>8</c:v>
                </c:pt>
                <c:pt idx="4">
                  <c:v>2</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extLst xmlns:c15="http://schemas.microsoft.com/office/drawing/2012/chart">
            <c:ext xmlns:c16="http://schemas.microsoft.com/office/drawing/2014/chart" uri="{C3380CC4-5D6E-409C-BE32-E72D297353CC}">
              <c16:uniqueId val="{00000000-4375-41ED-83A6-56C2C5889CB2}"/>
            </c:ext>
          </c:extLst>
        </c:ser>
        <c:ser>
          <c:idx val="10"/>
          <c:order val="10"/>
          <c:tx>
            <c:strRef>
              <c:f>'G2&amp;G3_BowWave_2024SEP'!$C$22</c:f>
              <c:strCache>
                <c:ptCount val="1"/>
                <c:pt idx="0">
                  <c:v>Completed Delayed (Between 31 to 60 days)</c:v>
                </c:pt>
              </c:strCache>
            </c:strRef>
          </c:tx>
          <c:spPr>
            <a:solidFill>
              <a:srgbClr val="FFFFCC"/>
            </a:solidFill>
            <a:ln>
              <a:noFill/>
            </a:ln>
            <a:effectLst/>
          </c:spPr>
          <c:cat>
            <c:numRef>
              <c:f>'G2&amp;G3_BowWave_2024SEP'!$D$11:$IX$11</c:f>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f>'G2&amp;G3_BowWave_2024SEP'!$D$22:$IX$22</c:f>
              <c:numCache>
                <c:formatCode>General</c:formatCode>
                <c:ptCount val="25"/>
                <c:pt idx="0">
                  <c:v>0</c:v>
                </c:pt>
                <c:pt idx="1">
                  <c:v>3</c:v>
                </c:pt>
                <c:pt idx="2">
                  <c:v>6</c:v>
                </c:pt>
                <c:pt idx="3">
                  <c:v>7</c:v>
                </c:pt>
                <c:pt idx="4">
                  <c:v>3</c:v>
                </c:pt>
                <c:pt idx="5">
                  <c:v>3</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extLst xmlns:c15="http://schemas.microsoft.com/office/drawing/2012/chart">
            <c:ext xmlns:c16="http://schemas.microsoft.com/office/drawing/2014/chart" uri="{C3380CC4-5D6E-409C-BE32-E72D297353CC}">
              <c16:uniqueId val="{00000001-4375-41ED-83A6-56C2C5889CB2}"/>
            </c:ext>
          </c:extLst>
        </c:ser>
        <c:ser>
          <c:idx val="9"/>
          <c:order val="11"/>
          <c:tx>
            <c:strRef>
              <c:f>'G2&amp;G3_BowWave_2024SEP'!$C$21</c:f>
              <c:strCache>
                <c:ptCount val="1"/>
                <c:pt idx="0">
                  <c:v>Completed Delayed (&lt;=30 days)</c:v>
                </c:pt>
              </c:strCache>
            </c:strRef>
          </c:tx>
          <c:spPr>
            <a:solidFill>
              <a:srgbClr val="00FFFF"/>
            </a:solidFill>
            <a:ln>
              <a:noFill/>
            </a:ln>
            <a:effectLst/>
          </c:spPr>
          <c:cat>
            <c:numRef>
              <c:f>'G2&amp;G3_BowWave_2024SEP'!$D$11:$IX$11</c:f>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f>'G2&amp;G3_BowWave_2024SEP'!$D$21:$IX$21</c:f>
              <c:numCache>
                <c:formatCode>General</c:formatCode>
                <c:ptCount val="25"/>
                <c:pt idx="0">
                  <c:v>6</c:v>
                </c:pt>
                <c:pt idx="1">
                  <c:v>0</c:v>
                </c:pt>
                <c:pt idx="2">
                  <c:v>1</c:v>
                </c:pt>
                <c:pt idx="3">
                  <c:v>6</c:v>
                </c:pt>
                <c:pt idx="4">
                  <c:v>8</c:v>
                </c:pt>
                <c:pt idx="5">
                  <c:v>8</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extLst xmlns:c15="http://schemas.microsoft.com/office/drawing/2012/chart">
            <c:ext xmlns:c16="http://schemas.microsoft.com/office/drawing/2014/chart" uri="{C3380CC4-5D6E-409C-BE32-E72D297353CC}">
              <c16:uniqueId val="{00000002-4375-41ED-83A6-56C2C5889CB2}"/>
            </c:ext>
          </c:extLst>
        </c:ser>
        <c:dLbls>
          <c:showLegendKey val="0"/>
          <c:showVal val="0"/>
          <c:showCatName val="0"/>
          <c:showSerName val="0"/>
          <c:showPercent val="0"/>
          <c:showBubbleSize val="0"/>
        </c:dLbls>
        <c:axId val="2001818015"/>
        <c:axId val="2001820415"/>
        <c:extLst>
          <c:ext xmlns:c15="http://schemas.microsoft.com/office/drawing/2012/chart" uri="{02D57815-91ED-43cb-92C2-25804820EDAC}">
            <c15:filteredAreaSeries>
              <c15:ser>
                <c:idx val="8"/>
                <c:order val="6"/>
                <c:tx>
                  <c:strRef>
                    <c:extLst>
                      <c:ext uri="{02D57815-91ED-43cb-92C2-25804820EDAC}">
                        <c15:formulaRef>
                          <c15:sqref>'G2&amp;G3_BowWave_2024SEP'!$C$20</c15:sqref>
                        </c15:formulaRef>
                      </c:ext>
                    </c:extLst>
                    <c:strCache>
                      <c:ptCount val="1"/>
                      <c:pt idx="0">
                        <c:v>Started Delayed (&gt;60 days)</c:v>
                      </c:pt>
                    </c:strCache>
                  </c:strRef>
                </c:tx>
                <c:spPr>
                  <a:solidFill>
                    <a:srgbClr val="9999FF"/>
                  </a:solidFill>
                  <a:ln>
                    <a:noFill/>
                  </a:ln>
                  <a:effectLst/>
                </c:spPr>
                <c:cat>
                  <c:numRef>
                    <c:extLst>
                      <c:ext uri="{02D57815-91ED-43cb-92C2-25804820EDAC}">
                        <c15:formulaRef>
                          <c15:sqref>'G2&amp;G3_BowWave_2024SEP'!$D$11:$IX$11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c:ext uri="{02D57815-91ED-43cb-92C2-25804820EDAC}">
                        <c15:formulaRef>
                          <c15:sqref>'G2&amp;G3_BowWave_2024SEP'!$D$20:$IX$20</c15:sqref>
                        </c15:formulaRef>
                      </c:ext>
                    </c:extLst>
                    <c:numCache>
                      <c:formatCode>General</c:formatCode>
                      <c:ptCount val="25"/>
                      <c:pt idx="0">
                        <c:v>4</c:v>
                      </c:pt>
                      <c:pt idx="1">
                        <c:v>7</c:v>
                      </c:pt>
                      <c:pt idx="2">
                        <c:v>1</c:v>
                      </c:pt>
                      <c:pt idx="3">
                        <c:v>10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extLst>
                  <c:ext xmlns:c16="http://schemas.microsoft.com/office/drawing/2014/chart" uri="{C3380CC4-5D6E-409C-BE32-E72D297353CC}">
                    <c16:uniqueId val="{0000002B-4375-41ED-83A6-56C2C5889CB2}"/>
                  </c:ext>
                </c:extLst>
              </c15:ser>
            </c15:filteredAreaSeries>
            <c15:filteredAreaSeries>
              <c15:ser>
                <c:idx val="7"/>
                <c:order val="7"/>
                <c:tx>
                  <c:strRef>
                    <c:extLst xmlns:c15="http://schemas.microsoft.com/office/drawing/2012/chart">
                      <c:ext xmlns:c15="http://schemas.microsoft.com/office/drawing/2012/chart" uri="{02D57815-91ED-43cb-92C2-25804820EDAC}">
                        <c15:formulaRef>
                          <c15:sqref>'G2&amp;G3_BowWave_2024SEP'!$C$19</c15:sqref>
                        </c15:formulaRef>
                      </c:ext>
                    </c:extLst>
                    <c:strCache>
                      <c:ptCount val="1"/>
                      <c:pt idx="0">
                        <c:v>Started Delayed (Between 31 to 60 days)</c:v>
                      </c:pt>
                    </c:strCache>
                  </c:strRef>
                </c:tx>
                <c:spPr>
                  <a:solidFill>
                    <a:srgbClr val="FFFFCC"/>
                  </a:solidFill>
                  <a:ln>
                    <a:noFill/>
                  </a:ln>
                  <a:effectLst/>
                </c:spPr>
                <c:cat>
                  <c:numRef>
                    <c:extLst xmlns:c15="http://schemas.microsoft.com/office/drawing/2012/chart">
                      <c:ext xmlns:c15="http://schemas.microsoft.com/office/drawing/2012/chart" uri="{02D57815-91ED-43cb-92C2-25804820EDAC}">
                        <c15:formulaRef>
                          <c15:sqref>'G2&amp;G3_BowWave_2024SEP'!$D$11:$IX$11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'G2&amp;G3_BowWave_2024SEP'!$D$19:$IX$19</c15:sqref>
                        </c15:formulaRef>
                      </c:ext>
                    </c:extLst>
                    <c:numCache>
                      <c:formatCode>General</c:formatCode>
                      <c:ptCount val="25"/>
                      <c:pt idx="0">
                        <c:v>1</c:v>
                      </c:pt>
                      <c:pt idx="1">
                        <c:v>3</c:v>
                      </c:pt>
                      <c:pt idx="2">
                        <c:v>0</c:v>
                      </c:pt>
                      <c:pt idx="3">
                        <c:v>8</c:v>
                      </c:pt>
                      <c:pt idx="4">
                        <c:v>1</c:v>
                      </c:pt>
                      <c:pt idx="5">
                        <c:v>3</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extLst xmlns:c15="http://schemas.microsoft.com/office/drawing/2012/chart">
                  <c:ext xmlns:c16="http://schemas.microsoft.com/office/drawing/2014/chart" uri="{C3380CC4-5D6E-409C-BE32-E72D297353CC}">
                    <c16:uniqueId val="{0000002C-4375-41ED-83A6-56C2C5889CB2}"/>
                  </c:ext>
                </c:extLst>
              </c15:ser>
            </c15:filteredAreaSeries>
            <c15:filteredAreaSeries>
              <c15:ser>
                <c:idx val="6"/>
                <c:order val="8"/>
                <c:tx>
                  <c:strRef>
                    <c:extLst xmlns:c15="http://schemas.microsoft.com/office/drawing/2012/chart">
                      <c:ext xmlns:c15="http://schemas.microsoft.com/office/drawing/2012/chart" uri="{02D57815-91ED-43cb-92C2-25804820EDAC}">
                        <c15:formulaRef>
                          <c15:sqref>'G2&amp;G3_BowWave_2024SEP'!$C$18</c15:sqref>
                        </c15:formulaRef>
                      </c:ext>
                    </c:extLst>
                    <c:strCache>
                      <c:ptCount val="1"/>
                      <c:pt idx="0">
                        <c:v>Started Delayed (&lt;=30 days)</c:v>
                      </c:pt>
                    </c:strCache>
                  </c:strRef>
                </c:tx>
                <c:spPr>
                  <a:solidFill>
                    <a:srgbClr val="00FFFF"/>
                  </a:solidFill>
                  <a:ln>
                    <a:noFill/>
                  </a:ln>
                  <a:effectLst/>
                </c:spPr>
                <c:cat>
                  <c:numRef>
                    <c:extLst xmlns:c15="http://schemas.microsoft.com/office/drawing/2012/chart">
                      <c:ext xmlns:c15="http://schemas.microsoft.com/office/drawing/2012/chart" uri="{02D57815-91ED-43cb-92C2-25804820EDAC}">
                        <c15:formulaRef>
                          <c15:sqref>'G2&amp;G3_BowWave_2024SEP'!$D$11:$IX$11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'G2&amp;G3_BowWave_2024SEP'!$D$18:$IX$18</c15:sqref>
                        </c15:formulaRef>
                      </c:ext>
                    </c:extLst>
                    <c:numCache>
                      <c:formatCode>General</c:formatCode>
                      <c:ptCount val="25"/>
                      <c:pt idx="0">
                        <c:v>9</c:v>
                      </c:pt>
                      <c:pt idx="1">
                        <c:v>0</c:v>
                      </c:pt>
                      <c:pt idx="2">
                        <c:v>3</c:v>
                      </c:pt>
                      <c:pt idx="3">
                        <c:v>4</c:v>
                      </c:pt>
                      <c:pt idx="4">
                        <c:v>3</c:v>
                      </c:pt>
                      <c:pt idx="5">
                        <c:v>7</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extLst xmlns:c15="http://schemas.microsoft.com/office/drawing/2012/chart">
                  <c:ext xmlns:c16="http://schemas.microsoft.com/office/drawing/2014/chart" uri="{C3380CC4-5D6E-409C-BE32-E72D297353CC}">
                    <c16:uniqueId val="{0000002D-4375-41ED-83A6-56C2C5889CB2}"/>
                  </c:ext>
                </c:extLst>
              </c15:ser>
            </c15:filteredAreaSeries>
          </c:ext>
        </c:extLst>
      </c:areaChart>
      <c:barChart>
        <c:barDir val="col"/>
        <c:grouping val="clustered"/>
        <c:varyColors val="0"/>
        <c:ser>
          <c:idx val="3"/>
          <c:order val="3"/>
          <c:tx>
            <c:strRef>
              <c:f>'G2&amp;G3_BowWave_2024SEP'!$C$15</c:f>
              <c:strCache>
                <c:ptCount val="1"/>
                <c:pt idx="0">
                  <c:v>Baselined to Finish</c:v>
                </c:pt>
              </c:strCache>
            </c:strRef>
          </c:tx>
          <c:spPr>
            <a:solidFill>
              <a:schemeClr val="accent4">
                <a:lumMod val="60000"/>
                <a:lumOff val="40000"/>
              </a:schemeClr>
            </a:solidFill>
            <a:ln>
              <a:solidFill>
                <a:schemeClr val="accent2"/>
              </a:solidFill>
            </a:ln>
            <a:effectLst/>
          </c:spPr>
          <c:invertIfNegative val="0"/>
          <c:cat>
            <c:numRef>
              <c:f>'G2&amp;G3_BowWave_2024SEP'!$D$11:$IX$11</c:f>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f>'G2&amp;G3_BowWave_2024SEP'!$D$15:$IX$15</c:f>
              <c:numCache>
                <c:formatCode>General</c:formatCode>
                <c:ptCount val="25"/>
                <c:pt idx="0">
                  <c:v>64</c:v>
                </c:pt>
                <c:pt idx="1">
                  <c:v>49</c:v>
                </c:pt>
                <c:pt idx="2">
                  <c:v>56</c:v>
                </c:pt>
                <c:pt idx="3">
                  <c:v>80</c:v>
                </c:pt>
                <c:pt idx="4">
                  <c:v>79</c:v>
                </c:pt>
                <c:pt idx="5">
                  <c:v>107</c:v>
                </c:pt>
                <c:pt idx="6">
                  <c:v>60</c:v>
                </c:pt>
                <c:pt idx="7">
                  <c:v>92</c:v>
                </c:pt>
                <c:pt idx="8">
                  <c:v>46</c:v>
                </c:pt>
                <c:pt idx="9">
                  <c:v>49</c:v>
                </c:pt>
                <c:pt idx="10">
                  <c:v>38</c:v>
                </c:pt>
                <c:pt idx="11">
                  <c:v>16</c:v>
                </c:pt>
                <c:pt idx="12">
                  <c:v>29</c:v>
                </c:pt>
                <c:pt idx="13">
                  <c:v>25</c:v>
                </c:pt>
                <c:pt idx="14">
                  <c:v>12</c:v>
                </c:pt>
                <c:pt idx="15">
                  <c:v>8</c:v>
                </c:pt>
                <c:pt idx="16">
                  <c:v>2</c:v>
                </c:pt>
                <c:pt idx="17">
                  <c:v>1</c:v>
                </c:pt>
                <c:pt idx="18">
                  <c:v>2</c:v>
                </c:pt>
                <c:pt idx="19">
                  <c:v>2</c:v>
                </c:pt>
                <c:pt idx="20">
                  <c:v>2</c:v>
                </c:pt>
                <c:pt idx="21">
                  <c:v>5</c:v>
                </c:pt>
                <c:pt idx="22">
                  <c:v>3</c:v>
                </c:pt>
                <c:pt idx="23">
                  <c:v>1</c:v>
                </c:pt>
                <c:pt idx="24">
                  <c:v>0</c:v>
                </c:pt>
              </c:numCache>
            </c:numRef>
          </c:val>
          <c:extLst xmlns:c15="http://schemas.microsoft.com/office/drawing/2012/chart">
            <c:ext xmlns:c16="http://schemas.microsoft.com/office/drawing/2014/chart" uri="{C3380CC4-5D6E-409C-BE32-E72D297353CC}">
              <c16:uniqueId val="{00000003-4375-41ED-83A6-56C2C5889CB2}"/>
            </c:ext>
          </c:extLst>
        </c:ser>
        <c:ser>
          <c:idx val="4"/>
          <c:order val="4"/>
          <c:tx>
            <c:strRef>
              <c:f>'G2&amp;G3_BowWave_2024SEP'!$C$16</c:f>
              <c:strCache>
                <c:ptCount val="1"/>
                <c:pt idx="0">
                  <c:v>Scheduled to Finish</c:v>
                </c:pt>
              </c:strCache>
            </c:strRef>
          </c:tx>
          <c:spPr>
            <a:solidFill>
              <a:schemeClr val="accent5">
                <a:lumMod val="60000"/>
                <a:lumOff val="40000"/>
              </a:schemeClr>
            </a:solidFill>
            <a:ln>
              <a:solidFill>
                <a:schemeClr val="accent5">
                  <a:lumMod val="75000"/>
                </a:schemeClr>
              </a:solidFill>
            </a:ln>
            <a:effectLst/>
          </c:spPr>
          <c:invertIfNegative val="0"/>
          <c:cat>
            <c:numRef>
              <c:f>'G2&amp;G3_BowWave_2024SEP'!$D$11:$IX$11</c:f>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f>'G2&amp;G3_BowWave_2024SEP'!$D$16:$IX$16</c:f>
              <c:numCache>
                <c:formatCode>General</c:formatCode>
                <c:ptCount val="25"/>
                <c:pt idx="0">
                  <c:v>70</c:v>
                </c:pt>
                <c:pt idx="1">
                  <c:v>56</c:v>
                </c:pt>
                <c:pt idx="2">
                  <c:v>43</c:v>
                </c:pt>
                <c:pt idx="3">
                  <c:v>47</c:v>
                </c:pt>
                <c:pt idx="4">
                  <c:v>42</c:v>
                </c:pt>
                <c:pt idx="5">
                  <c:v>50</c:v>
                </c:pt>
                <c:pt idx="6">
                  <c:v>31</c:v>
                </c:pt>
                <c:pt idx="7">
                  <c:v>69</c:v>
                </c:pt>
                <c:pt idx="8">
                  <c:v>63</c:v>
                </c:pt>
                <c:pt idx="9">
                  <c:v>79</c:v>
                </c:pt>
                <c:pt idx="10">
                  <c:v>89</c:v>
                </c:pt>
                <c:pt idx="11">
                  <c:v>59</c:v>
                </c:pt>
                <c:pt idx="12">
                  <c:v>55</c:v>
                </c:pt>
                <c:pt idx="13">
                  <c:v>70</c:v>
                </c:pt>
                <c:pt idx="14">
                  <c:v>49</c:v>
                </c:pt>
                <c:pt idx="15">
                  <c:v>45</c:v>
                </c:pt>
                <c:pt idx="16">
                  <c:v>22</c:v>
                </c:pt>
                <c:pt idx="17">
                  <c:v>11</c:v>
                </c:pt>
                <c:pt idx="18">
                  <c:v>2</c:v>
                </c:pt>
                <c:pt idx="19">
                  <c:v>1</c:v>
                </c:pt>
                <c:pt idx="20">
                  <c:v>10</c:v>
                </c:pt>
                <c:pt idx="21">
                  <c:v>9</c:v>
                </c:pt>
                <c:pt idx="22">
                  <c:v>13</c:v>
                </c:pt>
                <c:pt idx="23">
                  <c:v>8</c:v>
                </c:pt>
                <c:pt idx="24">
                  <c:v>19</c:v>
                </c:pt>
              </c:numCache>
            </c:numRef>
          </c:val>
          <c:extLst xmlns:c15="http://schemas.microsoft.com/office/drawing/2012/chart">
            <c:ext xmlns:c16="http://schemas.microsoft.com/office/drawing/2014/chart" uri="{C3380CC4-5D6E-409C-BE32-E72D297353CC}">
              <c16:uniqueId val="{00000004-4375-41ED-83A6-56C2C5889CB2}"/>
            </c:ext>
          </c:extLst>
        </c:ser>
        <c:ser>
          <c:idx val="22"/>
          <c:order val="5"/>
          <c:tx>
            <c:strRef>
              <c:f>'G2&amp;G3_BowWave_2024SEP'!$C$17</c:f>
              <c:strCache>
                <c:ptCount val="1"/>
                <c:pt idx="0">
                  <c:v>Actual Finishes</c:v>
                </c:pt>
              </c:strCache>
            </c:strRef>
          </c:tx>
          <c:spPr>
            <a:solidFill>
              <a:srgbClr val="92D050"/>
            </a:solidFill>
            <a:ln>
              <a:solidFill>
                <a:schemeClr val="accent6">
                  <a:lumMod val="75000"/>
                </a:schemeClr>
              </a:solidFill>
            </a:ln>
            <a:effectLst/>
          </c:spPr>
          <c:invertIfNegative val="0"/>
          <c:cat>
            <c:numRef>
              <c:f>'G2&amp;G3_BowWave_2024SEP'!$D$11:$IX$11</c:f>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f>'G2&amp;G3_BowWave_2024SEP'!$D$17:$IX$17</c:f>
              <c:numCache>
                <c:formatCode>General</c:formatCode>
                <c:ptCount val="25"/>
                <c:pt idx="0">
                  <c:v>70</c:v>
                </c:pt>
                <c:pt idx="1">
                  <c:v>56</c:v>
                </c:pt>
                <c:pt idx="2">
                  <c:v>43</c:v>
                </c:pt>
                <c:pt idx="3">
                  <c:v>47</c:v>
                </c:pt>
                <c:pt idx="4">
                  <c:v>42</c:v>
                </c:pt>
                <c:pt idx="5">
                  <c:v>50</c:v>
                </c:pt>
                <c:pt idx="6">
                  <c:v>29</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extLst xmlns:c15="http://schemas.microsoft.com/office/drawing/2012/chart">
            <c:ext xmlns:c16="http://schemas.microsoft.com/office/drawing/2014/chart" uri="{C3380CC4-5D6E-409C-BE32-E72D297353CC}">
              <c16:uniqueId val="{00000005-4375-41ED-83A6-56C2C5889CB2}"/>
            </c:ext>
          </c:extLst>
        </c:ser>
        <c:ser>
          <c:idx val="18"/>
          <c:order val="18"/>
          <c:tx>
            <c:strRef>
              <c:f>'G2&amp;G3_BowWave_2024SEP'!$C$30</c:f>
              <c:strCache>
                <c:ptCount val="1"/>
                <c:pt idx="0">
                  <c:v>Status Date (6-mo interval)</c:v>
                </c:pt>
              </c:strCache>
            </c:strRef>
          </c:tx>
          <c:spPr>
            <a:noFill/>
            <a:ln w="19050">
              <a:solidFill>
                <a:schemeClr val="accent1"/>
              </a:solidFill>
              <a:prstDash val="dash"/>
            </a:ln>
            <a:effectLst/>
          </c:spPr>
          <c:invertIfNegative val="0"/>
          <c:dPt>
            <c:idx val="0"/>
            <c:invertIfNegative val="0"/>
            <c:bubble3D val="0"/>
            <c:spPr>
              <a:noFill/>
              <a:ln w="19050">
                <a:solidFill>
                  <a:srgbClr val="002060"/>
                </a:solidFill>
                <a:prstDash val="dash"/>
              </a:ln>
              <a:effectLst/>
            </c:spPr>
            <c:extLst>
              <c:ext xmlns:c16="http://schemas.microsoft.com/office/drawing/2014/chart" uri="{C3380CC4-5D6E-409C-BE32-E72D297353CC}">
                <c16:uniqueId val="{00000007-4375-41ED-83A6-56C2C5889CB2}"/>
              </c:ext>
            </c:extLst>
          </c:dPt>
          <c:dPt>
            <c:idx val="6"/>
            <c:invertIfNegative val="0"/>
            <c:bubble3D val="0"/>
            <c:spPr>
              <a:noFill/>
              <a:ln w="19050">
                <a:solidFill>
                  <a:srgbClr val="FF0000"/>
                </a:solidFill>
                <a:prstDash val="dash"/>
              </a:ln>
              <a:effectLst/>
            </c:spPr>
            <c:extLst>
              <c:ext xmlns:c16="http://schemas.microsoft.com/office/drawing/2014/chart" uri="{C3380CC4-5D6E-409C-BE32-E72D297353CC}">
                <c16:uniqueId val="{00000009-4375-41ED-83A6-56C2C5889CB2}"/>
              </c:ext>
            </c:extLst>
          </c:dPt>
          <c:dPt>
            <c:idx val="12"/>
            <c:invertIfNegative val="0"/>
            <c:bubble3D val="0"/>
            <c:spPr>
              <a:noFill/>
              <a:ln w="19050">
                <a:solidFill>
                  <a:srgbClr val="002060"/>
                </a:solidFill>
                <a:prstDash val="dash"/>
              </a:ln>
              <a:effectLst/>
            </c:spPr>
            <c:extLst>
              <c:ext xmlns:c16="http://schemas.microsoft.com/office/drawing/2014/chart" uri="{C3380CC4-5D6E-409C-BE32-E72D297353CC}">
                <c16:uniqueId val="{0000000B-4375-41ED-83A6-56C2C5889CB2}"/>
              </c:ext>
            </c:extLst>
          </c:dPt>
          <c:dPt>
            <c:idx val="18"/>
            <c:invertIfNegative val="0"/>
            <c:bubble3D val="0"/>
            <c:spPr>
              <a:noFill/>
              <a:ln w="19050">
                <a:solidFill>
                  <a:srgbClr val="FF0000"/>
                </a:solidFill>
                <a:prstDash val="dash"/>
              </a:ln>
              <a:effectLst/>
            </c:spPr>
            <c:extLst>
              <c:ext xmlns:c16="http://schemas.microsoft.com/office/drawing/2014/chart" uri="{C3380CC4-5D6E-409C-BE32-E72D297353CC}">
                <c16:uniqueId val="{0000000D-4375-41ED-83A6-56C2C5889CB2}"/>
              </c:ext>
            </c:extLst>
          </c:dPt>
          <c:dPt>
            <c:idx val="32"/>
            <c:invertIfNegative val="0"/>
            <c:bubble3D val="0"/>
            <c:spPr>
              <a:noFill/>
              <a:ln w="19050">
                <a:solidFill>
                  <a:srgbClr val="FF0000"/>
                </a:solidFill>
                <a:prstDash val="dash"/>
              </a:ln>
              <a:effectLst/>
            </c:spPr>
            <c:extLst>
              <c:ext xmlns:c16="http://schemas.microsoft.com/office/drawing/2014/chart" uri="{C3380CC4-5D6E-409C-BE32-E72D297353CC}">
                <c16:uniqueId val="{0000000F-4375-41ED-83A6-56C2C5889CB2}"/>
              </c:ext>
            </c:extLst>
          </c:dPt>
          <c:dPt>
            <c:idx val="35"/>
            <c:invertIfNegative val="0"/>
            <c:bubble3D val="0"/>
            <c:spPr>
              <a:noFill/>
              <a:ln w="19050">
                <a:solidFill>
                  <a:srgbClr val="FF0000"/>
                </a:solidFill>
                <a:prstDash val="dash"/>
              </a:ln>
              <a:effectLst/>
            </c:spPr>
            <c:extLst>
              <c:ext xmlns:c16="http://schemas.microsoft.com/office/drawing/2014/chart" uri="{C3380CC4-5D6E-409C-BE32-E72D297353CC}">
                <c16:uniqueId val="{00000011-4375-41ED-83A6-56C2C5889CB2}"/>
              </c:ext>
            </c:extLst>
          </c:dPt>
          <c:dPt>
            <c:idx val="44"/>
            <c:invertIfNegative val="0"/>
            <c:bubble3D val="0"/>
            <c:spPr>
              <a:noFill/>
              <a:ln w="19050">
                <a:solidFill>
                  <a:srgbClr val="002060"/>
                </a:solidFill>
                <a:prstDash val="dash"/>
              </a:ln>
              <a:effectLst/>
            </c:spPr>
            <c:extLst>
              <c:ext xmlns:c16="http://schemas.microsoft.com/office/drawing/2014/chart" uri="{C3380CC4-5D6E-409C-BE32-E72D297353CC}">
                <c16:uniqueId val="{00000013-4375-41ED-83A6-56C2C5889CB2}"/>
              </c:ext>
            </c:extLst>
          </c:dPt>
          <c:dPt>
            <c:idx val="50"/>
            <c:invertIfNegative val="0"/>
            <c:bubble3D val="0"/>
            <c:spPr>
              <a:noFill/>
              <a:ln w="19050">
                <a:solidFill>
                  <a:srgbClr val="CC3300"/>
                </a:solidFill>
                <a:prstDash val="dash"/>
              </a:ln>
              <a:effectLst/>
            </c:spPr>
            <c:extLst>
              <c:ext xmlns:c16="http://schemas.microsoft.com/office/drawing/2014/chart" uri="{C3380CC4-5D6E-409C-BE32-E72D297353CC}">
                <c16:uniqueId val="{00000015-4375-41ED-83A6-56C2C5889CB2}"/>
              </c:ext>
            </c:extLst>
          </c:dPt>
          <c:dPt>
            <c:idx val="56"/>
            <c:invertIfNegative val="0"/>
            <c:bubble3D val="0"/>
            <c:spPr>
              <a:noFill/>
              <a:ln w="19050">
                <a:solidFill>
                  <a:srgbClr val="002060"/>
                </a:solidFill>
                <a:prstDash val="dash"/>
              </a:ln>
              <a:effectLst/>
            </c:spPr>
            <c:extLst>
              <c:ext xmlns:c16="http://schemas.microsoft.com/office/drawing/2014/chart" uri="{C3380CC4-5D6E-409C-BE32-E72D297353CC}">
                <c16:uniqueId val="{00000017-4375-41ED-83A6-56C2C5889CB2}"/>
              </c:ext>
            </c:extLst>
          </c:dPt>
          <c:dPt>
            <c:idx val="86"/>
            <c:invertIfNegative val="0"/>
            <c:bubble3D val="0"/>
            <c:spPr>
              <a:noFill/>
              <a:ln w="19050">
                <a:solidFill>
                  <a:srgbClr val="FF0000"/>
                </a:solidFill>
                <a:prstDash val="dash"/>
              </a:ln>
              <a:effectLst/>
            </c:spPr>
            <c:extLst>
              <c:ext xmlns:c16="http://schemas.microsoft.com/office/drawing/2014/chart" uri="{C3380CC4-5D6E-409C-BE32-E72D297353CC}">
                <c16:uniqueId val="{00000019-4375-41ED-83A6-56C2C5889CB2}"/>
              </c:ext>
            </c:extLst>
          </c:dPt>
          <c:cat>
            <c:numRef>
              <c:f>'G2&amp;G3_BowWave_2024SEP'!$D$11:$IX$11</c:f>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f>'G2&amp;G3_BowWave_2024SEP'!$D$30:$IX$30</c:f>
              <c:numCache>
                <c:formatCode>General</c:formatCode>
                <c:ptCount val="25"/>
                <c:pt idx="0">
                  <c:v>125</c:v>
                </c:pt>
                <c:pt idx="6">
                  <c:v>125</c:v>
                </c:pt>
                <c:pt idx="12">
                  <c:v>125</c:v>
                </c:pt>
              </c:numCache>
            </c:numRef>
          </c:val>
          <c:extLst>
            <c:ext xmlns:c16="http://schemas.microsoft.com/office/drawing/2014/chart" uri="{C3380CC4-5D6E-409C-BE32-E72D297353CC}">
              <c16:uniqueId val="{0000001A-4375-41ED-83A6-56C2C5889CB2}"/>
            </c:ext>
          </c:extLst>
        </c:ser>
        <c:dLbls>
          <c:showLegendKey val="0"/>
          <c:showVal val="0"/>
          <c:showCatName val="0"/>
          <c:showSerName val="0"/>
          <c:showPercent val="0"/>
          <c:showBubbleSize val="0"/>
        </c:dLbls>
        <c:gapWidth val="150"/>
        <c:axId val="2001818015"/>
        <c:axId val="2001820415"/>
        <c:extLst>
          <c:ext xmlns:c15="http://schemas.microsoft.com/office/drawing/2012/chart" uri="{02D57815-91ED-43cb-92C2-25804820EDAC}">
            <c15:filteredBarSeries>
              <c15:ser>
                <c:idx val="0"/>
                <c:order val="0"/>
                <c:tx>
                  <c:strRef>
                    <c:extLst>
                      <c:ext uri="{02D57815-91ED-43cb-92C2-25804820EDAC}">
                        <c15:formulaRef>
                          <c15:sqref>'G2&amp;G3_BowWave_2024SEP'!$C$12</c15:sqref>
                        </c15:formulaRef>
                      </c:ext>
                    </c:extLst>
                    <c:strCache>
                      <c:ptCount val="1"/>
                      <c:pt idx="0">
                        <c:v>Baselined to Start</c:v>
                      </c:pt>
                    </c:strCache>
                  </c:strRef>
                </c:tx>
                <c:spPr>
                  <a:solidFill>
                    <a:schemeClr val="bg2">
                      <a:lumMod val="50000"/>
                    </a:schemeClr>
                  </a:solidFill>
                  <a:ln>
                    <a:solidFill>
                      <a:schemeClr val="tx1"/>
                    </a:solidFill>
                  </a:ln>
                  <a:effectLst/>
                </c:spPr>
                <c:invertIfNegative val="0"/>
                <c:cat>
                  <c:numRef>
                    <c:extLst>
                      <c:ext uri="{02D57815-91ED-43cb-92C2-25804820EDAC}">
                        <c15:formulaRef>
                          <c15:sqref>'G2&amp;G3_BowWave_2024SEP'!$D$11:$IX$11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c:ext uri="{02D57815-91ED-43cb-92C2-25804820EDAC}">
                        <c15:formulaRef>
                          <c15:sqref>'G2&amp;G3_BowWave_2024SEP'!$D$12:$IX$12</c15:sqref>
                        </c15:formulaRef>
                      </c:ext>
                    </c:extLst>
                    <c:numCache>
                      <c:formatCode>General</c:formatCode>
                      <c:ptCount val="25"/>
                      <c:pt idx="0">
                        <c:v>75</c:v>
                      </c:pt>
                      <c:pt idx="1">
                        <c:v>47</c:v>
                      </c:pt>
                      <c:pt idx="2">
                        <c:v>46</c:v>
                      </c:pt>
                      <c:pt idx="3">
                        <c:v>89</c:v>
                      </c:pt>
                      <c:pt idx="4">
                        <c:v>81</c:v>
                      </c:pt>
                      <c:pt idx="5">
                        <c:v>90</c:v>
                      </c:pt>
                      <c:pt idx="6">
                        <c:v>39</c:v>
                      </c:pt>
                      <c:pt idx="7">
                        <c:v>87</c:v>
                      </c:pt>
                      <c:pt idx="8">
                        <c:v>52</c:v>
                      </c:pt>
                      <c:pt idx="9">
                        <c:v>52</c:v>
                      </c:pt>
                      <c:pt idx="10">
                        <c:v>35</c:v>
                      </c:pt>
                      <c:pt idx="11">
                        <c:v>10</c:v>
                      </c:pt>
                      <c:pt idx="12">
                        <c:v>30</c:v>
                      </c:pt>
                      <c:pt idx="13">
                        <c:v>26</c:v>
                      </c:pt>
                      <c:pt idx="14">
                        <c:v>8</c:v>
                      </c:pt>
                      <c:pt idx="15">
                        <c:v>7</c:v>
                      </c:pt>
                      <c:pt idx="16">
                        <c:v>1</c:v>
                      </c:pt>
                      <c:pt idx="17">
                        <c:v>1</c:v>
                      </c:pt>
                      <c:pt idx="18">
                        <c:v>1</c:v>
                      </c:pt>
                      <c:pt idx="19">
                        <c:v>1</c:v>
                      </c:pt>
                      <c:pt idx="20">
                        <c:v>4</c:v>
                      </c:pt>
                      <c:pt idx="21">
                        <c:v>5</c:v>
                      </c:pt>
                      <c:pt idx="22">
                        <c:v>1</c:v>
                      </c:pt>
                      <c:pt idx="23">
                        <c:v>1</c:v>
                      </c:pt>
                      <c:pt idx="24">
                        <c:v>0</c:v>
                      </c:pt>
                    </c:numCache>
                  </c:numRef>
                </c:val>
                <c:extLst>
                  <c:ext xmlns:c16="http://schemas.microsoft.com/office/drawing/2014/chart" uri="{C3380CC4-5D6E-409C-BE32-E72D297353CC}">
                    <c16:uniqueId val="{0000001E-4375-41ED-83A6-56C2C5889CB2}"/>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'G2&amp;G3_BowWave_2024SEP'!$C$13</c15:sqref>
                        </c15:formulaRef>
                      </c:ext>
                    </c:extLst>
                    <c:strCache>
                      <c:ptCount val="1"/>
                      <c:pt idx="0">
                        <c:v>Scheduled to Start</c:v>
                      </c:pt>
                    </c:strCache>
                  </c:strRef>
                </c:tx>
                <c:spPr>
                  <a:solidFill>
                    <a:srgbClr val="FFC000"/>
                  </a:solidFill>
                  <a:ln>
                    <a:solidFill>
                      <a:schemeClr val="accent2"/>
                    </a:solidFill>
                  </a:ln>
                  <a:effectLst/>
                </c:spPr>
                <c:invertIfNegative val="0"/>
                <c:cat>
                  <c:numRef>
                    <c:extLst xmlns:c15="http://schemas.microsoft.com/office/drawing/2012/chart">
                      <c:ext xmlns:c15="http://schemas.microsoft.com/office/drawing/2012/chart" uri="{02D57815-91ED-43cb-92C2-25804820EDAC}">
                        <c15:formulaRef>
                          <c15:sqref>'G2&amp;G3_BowWave_2024SEP'!$D$11:$IX$11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'G2&amp;G3_BowWave_2024SEP'!$D$13:$IX$13</c15:sqref>
                        </c15:formulaRef>
                      </c:ext>
                    </c:extLst>
                    <c:numCache>
                      <c:formatCode>General</c:formatCode>
                      <c:ptCount val="25"/>
                      <c:pt idx="0">
                        <c:v>61</c:v>
                      </c:pt>
                      <c:pt idx="1">
                        <c:v>59</c:v>
                      </c:pt>
                      <c:pt idx="2">
                        <c:v>40</c:v>
                      </c:pt>
                      <c:pt idx="3">
                        <c:v>49</c:v>
                      </c:pt>
                      <c:pt idx="4">
                        <c:v>46</c:v>
                      </c:pt>
                      <c:pt idx="5">
                        <c:v>35</c:v>
                      </c:pt>
                      <c:pt idx="6">
                        <c:v>25</c:v>
                      </c:pt>
                      <c:pt idx="7">
                        <c:v>70</c:v>
                      </c:pt>
                      <c:pt idx="8">
                        <c:v>63</c:v>
                      </c:pt>
                      <c:pt idx="9">
                        <c:v>71</c:v>
                      </c:pt>
                      <c:pt idx="10">
                        <c:v>80</c:v>
                      </c:pt>
                      <c:pt idx="11">
                        <c:v>59</c:v>
                      </c:pt>
                      <c:pt idx="12">
                        <c:v>51</c:v>
                      </c:pt>
                      <c:pt idx="13">
                        <c:v>69</c:v>
                      </c:pt>
                      <c:pt idx="14">
                        <c:v>37</c:v>
                      </c:pt>
                      <c:pt idx="15">
                        <c:v>43</c:v>
                      </c:pt>
                      <c:pt idx="16">
                        <c:v>18</c:v>
                      </c:pt>
                      <c:pt idx="17">
                        <c:v>9</c:v>
                      </c:pt>
                      <c:pt idx="18">
                        <c:v>1</c:v>
                      </c:pt>
                      <c:pt idx="19">
                        <c:v>1</c:v>
                      </c:pt>
                      <c:pt idx="20">
                        <c:v>11</c:v>
                      </c:pt>
                      <c:pt idx="21">
                        <c:v>12</c:v>
                      </c:pt>
                      <c:pt idx="22">
                        <c:v>10</c:v>
                      </c:pt>
                      <c:pt idx="23">
                        <c:v>7</c:v>
                      </c:pt>
                      <c:pt idx="24">
                        <c:v>21</c:v>
                      </c:pt>
                    </c:numCache>
                  </c:numRef>
                </c:val>
                <c:extLst xmlns:c15="http://schemas.microsoft.com/office/drawing/2012/chart">
                  <c:ext xmlns:c16="http://schemas.microsoft.com/office/drawing/2014/chart" uri="{C3380CC4-5D6E-409C-BE32-E72D297353CC}">
                    <c16:uniqueId val="{0000001F-4375-41ED-83A6-56C2C5889CB2}"/>
                  </c:ext>
                </c:extLst>
              </c15:ser>
            </c15:filteredBarSeries>
            <c15:filteredBarSeries>
              <c15:ser>
                <c:idx val="21"/>
                <c:order val="2"/>
                <c:tx>
                  <c:strRef>
                    <c:extLst xmlns:c15="http://schemas.microsoft.com/office/drawing/2012/chart">
                      <c:ext xmlns:c15="http://schemas.microsoft.com/office/drawing/2012/chart" uri="{02D57815-91ED-43cb-92C2-25804820EDAC}">
                        <c15:formulaRef>
                          <c15:sqref>'G2&amp;G3_BowWave_2024SEP'!$C$14</c15:sqref>
                        </c15:formulaRef>
                      </c:ext>
                    </c:extLst>
                    <c:strCache>
                      <c:ptCount val="1"/>
                      <c:pt idx="0">
                        <c:v>Actual Starts</c:v>
                      </c:pt>
                    </c:strCache>
                  </c:strRef>
                </c:tx>
                <c:spPr>
                  <a:solidFill>
                    <a:srgbClr val="92D050"/>
                  </a:solidFill>
                  <a:ln>
                    <a:solidFill>
                      <a:schemeClr val="accent6">
                        <a:lumMod val="75000"/>
                      </a:schemeClr>
                    </a:solidFill>
                  </a:ln>
                  <a:effectLst/>
                </c:spPr>
                <c:invertIfNegative val="0"/>
                <c:cat>
                  <c:numRef>
                    <c:extLst xmlns:c15="http://schemas.microsoft.com/office/drawing/2012/chart">
                      <c:ext xmlns:c15="http://schemas.microsoft.com/office/drawing/2012/chart" uri="{02D57815-91ED-43cb-92C2-25804820EDAC}">
                        <c15:formulaRef>
                          <c15:sqref>'G2&amp;G3_BowWave_2024SEP'!$D$11:$IX$11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'G2&amp;G3_BowWave_2024SEP'!$D$14:$IX$14</c15:sqref>
                        </c15:formulaRef>
                      </c:ext>
                    </c:extLst>
                    <c:numCache>
                      <c:formatCode>General</c:formatCode>
                      <c:ptCount val="25"/>
                      <c:pt idx="0">
                        <c:v>61</c:v>
                      </c:pt>
                      <c:pt idx="1">
                        <c:v>59</c:v>
                      </c:pt>
                      <c:pt idx="2">
                        <c:v>40</c:v>
                      </c:pt>
                      <c:pt idx="3">
                        <c:v>49</c:v>
                      </c:pt>
                      <c:pt idx="4">
                        <c:v>46</c:v>
                      </c:pt>
                      <c:pt idx="5">
                        <c:v>35</c:v>
                      </c:pt>
                      <c:pt idx="6">
                        <c:v>18</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extLst xmlns:c15="http://schemas.microsoft.com/office/drawing/2012/chart">
                  <c:ext xmlns:c16="http://schemas.microsoft.com/office/drawing/2014/chart" uri="{C3380CC4-5D6E-409C-BE32-E72D297353CC}">
                    <c16:uniqueId val="{00000020-4375-41ED-83A6-56C2C5889CB2}"/>
                  </c:ext>
                </c:extLst>
              </c15:ser>
            </c15:filteredBarSeries>
          </c:ext>
        </c:extLst>
      </c:barChart>
      <c:lineChart>
        <c:grouping val="standard"/>
        <c:varyColors val="0"/>
        <c:ser>
          <c:idx val="13"/>
          <c:order val="13"/>
          <c:tx>
            <c:strRef>
              <c:f>'G2&amp;G3_BowWave_2024SEP'!$C$25</c:f>
              <c:strCache>
                <c:ptCount val="1"/>
                <c:pt idx="0">
                  <c:v>BEI - Finishes</c:v>
                </c:pt>
              </c:strCache>
            </c:strRef>
          </c:tx>
          <c:spPr>
            <a:ln w="28575"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tx1"/>
                </a:solidFill>
              </a:ln>
              <a:effectLst/>
            </c:spPr>
          </c:marker>
          <c:cat>
            <c:numRef>
              <c:f>'G2&amp;G3_BowWave_2024SEP'!$D$11:$IX$11</c:f>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f>'G2&amp;G3_BowWave_2024SEP'!$D$25:$IX$25</c:f>
              <c:numCache>
                <c:formatCode>General</c:formatCode>
                <c:ptCount val="25"/>
                <c:pt idx="6">
                  <c:v>0.85</c:v>
                </c:pt>
                <c:pt idx="7">
                  <c:v>0.84</c:v>
                </c:pt>
                <c:pt idx="8">
                  <c:v>0.84</c:v>
                </c:pt>
                <c:pt idx="9">
                  <c:v>0.83</c:v>
                </c:pt>
                <c:pt idx="10">
                  <c:v>0.85</c:v>
                </c:pt>
                <c:pt idx="11">
                  <c:v>0.86</c:v>
                </c:pt>
                <c:pt idx="12">
                  <c:v>0.87</c:v>
                </c:pt>
              </c:numCache>
            </c:numRef>
          </c:val>
          <c:smooth val="0"/>
          <c:extLst xmlns:c15="http://schemas.microsoft.com/office/drawing/2012/chart">
            <c:ext xmlns:c16="http://schemas.microsoft.com/office/drawing/2014/chart" uri="{C3380CC4-5D6E-409C-BE32-E72D297353CC}">
              <c16:uniqueId val="{0000001B-4375-41ED-83A6-56C2C5889CB2}"/>
            </c:ext>
          </c:extLst>
        </c:ser>
        <c:ser>
          <c:idx val="15"/>
          <c:order val="15"/>
          <c:tx>
            <c:strRef>
              <c:f>'G2&amp;G3_BowWave_2024SEP'!$C$27</c:f>
              <c:strCache>
                <c:ptCount val="1"/>
                <c:pt idx="0">
                  <c:v>HMI - Finishes</c:v>
                </c:pt>
              </c:strCache>
            </c:strRef>
          </c:tx>
          <c:spPr>
            <a:ln w="28575"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tx1"/>
                </a:solidFill>
              </a:ln>
              <a:effectLst/>
            </c:spPr>
          </c:marker>
          <c:cat>
            <c:numRef>
              <c:f>'G2&amp;G3_BowWave_2024SEP'!$D$11:$IX$11</c:f>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f>'G2&amp;G3_BowWave_2024SEP'!$D$27:$IX$27</c:f>
              <c:numCache>
                <c:formatCode>General</c:formatCode>
                <c:ptCount val="25"/>
                <c:pt idx="7">
                  <c:v>0.01</c:v>
                </c:pt>
                <c:pt idx="8">
                  <c:v>0.04</c:v>
                </c:pt>
                <c:pt idx="9">
                  <c:v>0.02</c:v>
                </c:pt>
              </c:numCache>
            </c:numRef>
          </c:val>
          <c:smooth val="0"/>
          <c:extLst xmlns:c15="http://schemas.microsoft.com/office/drawing/2012/chart">
            <c:ext xmlns:c16="http://schemas.microsoft.com/office/drawing/2014/chart" uri="{C3380CC4-5D6E-409C-BE32-E72D297353CC}">
              <c16:uniqueId val="{0000001C-4375-41ED-83A6-56C2C5889CB2}"/>
            </c:ext>
          </c:extLst>
        </c:ser>
        <c:ser>
          <c:idx val="17"/>
          <c:order val="17"/>
          <c:tx>
            <c:strRef>
              <c:f>'G2&amp;G3_BowWave_2024SEP'!$C$29</c:f>
              <c:strCache>
                <c:ptCount val="1"/>
                <c:pt idx="0">
                  <c:v>CEI - Finishes</c:v>
                </c:pt>
              </c:strCache>
            </c:strRef>
          </c:tx>
          <c:spPr>
            <a:ln w="28575" cap="rnd">
              <a:solidFill>
                <a:schemeClr val="accent6">
                  <a:lumMod val="80000"/>
                  <a:lumOff val="20000"/>
                </a:schemeClr>
              </a:solidFill>
              <a:round/>
            </a:ln>
            <a:effectLst/>
          </c:spPr>
          <c:marker>
            <c:symbol val="circle"/>
            <c:size val="5"/>
            <c:spPr>
              <a:solidFill>
                <a:schemeClr val="accent6">
                  <a:lumMod val="80000"/>
                  <a:lumOff val="20000"/>
                </a:schemeClr>
              </a:solidFill>
              <a:ln w="9525">
                <a:solidFill>
                  <a:schemeClr val="tx1"/>
                </a:solidFill>
              </a:ln>
              <a:effectLst/>
            </c:spPr>
          </c:marker>
          <c:cat>
            <c:numRef>
              <c:f>'G2&amp;G3_BowWave_2024SEP'!$D$11:$IX$11</c:f>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f>'G2&amp;G3_BowWave_2024SEP'!$D$29:$IX$29</c:f>
              <c:numCache>
                <c:formatCode>General</c:formatCode>
                <c:ptCount val="25"/>
                <c:pt idx="7">
                  <c:v>0.3</c:v>
                </c:pt>
                <c:pt idx="8">
                  <c:v>0.42</c:v>
                </c:pt>
                <c:pt idx="9">
                  <c:v>0.35</c:v>
                </c:pt>
              </c:numCache>
            </c:numRef>
          </c:val>
          <c:smooth val="0"/>
          <c:extLst xmlns:c15="http://schemas.microsoft.com/office/drawing/2012/chart">
            <c:ext xmlns:c16="http://schemas.microsoft.com/office/drawing/2014/chart" uri="{C3380CC4-5D6E-409C-BE32-E72D297353CC}">
              <c16:uniqueId val="{0000001D-4375-41ED-83A6-56C2C5889CB2}"/>
            </c:ext>
          </c:extLst>
        </c:ser>
        <c:dLbls>
          <c:showLegendKey val="0"/>
          <c:showVal val="0"/>
          <c:showCatName val="0"/>
          <c:showSerName val="0"/>
          <c:showPercent val="0"/>
          <c:showBubbleSize val="0"/>
        </c:dLbls>
        <c:marker val="1"/>
        <c:smooth val="0"/>
        <c:axId val="1121466879"/>
        <c:axId val="1121471199"/>
        <c:extLst>
          <c:ext xmlns:c15="http://schemas.microsoft.com/office/drawing/2012/chart" uri="{02D57815-91ED-43cb-92C2-25804820EDAC}">
            <c15:filteredLineSeries>
              <c15:ser>
                <c:idx val="12"/>
                <c:order val="12"/>
                <c:tx>
                  <c:strRef>
                    <c:extLst>
                      <c:ext uri="{02D57815-91ED-43cb-92C2-25804820EDAC}">
                        <c15:formulaRef>
                          <c15:sqref>'G2&amp;G3_BowWave_2024SEP'!$C$24</c15:sqref>
                        </c15:formulaRef>
                      </c:ext>
                    </c:extLst>
                    <c:strCache>
                      <c:ptCount val="1"/>
                      <c:pt idx="0">
                        <c:v>BEI - Starts</c:v>
                      </c:pt>
                    </c:strCache>
                  </c:strRef>
                </c:tx>
                <c:spPr>
                  <a:ln w="28575" cap="rnd">
                    <a:solidFill>
                      <a:schemeClr val="accent2"/>
                    </a:solidFill>
                    <a:round/>
                  </a:ln>
                  <a:effectLst/>
                </c:spPr>
                <c:marker>
                  <c:symbol val="circle"/>
                  <c:size val="5"/>
                  <c:spPr>
                    <a:solidFill>
                      <a:schemeClr val="accent2"/>
                    </a:solidFill>
                    <a:ln w="9525">
                      <a:solidFill>
                        <a:schemeClr val="tx1"/>
                      </a:solidFill>
                    </a:ln>
                    <a:effectLst/>
                  </c:spPr>
                </c:marker>
                <c:cat>
                  <c:numRef>
                    <c:extLst>
                      <c:ext uri="{02D57815-91ED-43cb-92C2-25804820EDAC}">
                        <c15:formulaRef>
                          <c15:sqref>'G2&amp;G3_BowWave_2024SEP'!$D$11:$IX$11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c:ext uri="{02D57815-91ED-43cb-92C2-25804820EDAC}">
                        <c15:formulaRef>
                          <c15:sqref>'G2&amp;G3_BowWave_2024SEP'!$D$24:$IX$24</c15:sqref>
                        </c15:formulaRef>
                      </c:ext>
                    </c:extLst>
                    <c:numCache>
                      <c:formatCode>General</c:formatCode>
                      <c:ptCount val="25"/>
                      <c:pt idx="6">
                        <c:v>0.87</c:v>
                      </c:pt>
                      <c:pt idx="7">
                        <c:v>0.85</c:v>
                      </c:pt>
                      <c:pt idx="8">
                        <c:v>0.85</c:v>
                      </c:pt>
                      <c:pt idx="9">
                        <c:v>0.85</c:v>
                      </c:pt>
                      <c:pt idx="10">
                        <c:v>0.86</c:v>
                      </c:pt>
                      <c:pt idx="11">
                        <c:v>0.87</c:v>
                      </c:pt>
                      <c:pt idx="12">
                        <c:v>0.88</c:v>
                      </c:pt>
                    </c:numCache>
                  </c:numRef>
                </c:val>
                <c:smooth val="0"/>
                <c:extLst>
                  <c:ext xmlns:c16="http://schemas.microsoft.com/office/drawing/2014/chart" uri="{C3380CC4-5D6E-409C-BE32-E72D297353CC}">
                    <c16:uniqueId val="{0000002E-4375-41ED-83A6-56C2C5889CB2}"/>
                  </c:ext>
                </c:extLst>
              </c15:ser>
            </c15:filteredLineSeries>
            <c15:filteredLineSeries>
              <c15:ser>
                <c:idx val="14"/>
                <c:order val="14"/>
                <c:tx>
                  <c:strRef>
                    <c:extLst xmlns:c15="http://schemas.microsoft.com/office/drawing/2012/chart">
                      <c:ext xmlns:c15="http://schemas.microsoft.com/office/drawing/2012/chart" uri="{02D57815-91ED-43cb-92C2-25804820EDAC}">
                        <c15:formulaRef>
                          <c15:sqref>'G2&amp;G3_BowWave_2024SEP'!$C$26</c15:sqref>
                        </c15:formulaRef>
                      </c:ext>
                    </c:extLst>
                    <c:strCache>
                      <c:ptCount val="1"/>
                      <c:pt idx="0">
                        <c:v>HMI - Starts</c:v>
                      </c:pt>
                    </c:strCache>
                  </c:strRef>
                </c:tx>
                <c:spPr>
                  <a:ln w="28575" cap="rnd">
                    <a:solidFill>
                      <a:schemeClr val="accent1"/>
                    </a:solidFill>
                    <a:round/>
                  </a:ln>
                  <a:effectLst/>
                </c:spPr>
                <c:marker>
                  <c:symbol val="circle"/>
                  <c:size val="5"/>
                  <c:spPr>
                    <a:solidFill>
                      <a:schemeClr val="accent1"/>
                    </a:solidFill>
                    <a:ln w="9525">
                      <a:solidFill>
                        <a:schemeClr val="tx1"/>
                      </a:solidFill>
                    </a:ln>
                    <a:effectLst/>
                  </c:spPr>
                </c:marker>
                <c:cat>
                  <c:numRef>
                    <c:extLst xmlns:c15="http://schemas.microsoft.com/office/drawing/2012/chart">
                      <c:ext xmlns:c15="http://schemas.microsoft.com/office/drawing/2012/chart" uri="{02D57815-91ED-43cb-92C2-25804820EDAC}">
                        <c15:formulaRef>
                          <c15:sqref>'G2&amp;G3_BowWave_2024SEP'!$D$11:$IX$11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'G2&amp;G3_BowWave_2024SEP'!$D$26:$IX$26</c15:sqref>
                        </c15:formulaRef>
                      </c:ext>
                    </c:extLst>
                    <c:numCache>
                      <c:formatCode>General</c:formatCode>
                      <c:ptCount val="25"/>
                      <c:pt idx="7">
                        <c:v>0.02</c:v>
                      </c:pt>
                      <c:pt idx="8">
                        <c:v>0.02</c:v>
                      </c:pt>
                      <c:pt idx="9">
                        <c:v>0.04</c:v>
                      </c:pt>
                    </c:numCache>
                  </c:numRef>
                </c:val>
                <c:smooth val="0"/>
                <c:extLst xmlns:c15="http://schemas.microsoft.com/office/drawing/2012/chart">
                  <c:ext xmlns:c16="http://schemas.microsoft.com/office/drawing/2014/chart" uri="{C3380CC4-5D6E-409C-BE32-E72D297353CC}">
                    <c16:uniqueId val="{0000002F-4375-41ED-83A6-56C2C5889CB2}"/>
                  </c:ext>
                </c:extLst>
              </c15:ser>
            </c15:filteredLineSeries>
            <c15:filteredLineSeries>
              <c15:ser>
                <c:idx val="16"/>
                <c:order val="16"/>
                <c:tx>
                  <c:strRef>
                    <c:extLst xmlns:c15="http://schemas.microsoft.com/office/drawing/2012/chart">
                      <c:ext xmlns:c15="http://schemas.microsoft.com/office/drawing/2012/chart" uri="{02D57815-91ED-43cb-92C2-25804820EDAC}">
                        <c15:formulaRef>
                          <c15:sqref>'G2&amp;G3_BowWave_2024SEP'!$C$28</c15:sqref>
                        </c15:formulaRef>
                      </c:ext>
                    </c:extLst>
                    <c:strCache>
                      <c:ptCount val="1"/>
                      <c:pt idx="0">
                        <c:v>CEI - Starts</c:v>
                      </c:pt>
                    </c:strCache>
                  </c:strRef>
                </c:tx>
                <c:spPr>
                  <a:ln w="28575" cap="rnd">
                    <a:solidFill>
                      <a:schemeClr val="accent6"/>
                    </a:solidFill>
                    <a:round/>
                  </a:ln>
                  <a:effectLst/>
                </c:spPr>
                <c:marker>
                  <c:symbol val="circle"/>
                  <c:size val="5"/>
                  <c:spPr>
                    <a:solidFill>
                      <a:schemeClr val="accent6"/>
                    </a:solidFill>
                    <a:ln w="9525">
                      <a:solidFill>
                        <a:schemeClr val="tx1"/>
                      </a:solidFill>
                    </a:ln>
                    <a:effectLst/>
                  </c:spPr>
                </c:marker>
                <c:cat>
                  <c:numRef>
                    <c:extLst xmlns:c15="http://schemas.microsoft.com/office/drawing/2012/chart">
                      <c:ext xmlns:c15="http://schemas.microsoft.com/office/drawing/2012/chart" uri="{02D57815-91ED-43cb-92C2-25804820EDAC}">
                        <c15:formulaRef>
                          <c15:sqref>'G2&amp;G3_BowWave_2024SEP'!$D$11:$IX$11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'G2&amp;G3_BowWave_2024SEP'!$D$28:$IX$28</c15:sqref>
                        </c15:formulaRef>
                      </c:ext>
                    </c:extLst>
                    <c:numCache>
                      <c:formatCode>General</c:formatCode>
                      <c:ptCount val="25"/>
                      <c:pt idx="7">
                        <c:v>0.31</c:v>
                      </c:pt>
                      <c:pt idx="8">
                        <c:v>0.51</c:v>
                      </c:pt>
                      <c:pt idx="9">
                        <c:v>0.43</c:v>
                      </c:pt>
                    </c:numCache>
                  </c:numRef>
                </c:val>
                <c:smooth val="0"/>
                <c:extLst xmlns:c15="http://schemas.microsoft.com/office/drawing/2012/chart">
                  <c:ext xmlns:c16="http://schemas.microsoft.com/office/drawing/2014/chart" uri="{C3380CC4-5D6E-409C-BE32-E72D297353CC}">
                    <c16:uniqueId val="{00000030-4375-41ED-83A6-56C2C5889CB2}"/>
                  </c:ext>
                </c:extLst>
              </c15:ser>
            </c15:filteredLineSeries>
            <c15:filteredLineSeries>
              <c15:ser>
                <c:idx val="25"/>
                <c:order val="19"/>
                <c:tx>
                  <c:strRef>
                    <c:extLst xmlns:c15="http://schemas.microsoft.com/office/drawing/2012/chart">
                      <c:ext xmlns:c15="http://schemas.microsoft.com/office/drawing/2012/chart" uri="{02D57815-91ED-43cb-92C2-25804820EDAC}">
                        <c15:formulaRef>
                          <c15:sqref>'G2&amp;G3_BowWave_2024SEP'!$C$32</c15:sqref>
                        </c15:formulaRef>
                      </c:ext>
                    </c:extLst>
                    <c:strCache>
                      <c:ptCount val="1"/>
                      <c:pt idx="0">
                        <c:v>Baselined to Start - Cumulative</c:v>
                      </c:pt>
                    </c:strCache>
                  </c:strRef>
                </c:tx>
                <c:spPr>
                  <a:ln w="28575" cap="rnd">
                    <a:solidFill>
                      <a:schemeClr val="accent2">
                        <a:lumMod val="60000"/>
                        <a:lumOff val="40000"/>
                      </a:schemeClr>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cat>
                  <c:numRef>
                    <c:extLst xmlns:c15="http://schemas.microsoft.com/office/drawing/2012/chart">
                      <c:ext xmlns:c15="http://schemas.microsoft.com/office/drawing/2012/chart" uri="{02D57815-91ED-43cb-92C2-25804820EDAC}">
                        <c15:formulaRef>
                          <c15:sqref>'G2&amp;G3_BowWave_2024SEP'!$D$11:$IX$11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'G2&amp;G3_BowWave_2024SEP'!$D$32:$DD$32</c15:sqref>
                        </c15:formulaRef>
                      </c:ext>
                    </c:extLst>
                    <c:numCache>
                      <c:formatCode>0</c:formatCode>
                      <c:ptCount val="25"/>
                      <c:pt idx="0">
                        <c:v>1843</c:v>
                      </c:pt>
                      <c:pt idx="1">
                        <c:v>1890</c:v>
                      </c:pt>
                      <c:pt idx="2">
                        <c:v>1936</c:v>
                      </c:pt>
                      <c:pt idx="3">
                        <c:v>2025</c:v>
                      </c:pt>
                      <c:pt idx="4">
                        <c:v>2106</c:v>
                      </c:pt>
                      <c:pt idx="5">
                        <c:v>2196</c:v>
                      </c:pt>
                      <c:pt idx="6">
                        <c:v>2235</c:v>
                      </c:pt>
                      <c:pt idx="7">
                        <c:v>2322</c:v>
                      </c:pt>
                      <c:pt idx="8">
                        <c:v>2374</c:v>
                      </c:pt>
                      <c:pt idx="9">
                        <c:v>2426</c:v>
                      </c:pt>
                      <c:pt idx="10">
                        <c:v>2461</c:v>
                      </c:pt>
                      <c:pt idx="11">
                        <c:v>2471</c:v>
                      </c:pt>
                      <c:pt idx="12">
                        <c:v>2501</c:v>
                      </c:pt>
                      <c:pt idx="13">
                        <c:v>2527</c:v>
                      </c:pt>
                      <c:pt idx="14">
                        <c:v>2535</c:v>
                      </c:pt>
                      <c:pt idx="15">
                        <c:v>2542</c:v>
                      </c:pt>
                      <c:pt idx="16">
                        <c:v>2543</c:v>
                      </c:pt>
                      <c:pt idx="17">
                        <c:v>2544</c:v>
                      </c:pt>
                      <c:pt idx="18">
                        <c:v>2545</c:v>
                      </c:pt>
                      <c:pt idx="19">
                        <c:v>2546</c:v>
                      </c:pt>
                      <c:pt idx="20">
                        <c:v>2550</c:v>
                      </c:pt>
                      <c:pt idx="21">
                        <c:v>2555</c:v>
                      </c:pt>
                      <c:pt idx="22">
                        <c:v>2556</c:v>
                      </c:pt>
                      <c:pt idx="23">
                        <c:v>2557</c:v>
                      </c:pt>
                      <c:pt idx="24">
                        <c:v>2557</c:v>
                      </c:pt>
                    </c:numCache>
                  </c:numRef>
                </c:val>
                <c:smooth val="0"/>
                <c:extLst xmlns:c15="http://schemas.microsoft.com/office/drawing/2012/chart">
                  <c:ext xmlns:c16="http://schemas.microsoft.com/office/drawing/2014/chart" uri="{C3380CC4-5D6E-409C-BE32-E72D297353CC}">
                    <c16:uniqueId val="{00000031-4375-41ED-83A6-56C2C5889CB2}"/>
                  </c:ext>
                </c:extLst>
              </c15:ser>
            </c15:filteredLineSeries>
            <c15:filteredLineSeries>
              <c15:ser>
                <c:idx val="26"/>
                <c:order val="20"/>
                <c:tx>
                  <c:strRef>
                    <c:extLst xmlns:c15="http://schemas.microsoft.com/office/drawing/2012/chart">
                      <c:ext xmlns:c15="http://schemas.microsoft.com/office/drawing/2012/chart" uri="{02D57815-91ED-43cb-92C2-25804820EDAC}">
                        <c15:formulaRef>
                          <c15:sqref>'G2&amp;G3_BowWave_2024SEP'!$C$33</c15:sqref>
                        </c15:formulaRef>
                      </c:ext>
                    </c:extLst>
                    <c:strCache>
                      <c:ptCount val="1"/>
                      <c:pt idx="0">
                        <c:v>Scheduled to Start - Cumulative</c:v>
                      </c:pt>
                    </c:strCache>
                  </c:strRef>
                </c:tx>
                <c:spPr>
                  <a:ln w="28575" cap="rnd">
                    <a:solidFill>
                      <a:schemeClr val="accent3">
                        <a:lumMod val="60000"/>
                        <a:lumOff val="40000"/>
                      </a:schemeClr>
                    </a:solid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cat>
                  <c:numRef>
                    <c:extLst xmlns:c15="http://schemas.microsoft.com/office/drawing/2012/chart">
                      <c:ext xmlns:c15="http://schemas.microsoft.com/office/drawing/2012/chart" uri="{02D57815-91ED-43cb-92C2-25804820EDAC}">
                        <c15:formulaRef>
                          <c15:sqref>'G2&amp;G3_BowWave_2024SEP'!$D$11:$IX$11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'G2&amp;G3_BowWave_2024SEP'!$D$33:$DD$33</c15:sqref>
                        </c15:formulaRef>
                      </c:ext>
                    </c:extLst>
                    <c:numCache>
                      <c:formatCode>General</c:formatCode>
                      <c:ptCount val="25"/>
                      <c:pt idx="0">
                        <c:v>1708</c:v>
                      </c:pt>
                      <c:pt idx="1">
                        <c:v>1767</c:v>
                      </c:pt>
                      <c:pt idx="2">
                        <c:v>1807</c:v>
                      </c:pt>
                      <c:pt idx="3">
                        <c:v>1856</c:v>
                      </c:pt>
                      <c:pt idx="4">
                        <c:v>1902</c:v>
                      </c:pt>
                      <c:pt idx="5">
                        <c:v>1937</c:v>
                      </c:pt>
                      <c:pt idx="6">
                        <c:v>1962</c:v>
                      </c:pt>
                      <c:pt idx="7">
                        <c:v>2032</c:v>
                      </c:pt>
                      <c:pt idx="8">
                        <c:v>2095</c:v>
                      </c:pt>
                      <c:pt idx="9">
                        <c:v>2166</c:v>
                      </c:pt>
                      <c:pt idx="10">
                        <c:v>2246</c:v>
                      </c:pt>
                      <c:pt idx="11">
                        <c:v>2305</c:v>
                      </c:pt>
                      <c:pt idx="12">
                        <c:v>2356</c:v>
                      </c:pt>
                      <c:pt idx="13">
                        <c:v>2425</c:v>
                      </c:pt>
                      <c:pt idx="14">
                        <c:v>2462</c:v>
                      </c:pt>
                      <c:pt idx="15">
                        <c:v>2505</c:v>
                      </c:pt>
                      <c:pt idx="16">
                        <c:v>2523</c:v>
                      </c:pt>
                      <c:pt idx="17">
                        <c:v>2532</c:v>
                      </c:pt>
                      <c:pt idx="18">
                        <c:v>2533</c:v>
                      </c:pt>
                      <c:pt idx="19">
                        <c:v>2534</c:v>
                      </c:pt>
                      <c:pt idx="20">
                        <c:v>2545</c:v>
                      </c:pt>
                      <c:pt idx="21">
                        <c:v>2557</c:v>
                      </c:pt>
                      <c:pt idx="22">
                        <c:v>2567</c:v>
                      </c:pt>
                      <c:pt idx="23">
                        <c:v>2574</c:v>
                      </c:pt>
                      <c:pt idx="24">
                        <c:v>2595</c:v>
                      </c:pt>
                    </c:numCache>
                  </c:numRef>
                </c:val>
                <c:smooth val="0"/>
                <c:extLst xmlns:c15="http://schemas.microsoft.com/office/drawing/2012/chart">
                  <c:ext xmlns:c16="http://schemas.microsoft.com/office/drawing/2014/chart" uri="{C3380CC4-5D6E-409C-BE32-E72D297353CC}">
                    <c16:uniqueId val="{00000032-4375-41ED-83A6-56C2C5889CB2}"/>
                  </c:ext>
                </c:extLst>
              </c15:ser>
            </c15:filteredLineSeries>
            <c15:filteredLineSeries>
              <c15:ser>
                <c:idx val="27"/>
                <c:order val="21"/>
                <c:tx>
                  <c:strRef>
                    <c:extLst xmlns:c15="http://schemas.microsoft.com/office/drawing/2012/chart">
                      <c:ext xmlns:c15="http://schemas.microsoft.com/office/drawing/2012/chart" uri="{02D57815-91ED-43cb-92C2-25804820EDAC}">
                        <c15:formulaRef>
                          <c15:sqref>'G2&amp;G3_BowWave_2024SEP'!$C$34</c15:sqref>
                        </c15:formulaRef>
                      </c:ext>
                    </c:extLst>
                    <c:strCache>
                      <c:ptCount val="1"/>
                      <c:pt idx="0">
                        <c:v>Actual Starts - Cumulative</c:v>
                      </c:pt>
                    </c:strCache>
                  </c:strRef>
                </c:tx>
                <c:spPr>
                  <a:ln w="28575" cap="rnd">
                    <a:solidFill>
                      <a:schemeClr val="accent4">
                        <a:lumMod val="60000"/>
                        <a:lumOff val="40000"/>
                      </a:schemeClr>
                    </a:solid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cat>
                  <c:numRef>
                    <c:extLst xmlns:c15="http://schemas.microsoft.com/office/drawing/2012/chart">
                      <c:ext xmlns:c15="http://schemas.microsoft.com/office/drawing/2012/chart" uri="{02D57815-91ED-43cb-92C2-25804820EDAC}">
                        <c15:formulaRef>
                          <c15:sqref>'G2&amp;G3_BowWave_2024SEP'!$D$11:$IX$11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'G2&amp;G3_BowWave_2024SEP'!$D$34:$DD$34</c15:sqref>
                        </c15:formulaRef>
                      </c:ext>
                    </c:extLst>
                    <c:numCache>
                      <c:formatCode>General</c:formatCode>
                      <c:ptCount val="25"/>
                      <c:pt idx="0">
                        <c:v>1708</c:v>
                      </c:pt>
                      <c:pt idx="1">
                        <c:v>1767</c:v>
                      </c:pt>
                      <c:pt idx="2">
                        <c:v>1807</c:v>
                      </c:pt>
                      <c:pt idx="3">
                        <c:v>1856</c:v>
                      </c:pt>
                      <c:pt idx="4">
                        <c:v>1902</c:v>
                      </c:pt>
                      <c:pt idx="5">
                        <c:v>1937</c:v>
                      </c:pt>
                      <c:pt idx="6">
                        <c:v>1955</c:v>
                      </c:pt>
                      <c:pt idx="7">
                        <c:v>1955</c:v>
                      </c:pt>
                      <c:pt idx="8">
                        <c:v>1955</c:v>
                      </c:pt>
                      <c:pt idx="9">
                        <c:v>1955</c:v>
                      </c:pt>
                      <c:pt idx="10">
                        <c:v>1955</c:v>
                      </c:pt>
                      <c:pt idx="11">
                        <c:v>1955</c:v>
                      </c:pt>
                      <c:pt idx="12">
                        <c:v>1955</c:v>
                      </c:pt>
                      <c:pt idx="13">
                        <c:v>1955</c:v>
                      </c:pt>
                      <c:pt idx="14">
                        <c:v>1955</c:v>
                      </c:pt>
                      <c:pt idx="15">
                        <c:v>1955</c:v>
                      </c:pt>
                      <c:pt idx="16">
                        <c:v>1955</c:v>
                      </c:pt>
                      <c:pt idx="17">
                        <c:v>1955</c:v>
                      </c:pt>
                      <c:pt idx="18">
                        <c:v>1955</c:v>
                      </c:pt>
                      <c:pt idx="19">
                        <c:v>1955</c:v>
                      </c:pt>
                      <c:pt idx="20">
                        <c:v>1955</c:v>
                      </c:pt>
                      <c:pt idx="21">
                        <c:v>1955</c:v>
                      </c:pt>
                      <c:pt idx="22">
                        <c:v>1955</c:v>
                      </c:pt>
                      <c:pt idx="23">
                        <c:v>1955</c:v>
                      </c:pt>
                      <c:pt idx="24">
                        <c:v>1955</c:v>
                      </c:pt>
                    </c:numCache>
                  </c:numRef>
                </c:val>
                <c:smooth val="0"/>
                <c:extLst xmlns:c15="http://schemas.microsoft.com/office/drawing/2012/chart">
                  <c:ext xmlns:c16="http://schemas.microsoft.com/office/drawing/2014/chart" uri="{C3380CC4-5D6E-409C-BE32-E72D297353CC}">
                    <c16:uniqueId val="{00000033-4375-41ED-83A6-56C2C5889CB2}"/>
                  </c:ext>
                </c:extLst>
              </c15:ser>
            </c15:filteredLineSeries>
            <c15:filteredLineSeries>
              <c15:ser>
                <c:idx val="28"/>
                <c:order val="22"/>
                <c:tx>
                  <c:strRef>
                    <c:extLst xmlns:c15="http://schemas.microsoft.com/office/drawing/2012/chart">
                      <c:ext xmlns:c15="http://schemas.microsoft.com/office/drawing/2012/chart" uri="{02D57815-91ED-43cb-92C2-25804820EDAC}">
                        <c15:formulaRef>
                          <c15:sqref>'G2&amp;G3_BowWave_2024SEP'!$C$35</c15:sqref>
                        </c15:formulaRef>
                      </c:ext>
                    </c:extLst>
                    <c:strCache>
                      <c:ptCount val="1"/>
                      <c:pt idx="0">
                        <c:v>Baselined to Finish  - Cumulative</c:v>
                      </c:pt>
                    </c:strCache>
                  </c:strRef>
                </c:tx>
                <c:spPr>
                  <a:ln w="28575" cap="rnd">
                    <a:solidFill>
                      <a:schemeClr val="accent5">
                        <a:lumMod val="60000"/>
                        <a:lumOff val="40000"/>
                      </a:schemeClr>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cat>
                  <c:numRef>
                    <c:extLst xmlns:c15="http://schemas.microsoft.com/office/drawing/2012/chart">
                      <c:ext xmlns:c15="http://schemas.microsoft.com/office/drawing/2012/chart" uri="{02D57815-91ED-43cb-92C2-25804820EDAC}">
                        <c15:formulaRef>
                          <c15:sqref>'G2&amp;G3_BowWave_2024SEP'!$D$11:$IX$11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'G2&amp;G3_BowWave_2024SEP'!$D$35:$DD$35</c15:sqref>
                        </c15:formulaRef>
                      </c:ext>
                    </c:extLst>
                    <c:numCache>
                      <c:formatCode>General</c:formatCode>
                      <c:ptCount val="25"/>
                      <c:pt idx="0">
                        <c:v>1793</c:v>
                      </c:pt>
                      <c:pt idx="1">
                        <c:v>1842</c:v>
                      </c:pt>
                      <c:pt idx="2">
                        <c:v>1898</c:v>
                      </c:pt>
                      <c:pt idx="3">
                        <c:v>1978</c:v>
                      </c:pt>
                      <c:pt idx="4">
                        <c:v>2057</c:v>
                      </c:pt>
                      <c:pt idx="5">
                        <c:v>2164</c:v>
                      </c:pt>
                      <c:pt idx="6">
                        <c:v>2224</c:v>
                      </c:pt>
                      <c:pt idx="7">
                        <c:v>2316</c:v>
                      </c:pt>
                      <c:pt idx="8">
                        <c:v>2362</c:v>
                      </c:pt>
                      <c:pt idx="9">
                        <c:v>2411</c:v>
                      </c:pt>
                      <c:pt idx="10">
                        <c:v>2449</c:v>
                      </c:pt>
                      <c:pt idx="11">
                        <c:v>2465</c:v>
                      </c:pt>
                      <c:pt idx="12">
                        <c:v>2494</c:v>
                      </c:pt>
                      <c:pt idx="13">
                        <c:v>2519</c:v>
                      </c:pt>
                      <c:pt idx="14">
                        <c:v>2531</c:v>
                      </c:pt>
                      <c:pt idx="15">
                        <c:v>2539</c:v>
                      </c:pt>
                      <c:pt idx="16">
                        <c:v>2541</c:v>
                      </c:pt>
                      <c:pt idx="17">
                        <c:v>2542</c:v>
                      </c:pt>
                      <c:pt idx="18">
                        <c:v>2544</c:v>
                      </c:pt>
                      <c:pt idx="19">
                        <c:v>2546</c:v>
                      </c:pt>
                      <c:pt idx="20">
                        <c:v>2548</c:v>
                      </c:pt>
                      <c:pt idx="21">
                        <c:v>2553</c:v>
                      </c:pt>
                      <c:pt idx="22">
                        <c:v>2556</c:v>
                      </c:pt>
                      <c:pt idx="23">
                        <c:v>2557</c:v>
                      </c:pt>
                      <c:pt idx="24">
                        <c:v>2557</c:v>
                      </c:pt>
                    </c:numCache>
                  </c:numRef>
                </c:val>
                <c:smooth val="0"/>
                <c:extLst xmlns:c15="http://schemas.microsoft.com/office/drawing/2012/chart">
                  <c:ext xmlns:c16="http://schemas.microsoft.com/office/drawing/2014/chart" uri="{C3380CC4-5D6E-409C-BE32-E72D297353CC}">
                    <c16:uniqueId val="{00000034-4375-41ED-83A6-56C2C5889CB2}"/>
                  </c:ext>
                </c:extLst>
              </c15:ser>
            </c15:filteredLineSeries>
            <c15:filteredLineSeries>
              <c15:ser>
                <c:idx val="29"/>
                <c:order val="23"/>
                <c:tx>
                  <c:strRef>
                    <c:extLst xmlns:c15="http://schemas.microsoft.com/office/drawing/2012/chart">
                      <c:ext xmlns:c15="http://schemas.microsoft.com/office/drawing/2012/chart" uri="{02D57815-91ED-43cb-92C2-25804820EDAC}">
                        <c15:formulaRef>
                          <c15:sqref>'G2&amp;G3_BowWave_2024SEP'!$C$36</c15:sqref>
                        </c15:formulaRef>
                      </c:ext>
                    </c:extLst>
                    <c:strCache>
                      <c:ptCount val="1"/>
                      <c:pt idx="0">
                        <c:v>Scheduled to Finish  - Cumulative</c:v>
                      </c:pt>
                    </c:strCache>
                  </c:strRef>
                </c:tx>
                <c:spPr>
                  <a:ln w="28575" cap="rnd">
                    <a:solidFill>
                      <a:schemeClr val="accent6">
                        <a:lumMod val="60000"/>
                        <a:lumOff val="40000"/>
                      </a:schemeClr>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cat>
                  <c:numRef>
                    <c:extLst xmlns:c15="http://schemas.microsoft.com/office/drawing/2012/chart">
                      <c:ext xmlns:c15="http://schemas.microsoft.com/office/drawing/2012/chart" uri="{02D57815-91ED-43cb-92C2-25804820EDAC}">
                        <c15:formulaRef>
                          <c15:sqref>'G2&amp;G3_BowWave_2024SEP'!$D$11:$IX$11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'G2&amp;G3_BowWave_2024SEP'!$D$36:$DD$36</c15:sqref>
                        </c15:formulaRef>
                      </c:ext>
                    </c:extLst>
                    <c:numCache>
                      <c:formatCode>General</c:formatCode>
                      <c:ptCount val="25"/>
                      <c:pt idx="0">
                        <c:v>1650</c:v>
                      </c:pt>
                      <c:pt idx="1">
                        <c:v>1706</c:v>
                      </c:pt>
                      <c:pt idx="2">
                        <c:v>1749</c:v>
                      </c:pt>
                      <c:pt idx="3">
                        <c:v>1796</c:v>
                      </c:pt>
                      <c:pt idx="4">
                        <c:v>1838</c:v>
                      </c:pt>
                      <c:pt idx="5">
                        <c:v>1888</c:v>
                      </c:pt>
                      <c:pt idx="6">
                        <c:v>1919</c:v>
                      </c:pt>
                      <c:pt idx="7">
                        <c:v>1988</c:v>
                      </c:pt>
                      <c:pt idx="8">
                        <c:v>2051</c:v>
                      </c:pt>
                      <c:pt idx="9">
                        <c:v>2130</c:v>
                      </c:pt>
                      <c:pt idx="10">
                        <c:v>2219</c:v>
                      </c:pt>
                      <c:pt idx="11">
                        <c:v>2278</c:v>
                      </c:pt>
                      <c:pt idx="12">
                        <c:v>2333</c:v>
                      </c:pt>
                      <c:pt idx="13">
                        <c:v>2403</c:v>
                      </c:pt>
                      <c:pt idx="14">
                        <c:v>2452</c:v>
                      </c:pt>
                      <c:pt idx="15">
                        <c:v>2497</c:v>
                      </c:pt>
                      <c:pt idx="16">
                        <c:v>2519</c:v>
                      </c:pt>
                      <c:pt idx="17">
                        <c:v>2530</c:v>
                      </c:pt>
                      <c:pt idx="18">
                        <c:v>2532</c:v>
                      </c:pt>
                      <c:pt idx="19">
                        <c:v>2533</c:v>
                      </c:pt>
                      <c:pt idx="20">
                        <c:v>2543</c:v>
                      </c:pt>
                      <c:pt idx="21">
                        <c:v>2552</c:v>
                      </c:pt>
                      <c:pt idx="22">
                        <c:v>2565</c:v>
                      </c:pt>
                      <c:pt idx="23">
                        <c:v>2573</c:v>
                      </c:pt>
                      <c:pt idx="24">
                        <c:v>2592</c:v>
                      </c:pt>
                    </c:numCache>
                  </c:numRef>
                </c:val>
                <c:smooth val="0"/>
                <c:extLst xmlns:c15="http://schemas.microsoft.com/office/drawing/2012/chart">
                  <c:ext xmlns:c16="http://schemas.microsoft.com/office/drawing/2014/chart" uri="{C3380CC4-5D6E-409C-BE32-E72D297353CC}">
                    <c16:uniqueId val="{00000035-4375-41ED-83A6-56C2C5889CB2}"/>
                  </c:ext>
                </c:extLst>
              </c15:ser>
            </c15:filteredLineSeries>
            <c15:filteredLineSeries>
              <c15:ser>
                <c:idx val="30"/>
                <c:order val="24"/>
                <c:tx>
                  <c:strRef>
                    <c:extLst xmlns:c15="http://schemas.microsoft.com/office/drawing/2012/chart">
                      <c:ext xmlns:c15="http://schemas.microsoft.com/office/drawing/2012/chart" uri="{02D57815-91ED-43cb-92C2-25804820EDAC}">
                        <c15:formulaRef>
                          <c15:sqref>'G2&amp;G3_BowWave_2024SEP'!$C$37</c15:sqref>
                        </c15:formulaRef>
                      </c:ext>
                    </c:extLst>
                    <c:strCache>
                      <c:ptCount val="1"/>
                      <c:pt idx="0">
                        <c:v>Actual Finishes  - Cumulative</c:v>
                      </c:pt>
                    </c:strCache>
                  </c:strRef>
                </c:tx>
                <c:spPr>
                  <a:ln w="28575" cap="rnd">
                    <a:solidFill>
                      <a:schemeClr val="accent1">
                        <a:lumMod val="50000"/>
                      </a:schemeClr>
                    </a:solidFill>
                    <a:round/>
                  </a:ln>
                  <a:effectLst/>
                </c:spPr>
                <c:marker>
                  <c:symbol val="circle"/>
                  <c:size val="5"/>
                  <c:spPr>
                    <a:solidFill>
                      <a:schemeClr val="accent1">
                        <a:lumMod val="50000"/>
                      </a:schemeClr>
                    </a:solidFill>
                    <a:ln w="9525">
                      <a:solidFill>
                        <a:schemeClr val="accent1">
                          <a:lumMod val="50000"/>
                        </a:schemeClr>
                      </a:solidFill>
                    </a:ln>
                    <a:effectLst/>
                  </c:spPr>
                </c:marker>
                <c:cat>
                  <c:numRef>
                    <c:extLst xmlns:c15="http://schemas.microsoft.com/office/drawing/2012/chart">
                      <c:ext xmlns:c15="http://schemas.microsoft.com/office/drawing/2012/chart" uri="{02D57815-91ED-43cb-92C2-25804820EDAC}">
                        <c15:formulaRef>
                          <c15:sqref>'G2&amp;G3_BowWave_2024SEP'!$D$11:$IX$11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'G2&amp;G3_BowWave_2024SEP'!$D$37:$DD$37</c15:sqref>
                        </c15:formulaRef>
                      </c:ext>
                    </c:extLst>
                    <c:numCache>
                      <c:formatCode>General</c:formatCode>
                      <c:ptCount val="25"/>
                      <c:pt idx="0">
                        <c:v>1650</c:v>
                      </c:pt>
                      <c:pt idx="1">
                        <c:v>1706</c:v>
                      </c:pt>
                      <c:pt idx="2">
                        <c:v>1749</c:v>
                      </c:pt>
                      <c:pt idx="3">
                        <c:v>1796</c:v>
                      </c:pt>
                      <c:pt idx="4">
                        <c:v>1838</c:v>
                      </c:pt>
                      <c:pt idx="5">
                        <c:v>1888</c:v>
                      </c:pt>
                      <c:pt idx="6">
                        <c:v>1917</c:v>
                      </c:pt>
                      <c:pt idx="7">
                        <c:v>1917</c:v>
                      </c:pt>
                      <c:pt idx="8">
                        <c:v>1917</c:v>
                      </c:pt>
                      <c:pt idx="9">
                        <c:v>1917</c:v>
                      </c:pt>
                      <c:pt idx="10">
                        <c:v>1917</c:v>
                      </c:pt>
                      <c:pt idx="11">
                        <c:v>1917</c:v>
                      </c:pt>
                      <c:pt idx="12">
                        <c:v>1917</c:v>
                      </c:pt>
                      <c:pt idx="13">
                        <c:v>1917</c:v>
                      </c:pt>
                      <c:pt idx="14">
                        <c:v>1917</c:v>
                      </c:pt>
                      <c:pt idx="15">
                        <c:v>1917</c:v>
                      </c:pt>
                      <c:pt idx="16">
                        <c:v>1917</c:v>
                      </c:pt>
                      <c:pt idx="17">
                        <c:v>1917</c:v>
                      </c:pt>
                      <c:pt idx="18">
                        <c:v>1917</c:v>
                      </c:pt>
                      <c:pt idx="19">
                        <c:v>1917</c:v>
                      </c:pt>
                      <c:pt idx="20">
                        <c:v>1917</c:v>
                      </c:pt>
                      <c:pt idx="21">
                        <c:v>1917</c:v>
                      </c:pt>
                      <c:pt idx="22">
                        <c:v>1917</c:v>
                      </c:pt>
                      <c:pt idx="23">
                        <c:v>1917</c:v>
                      </c:pt>
                      <c:pt idx="24">
                        <c:v>1917</c:v>
                      </c:pt>
                    </c:numCache>
                  </c:numRef>
                </c:val>
                <c:smooth val="0"/>
                <c:extLst xmlns:c15="http://schemas.microsoft.com/office/drawing/2012/chart">
                  <c:ext xmlns:c16="http://schemas.microsoft.com/office/drawing/2014/chart" uri="{C3380CC4-5D6E-409C-BE32-E72D297353CC}">
                    <c16:uniqueId val="{00000036-4375-41ED-83A6-56C2C5889CB2}"/>
                  </c:ext>
                </c:extLst>
              </c15:ser>
            </c15:filteredLineSeries>
          </c:ext>
        </c:extLst>
      </c:lineChart>
      <c:dateAx>
        <c:axId val="2001818015"/>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2001820415"/>
        <c:crosses val="autoZero"/>
        <c:auto val="1"/>
        <c:lblOffset val="100"/>
        <c:baseTimeUnit val="months"/>
      </c:dateAx>
      <c:valAx>
        <c:axId val="2001820415"/>
        <c:scaling>
          <c:orientation val="minMax"/>
          <c:max val="125"/>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 of Activities</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2001818015"/>
        <c:crosses val="autoZero"/>
        <c:crossBetween val="between"/>
        <c:majorUnit val="25"/>
      </c:valAx>
      <c:valAx>
        <c:axId val="1121471199"/>
        <c:scaling>
          <c:orientation val="minMax"/>
          <c:max val="1"/>
        </c:scaling>
        <c:delete val="0"/>
        <c:axPos val="r"/>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Schedule Performance Index</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121466879"/>
        <c:crosses val="max"/>
        <c:crossBetween val="between"/>
      </c:valAx>
      <c:dateAx>
        <c:axId val="1121466879"/>
        <c:scaling>
          <c:orientation val="minMax"/>
        </c:scaling>
        <c:delete val="1"/>
        <c:axPos val="b"/>
        <c:numFmt formatCode="mmm\-yy" sourceLinked="1"/>
        <c:majorTickMark val="out"/>
        <c:minorTickMark val="none"/>
        <c:tickLblPos val="nextTo"/>
        <c:crossAx val="1121471199"/>
        <c:crosses val="autoZero"/>
        <c:auto val="1"/>
        <c:lblOffset val="100"/>
        <c:baseTimeUnit val="months"/>
        <c:majorUnit val="1"/>
        <c:minorUnit val="1"/>
      </c:date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baseline="0"/>
              <a:t>Activity Starts - As of March 2025</a:t>
            </a:r>
            <a:endParaRPr lang="en-US" sz="1600" b="1"/>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8"/>
          <c:order val="6"/>
          <c:tx>
            <c:strRef>
              <c:f>'G2&amp;G3_BowWave_2024SEP'!$C$20</c:f>
              <c:strCache>
                <c:ptCount val="1"/>
                <c:pt idx="0">
                  <c:v>Started Delayed (&gt;60 days)</c:v>
                </c:pt>
              </c:strCache>
            </c:strRef>
          </c:tx>
          <c:spPr>
            <a:solidFill>
              <a:srgbClr val="9999FF"/>
            </a:solidFill>
            <a:ln>
              <a:noFill/>
            </a:ln>
            <a:effectLst/>
          </c:spPr>
          <c:cat>
            <c:numRef>
              <c:f>'G2&amp;G3_BowWave_2024SEP'!$D$11:$IX$11</c:f>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f>'G2&amp;G3_BowWave_2024SEP'!$D$20:$IX$20</c:f>
              <c:numCache>
                <c:formatCode>General</c:formatCode>
                <c:ptCount val="25"/>
                <c:pt idx="0">
                  <c:v>4</c:v>
                </c:pt>
                <c:pt idx="1">
                  <c:v>7</c:v>
                </c:pt>
                <c:pt idx="2">
                  <c:v>1</c:v>
                </c:pt>
                <c:pt idx="3">
                  <c:v>10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extLst>
            <c:ext xmlns:c16="http://schemas.microsoft.com/office/drawing/2014/chart" uri="{C3380CC4-5D6E-409C-BE32-E72D297353CC}">
              <c16:uniqueId val="{00000000-AC6E-4AA7-A5B5-9995B357C492}"/>
            </c:ext>
          </c:extLst>
        </c:ser>
        <c:ser>
          <c:idx val="7"/>
          <c:order val="7"/>
          <c:tx>
            <c:strRef>
              <c:f>'G2&amp;G3_BowWave_2024SEP'!$C$19</c:f>
              <c:strCache>
                <c:ptCount val="1"/>
                <c:pt idx="0">
                  <c:v>Started Delayed (Between 31 to 60 days)</c:v>
                </c:pt>
              </c:strCache>
            </c:strRef>
          </c:tx>
          <c:spPr>
            <a:solidFill>
              <a:srgbClr val="FFFFCC"/>
            </a:solidFill>
            <a:ln>
              <a:noFill/>
            </a:ln>
            <a:effectLst/>
          </c:spPr>
          <c:cat>
            <c:numRef>
              <c:f>'G2&amp;G3_BowWave_2024SEP'!$D$11:$IX$11</c:f>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f>'G2&amp;G3_BowWave_2024SEP'!$D$19:$IX$19</c:f>
              <c:numCache>
                <c:formatCode>General</c:formatCode>
                <c:ptCount val="25"/>
                <c:pt idx="0">
                  <c:v>1</c:v>
                </c:pt>
                <c:pt idx="1">
                  <c:v>3</c:v>
                </c:pt>
                <c:pt idx="2">
                  <c:v>0</c:v>
                </c:pt>
                <c:pt idx="3">
                  <c:v>8</c:v>
                </c:pt>
                <c:pt idx="4">
                  <c:v>1</c:v>
                </c:pt>
                <c:pt idx="5">
                  <c:v>3</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extLst>
            <c:ext xmlns:c16="http://schemas.microsoft.com/office/drawing/2014/chart" uri="{C3380CC4-5D6E-409C-BE32-E72D297353CC}">
              <c16:uniqueId val="{00000001-AC6E-4AA7-A5B5-9995B357C492}"/>
            </c:ext>
          </c:extLst>
        </c:ser>
        <c:ser>
          <c:idx val="6"/>
          <c:order val="8"/>
          <c:tx>
            <c:strRef>
              <c:f>'G2&amp;G3_BowWave_2024SEP'!$C$18</c:f>
              <c:strCache>
                <c:ptCount val="1"/>
                <c:pt idx="0">
                  <c:v>Started Delayed (&lt;=30 days)</c:v>
                </c:pt>
              </c:strCache>
            </c:strRef>
          </c:tx>
          <c:spPr>
            <a:solidFill>
              <a:srgbClr val="00FFFF"/>
            </a:solidFill>
            <a:ln>
              <a:noFill/>
            </a:ln>
            <a:effectLst/>
          </c:spPr>
          <c:cat>
            <c:numRef>
              <c:f>'G2&amp;G3_BowWave_2024SEP'!$D$11:$IX$11</c:f>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f>'G2&amp;G3_BowWave_2024SEP'!$D$18:$IX$18</c:f>
              <c:numCache>
                <c:formatCode>General</c:formatCode>
                <c:ptCount val="25"/>
                <c:pt idx="0">
                  <c:v>9</c:v>
                </c:pt>
                <c:pt idx="1">
                  <c:v>0</c:v>
                </c:pt>
                <c:pt idx="2">
                  <c:v>3</c:v>
                </c:pt>
                <c:pt idx="3">
                  <c:v>4</c:v>
                </c:pt>
                <c:pt idx="4">
                  <c:v>3</c:v>
                </c:pt>
                <c:pt idx="5">
                  <c:v>7</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extLst>
            <c:ext xmlns:c16="http://schemas.microsoft.com/office/drawing/2014/chart" uri="{C3380CC4-5D6E-409C-BE32-E72D297353CC}">
              <c16:uniqueId val="{00000002-AC6E-4AA7-A5B5-9995B357C492}"/>
            </c:ext>
          </c:extLst>
        </c:ser>
        <c:dLbls>
          <c:showLegendKey val="0"/>
          <c:showVal val="0"/>
          <c:showCatName val="0"/>
          <c:showSerName val="0"/>
          <c:showPercent val="0"/>
          <c:showBubbleSize val="0"/>
        </c:dLbls>
        <c:axId val="2001818015"/>
        <c:axId val="2001820415"/>
        <c:extLst>
          <c:ext xmlns:c15="http://schemas.microsoft.com/office/drawing/2012/chart" uri="{02D57815-91ED-43cb-92C2-25804820EDAC}">
            <c15:filteredAreaSeries>
              <c15:ser>
                <c:idx val="9"/>
                <c:order val="9"/>
                <c:tx>
                  <c:strRef>
                    <c:extLst>
                      <c:ext uri="{02D57815-91ED-43cb-92C2-25804820EDAC}">
                        <c15:formulaRef>
                          <c15:sqref>'G2&amp;G3_BowWave_2024SEP'!$C$21</c15:sqref>
                        </c15:formulaRef>
                      </c:ext>
                    </c:extLst>
                    <c:strCache>
                      <c:ptCount val="1"/>
                      <c:pt idx="0">
                        <c:v>Completed Delayed (&lt;=30 days)</c:v>
                      </c:pt>
                    </c:strCache>
                  </c:strRef>
                </c:tx>
                <c:spPr>
                  <a:solidFill>
                    <a:schemeClr val="accent4">
                      <a:lumMod val="60000"/>
                    </a:schemeClr>
                  </a:solidFill>
                  <a:ln>
                    <a:noFill/>
                  </a:ln>
                  <a:effectLst/>
                </c:spPr>
                <c:cat>
                  <c:numRef>
                    <c:extLst>
                      <c:ext uri="{02D57815-91ED-43cb-92C2-25804820EDAC}">
                        <c15:formulaRef>
                          <c15:sqref>'G2&amp;G3_BowWave_2024SEP'!$D$11:$IX$11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c:ext uri="{02D57815-91ED-43cb-92C2-25804820EDAC}">
                        <c15:formulaRef>
                          <c15:sqref>'G2&amp;G3_BowWave_2024SEP'!$D$21:$IX$21</c15:sqref>
                        </c15:formulaRef>
                      </c:ext>
                    </c:extLst>
                    <c:numCache>
                      <c:formatCode>General</c:formatCode>
                      <c:ptCount val="25"/>
                      <c:pt idx="0">
                        <c:v>6</c:v>
                      </c:pt>
                      <c:pt idx="1">
                        <c:v>0</c:v>
                      </c:pt>
                      <c:pt idx="2">
                        <c:v>1</c:v>
                      </c:pt>
                      <c:pt idx="3">
                        <c:v>6</c:v>
                      </c:pt>
                      <c:pt idx="4">
                        <c:v>8</c:v>
                      </c:pt>
                      <c:pt idx="5">
                        <c:v>8</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extLst>
                  <c:ext xmlns:c16="http://schemas.microsoft.com/office/drawing/2014/chart" uri="{C3380CC4-5D6E-409C-BE32-E72D297353CC}">
                    <c16:uniqueId val="{00000016-AC6E-4AA7-A5B5-9995B357C492}"/>
                  </c:ext>
                </c:extLst>
              </c15:ser>
            </c15:filteredAreaSeries>
            <c15:filteredAreaSeries>
              <c15:ser>
                <c:idx val="10"/>
                <c:order val="10"/>
                <c:tx>
                  <c:strRef>
                    <c:extLst xmlns:c15="http://schemas.microsoft.com/office/drawing/2012/chart">
                      <c:ext xmlns:c15="http://schemas.microsoft.com/office/drawing/2012/chart" uri="{02D57815-91ED-43cb-92C2-25804820EDAC}">
                        <c15:formulaRef>
                          <c15:sqref>'G2&amp;G3_BowWave_2024SEP'!$C$22</c15:sqref>
                        </c15:formulaRef>
                      </c:ext>
                    </c:extLst>
                    <c:strCache>
                      <c:ptCount val="1"/>
                      <c:pt idx="0">
                        <c:v>Completed Delayed (Between 31 to 60 days)</c:v>
                      </c:pt>
                    </c:strCache>
                  </c:strRef>
                </c:tx>
                <c:spPr>
                  <a:solidFill>
                    <a:schemeClr val="accent5">
                      <a:lumMod val="60000"/>
                    </a:schemeClr>
                  </a:solidFill>
                  <a:ln>
                    <a:noFill/>
                  </a:ln>
                  <a:effectLst/>
                </c:spPr>
                <c:cat>
                  <c:numRef>
                    <c:extLst xmlns:c15="http://schemas.microsoft.com/office/drawing/2012/chart">
                      <c:ext xmlns:c15="http://schemas.microsoft.com/office/drawing/2012/chart" uri="{02D57815-91ED-43cb-92C2-25804820EDAC}">
                        <c15:formulaRef>
                          <c15:sqref>'G2&amp;G3_BowWave_2024SEP'!$D$11:$IX$11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'G2&amp;G3_BowWave_2024SEP'!$D$22:$IX$22</c15:sqref>
                        </c15:formulaRef>
                      </c:ext>
                    </c:extLst>
                    <c:numCache>
                      <c:formatCode>General</c:formatCode>
                      <c:ptCount val="25"/>
                      <c:pt idx="0">
                        <c:v>0</c:v>
                      </c:pt>
                      <c:pt idx="1">
                        <c:v>3</c:v>
                      </c:pt>
                      <c:pt idx="2">
                        <c:v>6</c:v>
                      </c:pt>
                      <c:pt idx="3">
                        <c:v>7</c:v>
                      </c:pt>
                      <c:pt idx="4">
                        <c:v>3</c:v>
                      </c:pt>
                      <c:pt idx="5">
                        <c:v>3</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extLst xmlns:c15="http://schemas.microsoft.com/office/drawing/2012/chart">
                  <c:ext xmlns:c16="http://schemas.microsoft.com/office/drawing/2014/chart" uri="{C3380CC4-5D6E-409C-BE32-E72D297353CC}">
                    <c16:uniqueId val="{00000017-AC6E-4AA7-A5B5-9995B357C492}"/>
                  </c:ext>
                </c:extLst>
              </c15:ser>
            </c15:filteredAreaSeries>
            <c15:filteredAreaSeries>
              <c15:ser>
                <c:idx val="11"/>
                <c:order val="11"/>
                <c:tx>
                  <c:strRef>
                    <c:extLst xmlns:c15="http://schemas.microsoft.com/office/drawing/2012/chart">
                      <c:ext xmlns:c15="http://schemas.microsoft.com/office/drawing/2012/chart" uri="{02D57815-91ED-43cb-92C2-25804820EDAC}">
                        <c15:formulaRef>
                          <c15:sqref>'G2&amp;G3_BowWave_2024SEP'!$C$23</c15:sqref>
                        </c15:formulaRef>
                      </c:ext>
                    </c:extLst>
                    <c:strCache>
                      <c:ptCount val="1"/>
                      <c:pt idx="0">
                        <c:v>Completed Delayed (&gt;60 days)</c:v>
                      </c:pt>
                    </c:strCache>
                  </c:strRef>
                </c:tx>
                <c:spPr>
                  <a:solidFill>
                    <a:schemeClr val="accent6">
                      <a:lumMod val="60000"/>
                    </a:schemeClr>
                  </a:solidFill>
                  <a:ln>
                    <a:noFill/>
                  </a:ln>
                  <a:effectLst/>
                </c:spPr>
                <c:cat>
                  <c:numRef>
                    <c:extLst xmlns:c15="http://schemas.microsoft.com/office/drawing/2012/chart">
                      <c:ext xmlns:c15="http://schemas.microsoft.com/office/drawing/2012/chart" uri="{02D57815-91ED-43cb-92C2-25804820EDAC}">
                        <c15:formulaRef>
                          <c15:sqref>'G2&amp;G3_BowWave_2024SEP'!$D$11:$IX$11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'G2&amp;G3_BowWave_2024SEP'!$D$23:$IX$23</c15:sqref>
                        </c15:formulaRef>
                      </c:ext>
                    </c:extLst>
                    <c:numCache>
                      <c:formatCode>General</c:formatCode>
                      <c:ptCount val="25"/>
                      <c:pt idx="0">
                        <c:v>6</c:v>
                      </c:pt>
                      <c:pt idx="1">
                        <c:v>7</c:v>
                      </c:pt>
                      <c:pt idx="2">
                        <c:v>1</c:v>
                      </c:pt>
                      <c:pt idx="3">
                        <c:v>8</c:v>
                      </c:pt>
                      <c:pt idx="4">
                        <c:v>2</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extLst xmlns:c15="http://schemas.microsoft.com/office/drawing/2012/chart">
                  <c:ext xmlns:c16="http://schemas.microsoft.com/office/drawing/2014/chart" uri="{C3380CC4-5D6E-409C-BE32-E72D297353CC}">
                    <c16:uniqueId val="{00000018-AC6E-4AA7-A5B5-9995B357C492}"/>
                  </c:ext>
                </c:extLst>
              </c15:ser>
            </c15:filteredAreaSeries>
          </c:ext>
        </c:extLst>
      </c:areaChart>
      <c:barChart>
        <c:barDir val="col"/>
        <c:grouping val="clustered"/>
        <c:varyColors val="0"/>
        <c:ser>
          <c:idx val="0"/>
          <c:order val="0"/>
          <c:tx>
            <c:strRef>
              <c:f>'G2&amp;G3_BowWave_2024SEP'!$C$12</c:f>
              <c:strCache>
                <c:ptCount val="1"/>
                <c:pt idx="0">
                  <c:v>Baselined to Start</c:v>
                </c:pt>
              </c:strCache>
            </c:strRef>
          </c:tx>
          <c:spPr>
            <a:solidFill>
              <a:schemeClr val="bg2">
                <a:lumMod val="50000"/>
              </a:schemeClr>
            </a:solidFill>
            <a:ln>
              <a:solidFill>
                <a:schemeClr val="tx1"/>
              </a:solidFill>
            </a:ln>
            <a:effectLst/>
          </c:spPr>
          <c:invertIfNegative val="0"/>
          <c:cat>
            <c:strRef>
              <c:f>'G2&amp;G3_BowWave_2024SEP'!$D$11:$IY$11</c:f>
              <c:strCache>
                <c:ptCount val="26"/>
                <c:pt idx="0">
                  <c:v>Mar-24</c:v>
                </c:pt>
                <c:pt idx="1">
                  <c:v>Apr-24</c:v>
                </c:pt>
                <c:pt idx="2">
                  <c:v>May-24</c:v>
                </c:pt>
                <c:pt idx="3">
                  <c:v>Jun-24</c:v>
                </c:pt>
                <c:pt idx="4">
                  <c:v>Jul-24</c:v>
                </c:pt>
                <c:pt idx="5">
                  <c:v>Aug-24</c:v>
                </c:pt>
                <c:pt idx="6">
                  <c:v>Sep-24</c:v>
                </c:pt>
                <c:pt idx="7">
                  <c:v>Oct-24</c:v>
                </c:pt>
                <c:pt idx="8">
                  <c:v>Nov-24</c:v>
                </c:pt>
                <c:pt idx="9">
                  <c:v>Dec-24</c:v>
                </c:pt>
                <c:pt idx="10">
                  <c:v>Jan-25</c:v>
                </c:pt>
                <c:pt idx="11">
                  <c:v>Feb-25</c:v>
                </c:pt>
                <c:pt idx="12">
                  <c:v>Mar-25</c:v>
                </c:pt>
                <c:pt idx="13">
                  <c:v>Apr-25</c:v>
                </c:pt>
                <c:pt idx="14">
                  <c:v>May-25</c:v>
                </c:pt>
                <c:pt idx="15">
                  <c:v>Jun-25</c:v>
                </c:pt>
                <c:pt idx="16">
                  <c:v>Jul-25</c:v>
                </c:pt>
                <c:pt idx="17">
                  <c:v>Aug-25</c:v>
                </c:pt>
                <c:pt idx="18">
                  <c:v>Sep-25</c:v>
                </c:pt>
                <c:pt idx="19">
                  <c:v>Oct-25</c:v>
                </c:pt>
                <c:pt idx="20">
                  <c:v>Nov-25</c:v>
                </c:pt>
                <c:pt idx="21">
                  <c:v>Dec-25</c:v>
                </c:pt>
                <c:pt idx="22">
                  <c:v>Jan-26</c:v>
                </c:pt>
                <c:pt idx="23">
                  <c:v>Feb-26</c:v>
                </c:pt>
                <c:pt idx="24">
                  <c:v>Mar-26</c:v>
                </c:pt>
                <c:pt idx="25">
                  <c:v>Y-axis (max)</c:v>
                </c:pt>
              </c:strCache>
            </c:strRef>
          </c:cat>
          <c:val>
            <c:numRef>
              <c:f>'G2&amp;G3_BowWave_2024SEP'!$D$12:$IX$12</c:f>
              <c:numCache>
                <c:formatCode>General</c:formatCode>
                <c:ptCount val="25"/>
                <c:pt idx="0">
                  <c:v>75</c:v>
                </c:pt>
                <c:pt idx="1">
                  <c:v>47</c:v>
                </c:pt>
                <c:pt idx="2">
                  <c:v>46</c:v>
                </c:pt>
                <c:pt idx="3">
                  <c:v>89</c:v>
                </c:pt>
                <c:pt idx="4">
                  <c:v>81</c:v>
                </c:pt>
                <c:pt idx="5">
                  <c:v>90</c:v>
                </c:pt>
                <c:pt idx="6">
                  <c:v>39</c:v>
                </c:pt>
                <c:pt idx="7">
                  <c:v>87</c:v>
                </c:pt>
                <c:pt idx="8">
                  <c:v>52</c:v>
                </c:pt>
                <c:pt idx="9">
                  <c:v>52</c:v>
                </c:pt>
                <c:pt idx="10">
                  <c:v>35</c:v>
                </c:pt>
                <c:pt idx="11">
                  <c:v>10</c:v>
                </c:pt>
                <c:pt idx="12">
                  <c:v>30</c:v>
                </c:pt>
                <c:pt idx="13">
                  <c:v>26</c:v>
                </c:pt>
                <c:pt idx="14">
                  <c:v>8</c:v>
                </c:pt>
                <c:pt idx="15">
                  <c:v>7</c:v>
                </c:pt>
                <c:pt idx="16">
                  <c:v>1</c:v>
                </c:pt>
                <c:pt idx="17">
                  <c:v>1</c:v>
                </c:pt>
                <c:pt idx="18">
                  <c:v>1</c:v>
                </c:pt>
                <c:pt idx="19">
                  <c:v>1</c:v>
                </c:pt>
                <c:pt idx="20">
                  <c:v>4</c:v>
                </c:pt>
                <c:pt idx="21">
                  <c:v>5</c:v>
                </c:pt>
                <c:pt idx="22">
                  <c:v>1</c:v>
                </c:pt>
                <c:pt idx="23">
                  <c:v>1</c:v>
                </c:pt>
                <c:pt idx="24">
                  <c:v>0</c:v>
                </c:pt>
              </c:numCache>
            </c:numRef>
          </c:val>
          <c:extLst>
            <c:ext xmlns:c16="http://schemas.microsoft.com/office/drawing/2014/chart" uri="{C3380CC4-5D6E-409C-BE32-E72D297353CC}">
              <c16:uniqueId val="{00000003-AC6E-4AA7-A5B5-9995B357C492}"/>
            </c:ext>
          </c:extLst>
        </c:ser>
        <c:ser>
          <c:idx val="1"/>
          <c:order val="1"/>
          <c:tx>
            <c:strRef>
              <c:f>'G2&amp;G3_BowWave_2024SEP'!$C$13</c:f>
              <c:strCache>
                <c:ptCount val="1"/>
                <c:pt idx="0">
                  <c:v>Scheduled to Start</c:v>
                </c:pt>
              </c:strCache>
            </c:strRef>
          </c:tx>
          <c:spPr>
            <a:solidFill>
              <a:srgbClr val="FFC000"/>
            </a:solidFill>
            <a:ln>
              <a:solidFill>
                <a:schemeClr val="accent2"/>
              </a:solidFill>
            </a:ln>
            <a:effectLst/>
          </c:spPr>
          <c:invertIfNegative val="0"/>
          <c:cat>
            <c:strRef>
              <c:f>'G2&amp;G3_BowWave_2024SEP'!$D$11:$IY$11</c:f>
              <c:strCache>
                <c:ptCount val="26"/>
                <c:pt idx="0">
                  <c:v>Mar-24</c:v>
                </c:pt>
                <c:pt idx="1">
                  <c:v>Apr-24</c:v>
                </c:pt>
                <c:pt idx="2">
                  <c:v>May-24</c:v>
                </c:pt>
                <c:pt idx="3">
                  <c:v>Jun-24</c:v>
                </c:pt>
                <c:pt idx="4">
                  <c:v>Jul-24</c:v>
                </c:pt>
                <c:pt idx="5">
                  <c:v>Aug-24</c:v>
                </c:pt>
                <c:pt idx="6">
                  <c:v>Sep-24</c:v>
                </c:pt>
                <c:pt idx="7">
                  <c:v>Oct-24</c:v>
                </c:pt>
                <c:pt idx="8">
                  <c:v>Nov-24</c:v>
                </c:pt>
                <c:pt idx="9">
                  <c:v>Dec-24</c:v>
                </c:pt>
                <c:pt idx="10">
                  <c:v>Jan-25</c:v>
                </c:pt>
                <c:pt idx="11">
                  <c:v>Feb-25</c:v>
                </c:pt>
                <c:pt idx="12">
                  <c:v>Mar-25</c:v>
                </c:pt>
                <c:pt idx="13">
                  <c:v>Apr-25</c:v>
                </c:pt>
                <c:pt idx="14">
                  <c:v>May-25</c:v>
                </c:pt>
                <c:pt idx="15">
                  <c:v>Jun-25</c:v>
                </c:pt>
                <c:pt idx="16">
                  <c:v>Jul-25</c:v>
                </c:pt>
                <c:pt idx="17">
                  <c:v>Aug-25</c:v>
                </c:pt>
                <c:pt idx="18">
                  <c:v>Sep-25</c:v>
                </c:pt>
                <c:pt idx="19">
                  <c:v>Oct-25</c:v>
                </c:pt>
                <c:pt idx="20">
                  <c:v>Nov-25</c:v>
                </c:pt>
                <c:pt idx="21">
                  <c:v>Dec-25</c:v>
                </c:pt>
                <c:pt idx="22">
                  <c:v>Jan-26</c:v>
                </c:pt>
                <c:pt idx="23">
                  <c:v>Feb-26</c:v>
                </c:pt>
                <c:pt idx="24">
                  <c:v>Mar-26</c:v>
                </c:pt>
                <c:pt idx="25">
                  <c:v>Y-axis (max)</c:v>
                </c:pt>
              </c:strCache>
            </c:strRef>
          </c:cat>
          <c:val>
            <c:numRef>
              <c:f>'G2&amp;G3_BowWave_2024SEP'!$D$13:$IX$13</c:f>
              <c:numCache>
                <c:formatCode>General</c:formatCode>
                <c:ptCount val="25"/>
                <c:pt idx="0">
                  <c:v>61</c:v>
                </c:pt>
                <c:pt idx="1">
                  <c:v>59</c:v>
                </c:pt>
                <c:pt idx="2">
                  <c:v>40</c:v>
                </c:pt>
                <c:pt idx="3">
                  <c:v>49</c:v>
                </c:pt>
                <c:pt idx="4">
                  <c:v>46</c:v>
                </c:pt>
                <c:pt idx="5">
                  <c:v>35</c:v>
                </c:pt>
                <c:pt idx="6">
                  <c:v>25</c:v>
                </c:pt>
                <c:pt idx="7">
                  <c:v>70</c:v>
                </c:pt>
                <c:pt idx="8">
                  <c:v>63</c:v>
                </c:pt>
                <c:pt idx="9">
                  <c:v>71</c:v>
                </c:pt>
                <c:pt idx="10">
                  <c:v>80</c:v>
                </c:pt>
                <c:pt idx="11">
                  <c:v>59</c:v>
                </c:pt>
                <c:pt idx="12">
                  <c:v>51</c:v>
                </c:pt>
                <c:pt idx="13">
                  <c:v>69</c:v>
                </c:pt>
                <c:pt idx="14">
                  <c:v>37</c:v>
                </c:pt>
                <c:pt idx="15">
                  <c:v>43</c:v>
                </c:pt>
                <c:pt idx="16">
                  <c:v>18</c:v>
                </c:pt>
                <c:pt idx="17">
                  <c:v>9</c:v>
                </c:pt>
                <c:pt idx="18">
                  <c:v>1</c:v>
                </c:pt>
                <c:pt idx="19">
                  <c:v>1</c:v>
                </c:pt>
                <c:pt idx="20">
                  <c:v>11</c:v>
                </c:pt>
                <c:pt idx="21">
                  <c:v>12</c:v>
                </c:pt>
                <c:pt idx="22">
                  <c:v>10</c:v>
                </c:pt>
                <c:pt idx="23">
                  <c:v>7</c:v>
                </c:pt>
                <c:pt idx="24">
                  <c:v>21</c:v>
                </c:pt>
              </c:numCache>
            </c:numRef>
          </c:val>
          <c:extLst>
            <c:ext xmlns:c16="http://schemas.microsoft.com/office/drawing/2014/chart" uri="{C3380CC4-5D6E-409C-BE32-E72D297353CC}">
              <c16:uniqueId val="{00000004-AC6E-4AA7-A5B5-9995B357C492}"/>
            </c:ext>
          </c:extLst>
        </c:ser>
        <c:ser>
          <c:idx val="21"/>
          <c:order val="2"/>
          <c:tx>
            <c:strRef>
              <c:f>'G2&amp;G3_BowWave_2024SEP'!$C$14</c:f>
              <c:strCache>
                <c:ptCount val="1"/>
                <c:pt idx="0">
                  <c:v>Actual Starts</c:v>
                </c:pt>
              </c:strCache>
            </c:strRef>
          </c:tx>
          <c:spPr>
            <a:solidFill>
              <a:srgbClr val="92D050"/>
            </a:solidFill>
            <a:ln>
              <a:solidFill>
                <a:schemeClr val="accent6">
                  <a:lumMod val="75000"/>
                </a:schemeClr>
              </a:solidFill>
            </a:ln>
            <a:effectLst/>
          </c:spPr>
          <c:invertIfNegative val="0"/>
          <c:cat>
            <c:strRef>
              <c:f>'G2&amp;G3_BowWave_2024SEP'!$D$11:$IY$11</c:f>
              <c:strCache>
                <c:ptCount val="26"/>
                <c:pt idx="0">
                  <c:v>Mar-24</c:v>
                </c:pt>
                <c:pt idx="1">
                  <c:v>Apr-24</c:v>
                </c:pt>
                <c:pt idx="2">
                  <c:v>May-24</c:v>
                </c:pt>
                <c:pt idx="3">
                  <c:v>Jun-24</c:v>
                </c:pt>
                <c:pt idx="4">
                  <c:v>Jul-24</c:v>
                </c:pt>
                <c:pt idx="5">
                  <c:v>Aug-24</c:v>
                </c:pt>
                <c:pt idx="6">
                  <c:v>Sep-24</c:v>
                </c:pt>
                <c:pt idx="7">
                  <c:v>Oct-24</c:v>
                </c:pt>
                <c:pt idx="8">
                  <c:v>Nov-24</c:v>
                </c:pt>
                <c:pt idx="9">
                  <c:v>Dec-24</c:v>
                </c:pt>
                <c:pt idx="10">
                  <c:v>Jan-25</c:v>
                </c:pt>
                <c:pt idx="11">
                  <c:v>Feb-25</c:v>
                </c:pt>
                <c:pt idx="12">
                  <c:v>Mar-25</c:v>
                </c:pt>
                <c:pt idx="13">
                  <c:v>Apr-25</c:v>
                </c:pt>
                <c:pt idx="14">
                  <c:v>May-25</c:v>
                </c:pt>
                <c:pt idx="15">
                  <c:v>Jun-25</c:v>
                </c:pt>
                <c:pt idx="16">
                  <c:v>Jul-25</c:v>
                </c:pt>
                <c:pt idx="17">
                  <c:v>Aug-25</c:v>
                </c:pt>
                <c:pt idx="18">
                  <c:v>Sep-25</c:v>
                </c:pt>
                <c:pt idx="19">
                  <c:v>Oct-25</c:v>
                </c:pt>
                <c:pt idx="20">
                  <c:v>Nov-25</c:v>
                </c:pt>
                <c:pt idx="21">
                  <c:v>Dec-25</c:v>
                </c:pt>
                <c:pt idx="22">
                  <c:v>Jan-26</c:v>
                </c:pt>
                <c:pt idx="23">
                  <c:v>Feb-26</c:v>
                </c:pt>
                <c:pt idx="24">
                  <c:v>Mar-26</c:v>
                </c:pt>
                <c:pt idx="25">
                  <c:v>Y-axis (max)</c:v>
                </c:pt>
              </c:strCache>
            </c:strRef>
          </c:cat>
          <c:val>
            <c:numRef>
              <c:f>'G2&amp;G3_BowWave_2024SEP'!$D$14:$IX$14</c:f>
              <c:numCache>
                <c:formatCode>General</c:formatCode>
                <c:ptCount val="25"/>
                <c:pt idx="0">
                  <c:v>61</c:v>
                </c:pt>
                <c:pt idx="1">
                  <c:v>59</c:v>
                </c:pt>
                <c:pt idx="2">
                  <c:v>40</c:v>
                </c:pt>
                <c:pt idx="3">
                  <c:v>49</c:v>
                </c:pt>
                <c:pt idx="4">
                  <c:v>46</c:v>
                </c:pt>
                <c:pt idx="5">
                  <c:v>35</c:v>
                </c:pt>
                <c:pt idx="6">
                  <c:v>18</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extLst>
            <c:ext xmlns:c16="http://schemas.microsoft.com/office/drawing/2014/chart" uri="{C3380CC4-5D6E-409C-BE32-E72D297353CC}">
              <c16:uniqueId val="{00000005-AC6E-4AA7-A5B5-9995B357C492}"/>
            </c:ext>
          </c:extLst>
        </c:ser>
        <c:ser>
          <c:idx val="18"/>
          <c:order val="18"/>
          <c:tx>
            <c:strRef>
              <c:f>'G2&amp;G3_BowWave_2024SEP'!$C$30</c:f>
              <c:strCache>
                <c:ptCount val="1"/>
                <c:pt idx="0">
                  <c:v>Status Date (6-mo interval)</c:v>
                </c:pt>
              </c:strCache>
            </c:strRef>
          </c:tx>
          <c:spPr>
            <a:noFill/>
            <a:ln w="19050">
              <a:solidFill>
                <a:schemeClr val="accent1"/>
              </a:solidFill>
              <a:prstDash val="dash"/>
            </a:ln>
            <a:effectLst/>
          </c:spPr>
          <c:invertIfNegative val="0"/>
          <c:dPt>
            <c:idx val="0"/>
            <c:invertIfNegative val="0"/>
            <c:bubble3D val="0"/>
            <c:spPr>
              <a:noFill/>
              <a:ln w="19050">
                <a:solidFill>
                  <a:srgbClr val="002060"/>
                </a:solidFill>
                <a:prstDash val="dash"/>
              </a:ln>
              <a:effectLst/>
            </c:spPr>
            <c:extLst xmlns:c15="http://schemas.microsoft.com/office/drawing/2012/chart">
              <c:ext xmlns:c16="http://schemas.microsoft.com/office/drawing/2014/chart" uri="{C3380CC4-5D6E-409C-BE32-E72D297353CC}">
                <c16:uniqueId val="{00000020-AC6E-4AA7-A5B5-9995B357C492}"/>
              </c:ext>
            </c:extLst>
          </c:dPt>
          <c:dPt>
            <c:idx val="6"/>
            <c:invertIfNegative val="0"/>
            <c:bubble3D val="0"/>
            <c:spPr>
              <a:noFill/>
              <a:ln w="19050">
                <a:solidFill>
                  <a:srgbClr val="FF0000"/>
                </a:solidFill>
                <a:prstDash val="dash"/>
              </a:ln>
              <a:effectLst/>
            </c:spPr>
            <c:extLst xmlns:c15="http://schemas.microsoft.com/office/drawing/2012/chart">
              <c:ext xmlns:c16="http://schemas.microsoft.com/office/drawing/2014/chart" uri="{C3380CC4-5D6E-409C-BE32-E72D297353CC}">
                <c16:uniqueId val="{00000022-AC6E-4AA7-A5B5-9995B357C492}"/>
              </c:ext>
            </c:extLst>
          </c:dPt>
          <c:dPt>
            <c:idx val="12"/>
            <c:invertIfNegative val="0"/>
            <c:bubble3D val="0"/>
            <c:spPr>
              <a:noFill/>
              <a:ln w="19050">
                <a:solidFill>
                  <a:srgbClr val="002060"/>
                </a:solidFill>
                <a:prstDash val="dash"/>
              </a:ln>
              <a:effectLst/>
            </c:spPr>
            <c:extLst xmlns:c15="http://schemas.microsoft.com/office/drawing/2012/chart">
              <c:ext xmlns:c16="http://schemas.microsoft.com/office/drawing/2014/chart" uri="{C3380CC4-5D6E-409C-BE32-E72D297353CC}">
                <c16:uniqueId val="{00000024-AC6E-4AA7-A5B5-9995B357C492}"/>
              </c:ext>
            </c:extLst>
          </c:dPt>
          <c:dPt>
            <c:idx val="18"/>
            <c:invertIfNegative val="0"/>
            <c:bubble3D val="0"/>
            <c:spPr>
              <a:noFill/>
              <a:ln w="19050">
                <a:solidFill>
                  <a:srgbClr val="FF0000"/>
                </a:solidFill>
                <a:prstDash val="dash"/>
              </a:ln>
              <a:effectLst/>
            </c:spPr>
            <c:extLst xmlns:c15="http://schemas.microsoft.com/office/drawing/2012/chart">
              <c:ext xmlns:c16="http://schemas.microsoft.com/office/drawing/2014/chart" uri="{C3380CC4-5D6E-409C-BE32-E72D297353CC}">
                <c16:uniqueId val="{00000026-AC6E-4AA7-A5B5-9995B357C492}"/>
              </c:ext>
            </c:extLst>
          </c:dPt>
          <c:dPt>
            <c:idx val="32"/>
            <c:invertIfNegative val="0"/>
            <c:bubble3D val="0"/>
            <c:spPr>
              <a:noFill/>
              <a:ln w="19050">
                <a:solidFill>
                  <a:srgbClr val="FF0000"/>
                </a:solidFill>
                <a:prstDash val="dash"/>
              </a:ln>
              <a:effectLst/>
            </c:spPr>
            <c:extLst xmlns:c15="http://schemas.microsoft.com/office/drawing/2012/chart">
              <c:ext xmlns:c16="http://schemas.microsoft.com/office/drawing/2014/chart" uri="{C3380CC4-5D6E-409C-BE32-E72D297353CC}">
                <c16:uniqueId val="{00000028-AC6E-4AA7-A5B5-9995B357C492}"/>
              </c:ext>
            </c:extLst>
          </c:dPt>
          <c:dPt>
            <c:idx val="35"/>
            <c:invertIfNegative val="0"/>
            <c:bubble3D val="0"/>
            <c:spPr>
              <a:noFill/>
              <a:ln w="19050">
                <a:solidFill>
                  <a:srgbClr val="FF0000"/>
                </a:solidFill>
                <a:prstDash val="dash"/>
              </a:ln>
              <a:effectLst/>
            </c:spPr>
            <c:extLst>
              <c:ext xmlns:c16="http://schemas.microsoft.com/office/drawing/2014/chart" uri="{C3380CC4-5D6E-409C-BE32-E72D297353CC}">
                <c16:uniqueId val="{0000002A-AC6E-4AA7-A5B5-9995B357C492}"/>
              </c:ext>
            </c:extLst>
          </c:dPt>
          <c:dPt>
            <c:idx val="44"/>
            <c:invertIfNegative val="0"/>
            <c:bubble3D val="0"/>
            <c:spPr>
              <a:noFill/>
              <a:ln w="19050">
                <a:solidFill>
                  <a:srgbClr val="002060"/>
                </a:solidFill>
                <a:prstDash val="dash"/>
              </a:ln>
              <a:effectLst/>
            </c:spPr>
            <c:extLst xmlns:c15="http://schemas.microsoft.com/office/drawing/2012/chart">
              <c:ext xmlns:c16="http://schemas.microsoft.com/office/drawing/2014/chart" uri="{C3380CC4-5D6E-409C-BE32-E72D297353CC}">
                <c16:uniqueId val="{0000002C-AC6E-4AA7-A5B5-9995B357C492}"/>
              </c:ext>
            </c:extLst>
          </c:dPt>
          <c:dPt>
            <c:idx val="50"/>
            <c:invertIfNegative val="0"/>
            <c:bubble3D val="0"/>
            <c:spPr>
              <a:noFill/>
              <a:ln w="19050">
                <a:solidFill>
                  <a:srgbClr val="CC3300"/>
                </a:solidFill>
                <a:prstDash val="dash"/>
              </a:ln>
              <a:effectLst/>
            </c:spPr>
            <c:extLst xmlns:c15="http://schemas.microsoft.com/office/drawing/2012/chart">
              <c:ext xmlns:c16="http://schemas.microsoft.com/office/drawing/2014/chart" uri="{C3380CC4-5D6E-409C-BE32-E72D297353CC}">
                <c16:uniqueId val="{0000002E-AC6E-4AA7-A5B5-9995B357C492}"/>
              </c:ext>
            </c:extLst>
          </c:dPt>
          <c:dPt>
            <c:idx val="56"/>
            <c:invertIfNegative val="0"/>
            <c:bubble3D val="0"/>
            <c:spPr>
              <a:noFill/>
              <a:ln w="19050">
                <a:solidFill>
                  <a:srgbClr val="002060"/>
                </a:solidFill>
                <a:prstDash val="dash"/>
              </a:ln>
              <a:effectLst/>
            </c:spPr>
            <c:extLst xmlns:c15="http://schemas.microsoft.com/office/drawing/2012/chart">
              <c:ext xmlns:c16="http://schemas.microsoft.com/office/drawing/2014/chart" uri="{C3380CC4-5D6E-409C-BE32-E72D297353CC}">
                <c16:uniqueId val="{00000030-AC6E-4AA7-A5B5-9995B357C492}"/>
              </c:ext>
            </c:extLst>
          </c:dPt>
          <c:dPt>
            <c:idx val="86"/>
            <c:invertIfNegative val="0"/>
            <c:bubble3D val="0"/>
            <c:spPr>
              <a:noFill/>
              <a:ln w="19050">
                <a:solidFill>
                  <a:srgbClr val="FF0000"/>
                </a:solidFill>
                <a:prstDash val="dash"/>
              </a:ln>
              <a:effectLst/>
            </c:spPr>
            <c:extLst>
              <c:ext xmlns:c16="http://schemas.microsoft.com/office/drawing/2014/chart" uri="{C3380CC4-5D6E-409C-BE32-E72D297353CC}">
                <c16:uniqueId val="{00000032-AC6E-4AA7-A5B5-9995B357C492}"/>
              </c:ext>
            </c:extLst>
          </c:dPt>
          <c:cat>
            <c:strRef>
              <c:f>'G2&amp;G3_BowWave_2024SEP'!$D$11:$IY$11</c:f>
              <c:strCache>
                <c:ptCount val="26"/>
                <c:pt idx="0">
                  <c:v>Mar-24</c:v>
                </c:pt>
                <c:pt idx="1">
                  <c:v>Apr-24</c:v>
                </c:pt>
                <c:pt idx="2">
                  <c:v>May-24</c:v>
                </c:pt>
                <c:pt idx="3">
                  <c:v>Jun-24</c:v>
                </c:pt>
                <c:pt idx="4">
                  <c:v>Jul-24</c:v>
                </c:pt>
                <c:pt idx="5">
                  <c:v>Aug-24</c:v>
                </c:pt>
                <c:pt idx="6">
                  <c:v>Sep-24</c:v>
                </c:pt>
                <c:pt idx="7">
                  <c:v>Oct-24</c:v>
                </c:pt>
                <c:pt idx="8">
                  <c:v>Nov-24</c:v>
                </c:pt>
                <c:pt idx="9">
                  <c:v>Dec-24</c:v>
                </c:pt>
                <c:pt idx="10">
                  <c:v>Jan-25</c:v>
                </c:pt>
                <c:pt idx="11">
                  <c:v>Feb-25</c:v>
                </c:pt>
                <c:pt idx="12">
                  <c:v>Mar-25</c:v>
                </c:pt>
                <c:pt idx="13">
                  <c:v>Apr-25</c:v>
                </c:pt>
                <c:pt idx="14">
                  <c:v>May-25</c:v>
                </c:pt>
                <c:pt idx="15">
                  <c:v>Jun-25</c:v>
                </c:pt>
                <c:pt idx="16">
                  <c:v>Jul-25</c:v>
                </c:pt>
                <c:pt idx="17">
                  <c:v>Aug-25</c:v>
                </c:pt>
                <c:pt idx="18">
                  <c:v>Sep-25</c:v>
                </c:pt>
                <c:pt idx="19">
                  <c:v>Oct-25</c:v>
                </c:pt>
                <c:pt idx="20">
                  <c:v>Nov-25</c:v>
                </c:pt>
                <c:pt idx="21">
                  <c:v>Dec-25</c:v>
                </c:pt>
                <c:pt idx="22">
                  <c:v>Jan-26</c:v>
                </c:pt>
                <c:pt idx="23">
                  <c:v>Feb-26</c:v>
                </c:pt>
                <c:pt idx="24">
                  <c:v>Mar-26</c:v>
                </c:pt>
                <c:pt idx="25">
                  <c:v>Y-axis (max)</c:v>
                </c:pt>
              </c:strCache>
            </c:strRef>
          </c:cat>
          <c:val>
            <c:numRef>
              <c:f>'G2&amp;G3_BowWave_2024SEP'!$D$30:$IX$30</c:f>
              <c:numCache>
                <c:formatCode>General</c:formatCode>
                <c:ptCount val="25"/>
                <c:pt idx="0">
                  <c:v>125</c:v>
                </c:pt>
                <c:pt idx="6">
                  <c:v>125</c:v>
                </c:pt>
                <c:pt idx="12">
                  <c:v>125</c:v>
                </c:pt>
              </c:numCache>
            </c:numRef>
          </c:val>
          <c:extLst xmlns:c15="http://schemas.microsoft.com/office/drawing/2012/chart">
            <c:ext xmlns:c16="http://schemas.microsoft.com/office/drawing/2014/chart" uri="{C3380CC4-5D6E-409C-BE32-E72D297353CC}">
              <c16:uniqueId val="{00000033-AC6E-4AA7-A5B5-9995B357C492}"/>
            </c:ext>
          </c:extLst>
        </c:ser>
        <c:dLbls>
          <c:showLegendKey val="0"/>
          <c:showVal val="0"/>
          <c:showCatName val="0"/>
          <c:showSerName val="0"/>
          <c:showPercent val="0"/>
          <c:showBubbleSize val="0"/>
        </c:dLbls>
        <c:gapWidth val="150"/>
        <c:axId val="2001818015"/>
        <c:axId val="2001820415"/>
        <c:extLst>
          <c:ext xmlns:c15="http://schemas.microsoft.com/office/drawing/2012/chart" uri="{02D57815-91ED-43cb-92C2-25804820EDAC}">
            <c15:filteredBarSeries>
              <c15:ser>
                <c:idx val="3"/>
                <c:order val="3"/>
                <c:tx>
                  <c:strRef>
                    <c:extLst>
                      <c:ext uri="{02D57815-91ED-43cb-92C2-25804820EDAC}">
                        <c15:formulaRef>
                          <c15:sqref>'G2&amp;G3_BowWave_2024SEP'!$C$15</c15:sqref>
                        </c15:formulaRef>
                      </c:ext>
                    </c:extLst>
                    <c:strCache>
                      <c:ptCount val="1"/>
                      <c:pt idx="0">
                        <c:v>Baselined to Finish</c:v>
                      </c:pt>
                    </c:strCache>
                  </c:strRef>
                </c:tx>
                <c:spPr>
                  <a:solidFill>
                    <a:schemeClr val="accent4"/>
                  </a:solidFill>
                  <a:ln>
                    <a:noFill/>
                  </a:ln>
                  <a:effectLst/>
                </c:spPr>
                <c:invertIfNegative val="0"/>
                <c:cat>
                  <c:strRef>
                    <c:extLst>
                      <c:ext uri="{02D57815-91ED-43cb-92C2-25804820EDAC}">
                        <c15:formulaRef>
                          <c15:sqref>'G2&amp;G3_BowWave_2024SEP'!$D$11:$IY$11</c15:sqref>
                        </c15:formulaRef>
                      </c:ext>
                    </c:extLst>
                    <c:strCache>
                      <c:ptCount val="26"/>
                      <c:pt idx="0">
                        <c:v>Mar-24</c:v>
                      </c:pt>
                      <c:pt idx="1">
                        <c:v>Apr-24</c:v>
                      </c:pt>
                      <c:pt idx="2">
                        <c:v>May-24</c:v>
                      </c:pt>
                      <c:pt idx="3">
                        <c:v>Jun-24</c:v>
                      </c:pt>
                      <c:pt idx="4">
                        <c:v>Jul-24</c:v>
                      </c:pt>
                      <c:pt idx="5">
                        <c:v>Aug-24</c:v>
                      </c:pt>
                      <c:pt idx="6">
                        <c:v>Sep-24</c:v>
                      </c:pt>
                      <c:pt idx="7">
                        <c:v>Oct-24</c:v>
                      </c:pt>
                      <c:pt idx="8">
                        <c:v>Nov-24</c:v>
                      </c:pt>
                      <c:pt idx="9">
                        <c:v>Dec-24</c:v>
                      </c:pt>
                      <c:pt idx="10">
                        <c:v>Jan-25</c:v>
                      </c:pt>
                      <c:pt idx="11">
                        <c:v>Feb-25</c:v>
                      </c:pt>
                      <c:pt idx="12">
                        <c:v>Mar-25</c:v>
                      </c:pt>
                      <c:pt idx="13">
                        <c:v>Apr-25</c:v>
                      </c:pt>
                      <c:pt idx="14">
                        <c:v>May-25</c:v>
                      </c:pt>
                      <c:pt idx="15">
                        <c:v>Jun-25</c:v>
                      </c:pt>
                      <c:pt idx="16">
                        <c:v>Jul-25</c:v>
                      </c:pt>
                      <c:pt idx="17">
                        <c:v>Aug-25</c:v>
                      </c:pt>
                      <c:pt idx="18">
                        <c:v>Sep-25</c:v>
                      </c:pt>
                      <c:pt idx="19">
                        <c:v>Oct-25</c:v>
                      </c:pt>
                      <c:pt idx="20">
                        <c:v>Nov-25</c:v>
                      </c:pt>
                      <c:pt idx="21">
                        <c:v>Dec-25</c:v>
                      </c:pt>
                      <c:pt idx="22">
                        <c:v>Jan-26</c:v>
                      </c:pt>
                      <c:pt idx="23">
                        <c:v>Feb-26</c:v>
                      </c:pt>
                      <c:pt idx="24">
                        <c:v>Mar-26</c:v>
                      </c:pt>
                      <c:pt idx="25">
                        <c:v>Y-axis (max)</c:v>
                      </c:pt>
                    </c:strCache>
                  </c:strRef>
                </c:cat>
                <c:val>
                  <c:numRef>
                    <c:extLst>
                      <c:ext uri="{02D57815-91ED-43cb-92C2-25804820EDAC}">
                        <c15:formulaRef>
                          <c15:sqref>'G2&amp;G3_BowWave_2024SEP'!$D$15:$IX$15</c15:sqref>
                        </c15:formulaRef>
                      </c:ext>
                    </c:extLst>
                    <c:numCache>
                      <c:formatCode>General</c:formatCode>
                      <c:ptCount val="25"/>
                      <c:pt idx="0">
                        <c:v>64</c:v>
                      </c:pt>
                      <c:pt idx="1">
                        <c:v>49</c:v>
                      </c:pt>
                      <c:pt idx="2">
                        <c:v>56</c:v>
                      </c:pt>
                      <c:pt idx="3">
                        <c:v>80</c:v>
                      </c:pt>
                      <c:pt idx="4">
                        <c:v>79</c:v>
                      </c:pt>
                      <c:pt idx="5">
                        <c:v>107</c:v>
                      </c:pt>
                      <c:pt idx="6">
                        <c:v>60</c:v>
                      </c:pt>
                      <c:pt idx="7">
                        <c:v>92</c:v>
                      </c:pt>
                      <c:pt idx="8">
                        <c:v>46</c:v>
                      </c:pt>
                      <c:pt idx="9">
                        <c:v>49</c:v>
                      </c:pt>
                      <c:pt idx="10">
                        <c:v>38</c:v>
                      </c:pt>
                      <c:pt idx="11">
                        <c:v>16</c:v>
                      </c:pt>
                      <c:pt idx="12">
                        <c:v>29</c:v>
                      </c:pt>
                      <c:pt idx="13">
                        <c:v>25</c:v>
                      </c:pt>
                      <c:pt idx="14">
                        <c:v>12</c:v>
                      </c:pt>
                      <c:pt idx="15">
                        <c:v>8</c:v>
                      </c:pt>
                      <c:pt idx="16">
                        <c:v>2</c:v>
                      </c:pt>
                      <c:pt idx="17">
                        <c:v>1</c:v>
                      </c:pt>
                      <c:pt idx="18">
                        <c:v>2</c:v>
                      </c:pt>
                      <c:pt idx="19">
                        <c:v>2</c:v>
                      </c:pt>
                      <c:pt idx="20">
                        <c:v>2</c:v>
                      </c:pt>
                      <c:pt idx="21">
                        <c:v>5</c:v>
                      </c:pt>
                      <c:pt idx="22">
                        <c:v>3</c:v>
                      </c:pt>
                      <c:pt idx="23">
                        <c:v>1</c:v>
                      </c:pt>
                      <c:pt idx="24">
                        <c:v>0</c:v>
                      </c:pt>
                    </c:numCache>
                  </c:numRef>
                </c:val>
                <c:extLst>
                  <c:ext xmlns:c16="http://schemas.microsoft.com/office/drawing/2014/chart" uri="{C3380CC4-5D6E-409C-BE32-E72D297353CC}">
                    <c16:uniqueId val="{00000010-AC6E-4AA7-A5B5-9995B357C492}"/>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'G2&amp;G3_BowWave_2024SEP'!$C$16</c15:sqref>
                        </c15:formulaRef>
                      </c:ext>
                    </c:extLst>
                    <c:strCache>
                      <c:ptCount val="1"/>
                      <c:pt idx="0">
                        <c:v>Scheduled to Finish</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'G2&amp;G3_BowWave_2024SEP'!$D$11:$IY$11</c15:sqref>
                        </c15:formulaRef>
                      </c:ext>
                    </c:extLst>
                    <c:strCache>
                      <c:ptCount val="26"/>
                      <c:pt idx="0">
                        <c:v>Mar-24</c:v>
                      </c:pt>
                      <c:pt idx="1">
                        <c:v>Apr-24</c:v>
                      </c:pt>
                      <c:pt idx="2">
                        <c:v>May-24</c:v>
                      </c:pt>
                      <c:pt idx="3">
                        <c:v>Jun-24</c:v>
                      </c:pt>
                      <c:pt idx="4">
                        <c:v>Jul-24</c:v>
                      </c:pt>
                      <c:pt idx="5">
                        <c:v>Aug-24</c:v>
                      </c:pt>
                      <c:pt idx="6">
                        <c:v>Sep-24</c:v>
                      </c:pt>
                      <c:pt idx="7">
                        <c:v>Oct-24</c:v>
                      </c:pt>
                      <c:pt idx="8">
                        <c:v>Nov-24</c:v>
                      </c:pt>
                      <c:pt idx="9">
                        <c:v>Dec-24</c:v>
                      </c:pt>
                      <c:pt idx="10">
                        <c:v>Jan-25</c:v>
                      </c:pt>
                      <c:pt idx="11">
                        <c:v>Feb-25</c:v>
                      </c:pt>
                      <c:pt idx="12">
                        <c:v>Mar-25</c:v>
                      </c:pt>
                      <c:pt idx="13">
                        <c:v>Apr-25</c:v>
                      </c:pt>
                      <c:pt idx="14">
                        <c:v>May-25</c:v>
                      </c:pt>
                      <c:pt idx="15">
                        <c:v>Jun-25</c:v>
                      </c:pt>
                      <c:pt idx="16">
                        <c:v>Jul-25</c:v>
                      </c:pt>
                      <c:pt idx="17">
                        <c:v>Aug-25</c:v>
                      </c:pt>
                      <c:pt idx="18">
                        <c:v>Sep-25</c:v>
                      </c:pt>
                      <c:pt idx="19">
                        <c:v>Oct-25</c:v>
                      </c:pt>
                      <c:pt idx="20">
                        <c:v>Nov-25</c:v>
                      </c:pt>
                      <c:pt idx="21">
                        <c:v>Dec-25</c:v>
                      </c:pt>
                      <c:pt idx="22">
                        <c:v>Jan-26</c:v>
                      </c:pt>
                      <c:pt idx="23">
                        <c:v>Feb-26</c:v>
                      </c:pt>
                      <c:pt idx="24">
                        <c:v>Mar-26</c:v>
                      </c:pt>
                      <c:pt idx="25">
                        <c:v>Y-axis (max)</c:v>
                      </c:pt>
                    </c:strCache>
                  </c:strRef>
                </c:cat>
                <c:val>
                  <c:numRef>
                    <c:extLst xmlns:c15="http://schemas.microsoft.com/office/drawing/2012/chart">
                      <c:ext xmlns:c15="http://schemas.microsoft.com/office/drawing/2012/chart" uri="{02D57815-91ED-43cb-92C2-25804820EDAC}">
                        <c15:formulaRef>
                          <c15:sqref>'G2&amp;G3_BowWave_2024SEP'!$D$16:$IX$16</c15:sqref>
                        </c15:formulaRef>
                      </c:ext>
                    </c:extLst>
                    <c:numCache>
                      <c:formatCode>General</c:formatCode>
                      <c:ptCount val="25"/>
                      <c:pt idx="0">
                        <c:v>70</c:v>
                      </c:pt>
                      <c:pt idx="1">
                        <c:v>56</c:v>
                      </c:pt>
                      <c:pt idx="2">
                        <c:v>43</c:v>
                      </c:pt>
                      <c:pt idx="3">
                        <c:v>47</c:v>
                      </c:pt>
                      <c:pt idx="4">
                        <c:v>42</c:v>
                      </c:pt>
                      <c:pt idx="5">
                        <c:v>50</c:v>
                      </c:pt>
                      <c:pt idx="6">
                        <c:v>31</c:v>
                      </c:pt>
                      <c:pt idx="7">
                        <c:v>69</c:v>
                      </c:pt>
                      <c:pt idx="8">
                        <c:v>63</c:v>
                      </c:pt>
                      <c:pt idx="9">
                        <c:v>79</c:v>
                      </c:pt>
                      <c:pt idx="10">
                        <c:v>89</c:v>
                      </c:pt>
                      <c:pt idx="11">
                        <c:v>59</c:v>
                      </c:pt>
                      <c:pt idx="12">
                        <c:v>55</c:v>
                      </c:pt>
                      <c:pt idx="13">
                        <c:v>70</c:v>
                      </c:pt>
                      <c:pt idx="14">
                        <c:v>49</c:v>
                      </c:pt>
                      <c:pt idx="15">
                        <c:v>45</c:v>
                      </c:pt>
                      <c:pt idx="16">
                        <c:v>22</c:v>
                      </c:pt>
                      <c:pt idx="17">
                        <c:v>11</c:v>
                      </c:pt>
                      <c:pt idx="18">
                        <c:v>2</c:v>
                      </c:pt>
                      <c:pt idx="19">
                        <c:v>1</c:v>
                      </c:pt>
                      <c:pt idx="20">
                        <c:v>10</c:v>
                      </c:pt>
                      <c:pt idx="21">
                        <c:v>9</c:v>
                      </c:pt>
                      <c:pt idx="22">
                        <c:v>13</c:v>
                      </c:pt>
                      <c:pt idx="23">
                        <c:v>8</c:v>
                      </c:pt>
                      <c:pt idx="24">
                        <c:v>19</c:v>
                      </c:pt>
                    </c:numCache>
                  </c:numRef>
                </c:val>
                <c:extLst xmlns:c15="http://schemas.microsoft.com/office/drawing/2012/chart">
                  <c:ext xmlns:c16="http://schemas.microsoft.com/office/drawing/2014/chart" uri="{C3380CC4-5D6E-409C-BE32-E72D297353CC}">
                    <c16:uniqueId val="{00000011-AC6E-4AA7-A5B5-9995B357C492}"/>
                  </c:ext>
                </c:extLst>
              </c15:ser>
            </c15:filteredBarSeries>
            <c15:filteredBarSeries>
              <c15:ser>
                <c:idx val="22"/>
                <c:order val="5"/>
                <c:tx>
                  <c:strRef>
                    <c:extLst xmlns:c15="http://schemas.microsoft.com/office/drawing/2012/chart">
                      <c:ext xmlns:c15="http://schemas.microsoft.com/office/drawing/2012/chart" uri="{02D57815-91ED-43cb-92C2-25804820EDAC}">
                        <c15:formulaRef>
                          <c15:sqref>'G2&amp;G3_BowWave_2024SEP'!$C$17</c15:sqref>
                        </c15:formulaRef>
                      </c:ext>
                    </c:extLst>
                    <c:strCache>
                      <c:ptCount val="1"/>
                      <c:pt idx="0">
                        <c:v>Actual Finishes</c:v>
                      </c:pt>
                    </c:strCache>
                  </c:strRef>
                </c:tx>
                <c:spPr>
                  <a:solidFill>
                    <a:schemeClr val="accent5">
                      <a:lumMod val="80000"/>
                    </a:schemeClr>
                  </a:solidFill>
                  <a:ln>
                    <a:noFill/>
                  </a:ln>
                  <a:effectLst/>
                </c:spPr>
                <c:invertIfNegative val="0"/>
                <c:cat>
                  <c:strRef>
                    <c:extLst xmlns:c15="http://schemas.microsoft.com/office/drawing/2012/chart">
                      <c:ext xmlns:c15="http://schemas.microsoft.com/office/drawing/2012/chart" uri="{02D57815-91ED-43cb-92C2-25804820EDAC}">
                        <c15:formulaRef>
                          <c15:sqref>'G2&amp;G3_BowWave_2024SEP'!$D$11:$IY$11</c15:sqref>
                        </c15:formulaRef>
                      </c:ext>
                    </c:extLst>
                    <c:strCache>
                      <c:ptCount val="26"/>
                      <c:pt idx="0">
                        <c:v>Mar-24</c:v>
                      </c:pt>
                      <c:pt idx="1">
                        <c:v>Apr-24</c:v>
                      </c:pt>
                      <c:pt idx="2">
                        <c:v>May-24</c:v>
                      </c:pt>
                      <c:pt idx="3">
                        <c:v>Jun-24</c:v>
                      </c:pt>
                      <c:pt idx="4">
                        <c:v>Jul-24</c:v>
                      </c:pt>
                      <c:pt idx="5">
                        <c:v>Aug-24</c:v>
                      </c:pt>
                      <c:pt idx="6">
                        <c:v>Sep-24</c:v>
                      </c:pt>
                      <c:pt idx="7">
                        <c:v>Oct-24</c:v>
                      </c:pt>
                      <c:pt idx="8">
                        <c:v>Nov-24</c:v>
                      </c:pt>
                      <c:pt idx="9">
                        <c:v>Dec-24</c:v>
                      </c:pt>
                      <c:pt idx="10">
                        <c:v>Jan-25</c:v>
                      </c:pt>
                      <c:pt idx="11">
                        <c:v>Feb-25</c:v>
                      </c:pt>
                      <c:pt idx="12">
                        <c:v>Mar-25</c:v>
                      </c:pt>
                      <c:pt idx="13">
                        <c:v>Apr-25</c:v>
                      </c:pt>
                      <c:pt idx="14">
                        <c:v>May-25</c:v>
                      </c:pt>
                      <c:pt idx="15">
                        <c:v>Jun-25</c:v>
                      </c:pt>
                      <c:pt idx="16">
                        <c:v>Jul-25</c:v>
                      </c:pt>
                      <c:pt idx="17">
                        <c:v>Aug-25</c:v>
                      </c:pt>
                      <c:pt idx="18">
                        <c:v>Sep-25</c:v>
                      </c:pt>
                      <c:pt idx="19">
                        <c:v>Oct-25</c:v>
                      </c:pt>
                      <c:pt idx="20">
                        <c:v>Nov-25</c:v>
                      </c:pt>
                      <c:pt idx="21">
                        <c:v>Dec-25</c:v>
                      </c:pt>
                      <c:pt idx="22">
                        <c:v>Jan-26</c:v>
                      </c:pt>
                      <c:pt idx="23">
                        <c:v>Feb-26</c:v>
                      </c:pt>
                      <c:pt idx="24">
                        <c:v>Mar-26</c:v>
                      </c:pt>
                      <c:pt idx="25">
                        <c:v>Y-axis (max)</c:v>
                      </c:pt>
                    </c:strCache>
                  </c:strRef>
                </c:cat>
                <c:val>
                  <c:numRef>
                    <c:extLst xmlns:c15="http://schemas.microsoft.com/office/drawing/2012/chart">
                      <c:ext xmlns:c15="http://schemas.microsoft.com/office/drawing/2012/chart" uri="{02D57815-91ED-43cb-92C2-25804820EDAC}">
                        <c15:formulaRef>
                          <c15:sqref>'G2&amp;G3_BowWave_2024SEP'!$D$17:$IX$17</c15:sqref>
                        </c15:formulaRef>
                      </c:ext>
                    </c:extLst>
                    <c:numCache>
                      <c:formatCode>General</c:formatCode>
                      <c:ptCount val="25"/>
                      <c:pt idx="0">
                        <c:v>70</c:v>
                      </c:pt>
                      <c:pt idx="1">
                        <c:v>56</c:v>
                      </c:pt>
                      <c:pt idx="2">
                        <c:v>43</c:v>
                      </c:pt>
                      <c:pt idx="3">
                        <c:v>47</c:v>
                      </c:pt>
                      <c:pt idx="4">
                        <c:v>42</c:v>
                      </c:pt>
                      <c:pt idx="5">
                        <c:v>50</c:v>
                      </c:pt>
                      <c:pt idx="6">
                        <c:v>29</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extLst xmlns:c15="http://schemas.microsoft.com/office/drawing/2012/chart">
                  <c:ext xmlns:c16="http://schemas.microsoft.com/office/drawing/2014/chart" uri="{C3380CC4-5D6E-409C-BE32-E72D297353CC}">
                    <c16:uniqueId val="{00000012-AC6E-4AA7-A5B5-9995B357C492}"/>
                  </c:ext>
                </c:extLst>
              </c15:ser>
            </c15:filteredBarSeries>
          </c:ext>
        </c:extLst>
      </c:barChart>
      <c:lineChart>
        <c:grouping val="standard"/>
        <c:varyColors val="0"/>
        <c:ser>
          <c:idx val="25"/>
          <c:order val="19"/>
          <c:tx>
            <c:strRef>
              <c:f>'G2&amp;G3_BowWave_2024SEP'!$C$32</c:f>
              <c:strCache>
                <c:ptCount val="1"/>
                <c:pt idx="0">
                  <c:v>Baselined to Start - Cumulative</c:v>
                </c:pt>
              </c:strCache>
            </c:strRef>
          </c:tx>
          <c:spPr>
            <a:ln w="28575" cap="rnd">
              <a:solidFill>
                <a:schemeClr val="accent2">
                  <a:lumMod val="60000"/>
                  <a:lumOff val="40000"/>
                </a:schemeClr>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cat>
            <c:numRef>
              <c:f>'G2&amp;G3_BowWave_2024SEP'!$D$11:$IX$11</c:f>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f>'G2&amp;G3_BowWave_2024SEP'!$D$32:$DD$32</c:f>
              <c:numCache>
                <c:formatCode>0</c:formatCode>
                <c:ptCount val="25"/>
                <c:pt idx="0">
                  <c:v>1843</c:v>
                </c:pt>
                <c:pt idx="1">
                  <c:v>1890</c:v>
                </c:pt>
                <c:pt idx="2">
                  <c:v>1936</c:v>
                </c:pt>
                <c:pt idx="3">
                  <c:v>2025</c:v>
                </c:pt>
                <c:pt idx="4">
                  <c:v>2106</c:v>
                </c:pt>
                <c:pt idx="5">
                  <c:v>2196</c:v>
                </c:pt>
                <c:pt idx="6">
                  <c:v>2235</c:v>
                </c:pt>
                <c:pt idx="7">
                  <c:v>2322</c:v>
                </c:pt>
                <c:pt idx="8">
                  <c:v>2374</c:v>
                </c:pt>
                <c:pt idx="9">
                  <c:v>2426</c:v>
                </c:pt>
                <c:pt idx="10">
                  <c:v>2461</c:v>
                </c:pt>
                <c:pt idx="11">
                  <c:v>2471</c:v>
                </c:pt>
                <c:pt idx="12">
                  <c:v>2501</c:v>
                </c:pt>
                <c:pt idx="13">
                  <c:v>2527</c:v>
                </c:pt>
                <c:pt idx="14">
                  <c:v>2535</c:v>
                </c:pt>
                <c:pt idx="15">
                  <c:v>2542</c:v>
                </c:pt>
                <c:pt idx="16">
                  <c:v>2543</c:v>
                </c:pt>
                <c:pt idx="17">
                  <c:v>2544</c:v>
                </c:pt>
                <c:pt idx="18">
                  <c:v>2545</c:v>
                </c:pt>
                <c:pt idx="19">
                  <c:v>2546</c:v>
                </c:pt>
                <c:pt idx="20">
                  <c:v>2550</c:v>
                </c:pt>
                <c:pt idx="21">
                  <c:v>2555</c:v>
                </c:pt>
                <c:pt idx="22">
                  <c:v>2556</c:v>
                </c:pt>
                <c:pt idx="23">
                  <c:v>2557</c:v>
                </c:pt>
                <c:pt idx="24">
                  <c:v>2557</c:v>
                </c:pt>
              </c:numCache>
            </c:numRef>
          </c:val>
          <c:smooth val="0"/>
          <c:extLst>
            <c:ext xmlns:c16="http://schemas.microsoft.com/office/drawing/2014/chart" uri="{C3380CC4-5D6E-409C-BE32-E72D297353CC}">
              <c16:uniqueId val="{00000006-AC6E-4AA7-A5B5-9995B357C492}"/>
            </c:ext>
          </c:extLst>
        </c:ser>
        <c:ser>
          <c:idx val="27"/>
          <c:order val="20"/>
          <c:tx>
            <c:strRef>
              <c:f>'G2&amp;G3_BowWave_2024SEP'!$C$33</c:f>
              <c:strCache>
                <c:ptCount val="1"/>
                <c:pt idx="0">
                  <c:v>Scheduled to Start - Cumulative</c:v>
                </c:pt>
              </c:strCache>
            </c:strRef>
          </c:tx>
          <c:spPr>
            <a:ln w="28575" cap="rnd">
              <a:solidFill>
                <a:schemeClr val="accent4">
                  <a:lumMod val="60000"/>
                  <a:lumOff val="40000"/>
                </a:schemeClr>
              </a:solid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cat>
            <c:numRef>
              <c:f>'G2&amp;G3_BowWave_2024SEP'!$D$11:$IX$11</c:f>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f>'G2&amp;G3_BowWave_2024SEP'!$D$33:$DD$33</c:f>
              <c:numCache>
                <c:formatCode>General</c:formatCode>
                <c:ptCount val="25"/>
                <c:pt idx="0">
                  <c:v>1708</c:v>
                </c:pt>
                <c:pt idx="1">
                  <c:v>1767</c:v>
                </c:pt>
                <c:pt idx="2">
                  <c:v>1807</c:v>
                </c:pt>
                <c:pt idx="3">
                  <c:v>1856</c:v>
                </c:pt>
                <c:pt idx="4">
                  <c:v>1902</c:v>
                </c:pt>
                <c:pt idx="5">
                  <c:v>1937</c:v>
                </c:pt>
                <c:pt idx="6">
                  <c:v>1962</c:v>
                </c:pt>
                <c:pt idx="7">
                  <c:v>2032</c:v>
                </c:pt>
                <c:pt idx="8">
                  <c:v>2095</c:v>
                </c:pt>
                <c:pt idx="9">
                  <c:v>2166</c:v>
                </c:pt>
                <c:pt idx="10">
                  <c:v>2246</c:v>
                </c:pt>
                <c:pt idx="11">
                  <c:v>2305</c:v>
                </c:pt>
                <c:pt idx="12">
                  <c:v>2356</c:v>
                </c:pt>
                <c:pt idx="13">
                  <c:v>2425</c:v>
                </c:pt>
                <c:pt idx="14">
                  <c:v>2462</c:v>
                </c:pt>
                <c:pt idx="15">
                  <c:v>2505</c:v>
                </c:pt>
                <c:pt idx="16">
                  <c:v>2523</c:v>
                </c:pt>
                <c:pt idx="17">
                  <c:v>2532</c:v>
                </c:pt>
                <c:pt idx="18">
                  <c:v>2533</c:v>
                </c:pt>
                <c:pt idx="19">
                  <c:v>2534</c:v>
                </c:pt>
                <c:pt idx="20">
                  <c:v>2545</c:v>
                </c:pt>
                <c:pt idx="21">
                  <c:v>2557</c:v>
                </c:pt>
                <c:pt idx="22">
                  <c:v>2567</c:v>
                </c:pt>
                <c:pt idx="23">
                  <c:v>2574</c:v>
                </c:pt>
                <c:pt idx="24">
                  <c:v>2595</c:v>
                </c:pt>
              </c:numCache>
            </c:numRef>
          </c:val>
          <c:smooth val="0"/>
          <c:extLst>
            <c:ext xmlns:c16="http://schemas.microsoft.com/office/drawing/2014/chart" uri="{C3380CC4-5D6E-409C-BE32-E72D297353CC}">
              <c16:uniqueId val="{00000007-AC6E-4AA7-A5B5-9995B357C492}"/>
            </c:ext>
          </c:extLst>
        </c:ser>
        <c:ser>
          <c:idx val="26"/>
          <c:order val="21"/>
          <c:tx>
            <c:strRef>
              <c:f>'G2&amp;G3_BowWave_2024SEP'!$C$34</c:f>
              <c:strCache>
                <c:ptCount val="1"/>
                <c:pt idx="0">
                  <c:v>Actual Starts - Cumulative</c:v>
                </c:pt>
              </c:strCache>
            </c:strRef>
          </c:tx>
          <c:spPr>
            <a:ln w="28575" cap="rnd">
              <a:solidFill>
                <a:schemeClr val="accent1">
                  <a:lumMod val="50000"/>
                </a:schemeClr>
              </a:solidFill>
              <a:round/>
            </a:ln>
            <a:effectLst/>
          </c:spPr>
          <c:marker>
            <c:symbol val="circle"/>
            <c:size val="5"/>
            <c:spPr>
              <a:solidFill>
                <a:schemeClr val="accent1">
                  <a:lumMod val="50000"/>
                </a:schemeClr>
              </a:solidFill>
              <a:ln w="9525">
                <a:solidFill>
                  <a:schemeClr val="accent1">
                    <a:lumMod val="50000"/>
                  </a:schemeClr>
                </a:solidFill>
              </a:ln>
              <a:effectLst/>
            </c:spPr>
          </c:marker>
          <c:cat>
            <c:numRef>
              <c:f>'G2&amp;G3_BowWave_2024SEP'!$D$11:$IX$11</c:f>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f>'G2&amp;G3_BowWave_2024SEP'!$D$34:$DD$34</c:f>
              <c:numCache>
                <c:formatCode>General</c:formatCode>
                <c:ptCount val="25"/>
                <c:pt idx="0">
                  <c:v>1708</c:v>
                </c:pt>
                <c:pt idx="1">
                  <c:v>1767</c:v>
                </c:pt>
                <c:pt idx="2">
                  <c:v>1807</c:v>
                </c:pt>
                <c:pt idx="3">
                  <c:v>1856</c:v>
                </c:pt>
                <c:pt idx="4">
                  <c:v>1902</c:v>
                </c:pt>
                <c:pt idx="5">
                  <c:v>1937</c:v>
                </c:pt>
                <c:pt idx="6">
                  <c:v>1955</c:v>
                </c:pt>
                <c:pt idx="7">
                  <c:v>1955</c:v>
                </c:pt>
                <c:pt idx="8">
                  <c:v>1955</c:v>
                </c:pt>
                <c:pt idx="9">
                  <c:v>1955</c:v>
                </c:pt>
                <c:pt idx="10">
                  <c:v>1955</c:v>
                </c:pt>
                <c:pt idx="11">
                  <c:v>1955</c:v>
                </c:pt>
                <c:pt idx="12">
                  <c:v>1955</c:v>
                </c:pt>
                <c:pt idx="13">
                  <c:v>1955</c:v>
                </c:pt>
                <c:pt idx="14">
                  <c:v>1955</c:v>
                </c:pt>
                <c:pt idx="15">
                  <c:v>1955</c:v>
                </c:pt>
                <c:pt idx="16">
                  <c:v>1955</c:v>
                </c:pt>
                <c:pt idx="17">
                  <c:v>1955</c:v>
                </c:pt>
                <c:pt idx="18">
                  <c:v>1955</c:v>
                </c:pt>
                <c:pt idx="19">
                  <c:v>1955</c:v>
                </c:pt>
                <c:pt idx="20">
                  <c:v>1955</c:v>
                </c:pt>
                <c:pt idx="21">
                  <c:v>1955</c:v>
                </c:pt>
                <c:pt idx="22">
                  <c:v>1955</c:v>
                </c:pt>
                <c:pt idx="23">
                  <c:v>1955</c:v>
                </c:pt>
                <c:pt idx="24">
                  <c:v>1955</c:v>
                </c:pt>
              </c:numCache>
            </c:numRef>
          </c:val>
          <c:smooth val="0"/>
          <c:extLst>
            <c:ext xmlns:c16="http://schemas.microsoft.com/office/drawing/2014/chart" uri="{C3380CC4-5D6E-409C-BE32-E72D297353CC}">
              <c16:uniqueId val="{00000008-AC6E-4AA7-A5B5-9995B357C492}"/>
            </c:ext>
          </c:extLst>
        </c:ser>
        <c:dLbls>
          <c:showLegendKey val="0"/>
          <c:showVal val="0"/>
          <c:showCatName val="0"/>
          <c:showSerName val="0"/>
          <c:showPercent val="0"/>
          <c:showBubbleSize val="0"/>
        </c:dLbls>
        <c:marker val="1"/>
        <c:smooth val="0"/>
        <c:axId val="1121466879"/>
        <c:axId val="1121471199"/>
        <c:extLst>
          <c:ext xmlns:c15="http://schemas.microsoft.com/office/drawing/2012/chart" uri="{02D57815-91ED-43cb-92C2-25804820EDAC}">
            <c15:filteredLineSeries>
              <c15:ser>
                <c:idx val="12"/>
                <c:order val="12"/>
                <c:tx>
                  <c:strRef>
                    <c:extLst>
                      <c:ext uri="{02D57815-91ED-43cb-92C2-25804820EDAC}">
                        <c15:formulaRef>
                          <c15:sqref>'G2&amp;G3_BowWave_2024SEP'!$C$24</c15:sqref>
                        </c15:formulaRef>
                      </c:ext>
                    </c:extLst>
                    <c:strCache>
                      <c:ptCount val="1"/>
                      <c:pt idx="0">
                        <c:v>BEI - Starts</c:v>
                      </c:pt>
                    </c:strCache>
                  </c:strRef>
                </c:tx>
                <c:spPr>
                  <a:ln w="28575" cap="rnd">
                    <a:solidFill>
                      <a:schemeClr val="accent2"/>
                    </a:solidFill>
                    <a:round/>
                  </a:ln>
                  <a:effectLst/>
                </c:spPr>
                <c:marker>
                  <c:symbol val="circle"/>
                  <c:size val="5"/>
                  <c:spPr>
                    <a:solidFill>
                      <a:schemeClr val="accent2"/>
                    </a:solidFill>
                    <a:ln w="9525">
                      <a:solidFill>
                        <a:schemeClr val="tx1"/>
                      </a:solidFill>
                    </a:ln>
                    <a:effectLst/>
                  </c:spPr>
                </c:marker>
                <c:cat>
                  <c:numRef>
                    <c:extLst>
                      <c:ext uri="{02D57815-91ED-43cb-92C2-25804820EDAC}">
                        <c15:formulaRef>
                          <c15:sqref>'G2&amp;G3_BowWave_2024SEP'!$D$11:$IX$11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c:ext uri="{02D57815-91ED-43cb-92C2-25804820EDAC}">
                        <c15:formulaRef>
                          <c15:sqref>'G2&amp;G3_BowWave_2024SEP'!$D$24:$IX$24</c15:sqref>
                        </c15:formulaRef>
                      </c:ext>
                    </c:extLst>
                    <c:numCache>
                      <c:formatCode>General</c:formatCode>
                      <c:ptCount val="25"/>
                      <c:pt idx="6">
                        <c:v>0.87</c:v>
                      </c:pt>
                      <c:pt idx="7">
                        <c:v>0.85</c:v>
                      </c:pt>
                      <c:pt idx="8">
                        <c:v>0.85</c:v>
                      </c:pt>
                      <c:pt idx="9">
                        <c:v>0.85</c:v>
                      </c:pt>
                      <c:pt idx="10">
                        <c:v>0.86</c:v>
                      </c:pt>
                      <c:pt idx="11">
                        <c:v>0.87</c:v>
                      </c:pt>
                      <c:pt idx="12">
                        <c:v>0.88</c:v>
                      </c:pt>
                    </c:numCache>
                  </c:numRef>
                </c:val>
                <c:smooth val="0"/>
                <c:extLst>
                  <c:ext xmlns:c16="http://schemas.microsoft.com/office/drawing/2014/chart" uri="{C3380CC4-5D6E-409C-BE32-E72D297353CC}">
                    <c16:uniqueId val="{00000019-AC6E-4AA7-A5B5-9995B357C492}"/>
                  </c:ext>
                </c:extLst>
              </c15:ser>
            </c15:filteredLineSeries>
            <c15:filteredLineSeries>
              <c15:ser>
                <c:idx val="13"/>
                <c:order val="13"/>
                <c:tx>
                  <c:strRef>
                    <c:extLst xmlns:c15="http://schemas.microsoft.com/office/drawing/2012/chart">
                      <c:ext xmlns:c15="http://schemas.microsoft.com/office/drawing/2012/chart" uri="{02D57815-91ED-43cb-92C2-25804820EDAC}">
                        <c15:formulaRef>
                          <c15:sqref>'G2&amp;G3_BowWave_2024SEP'!$C$25</c15:sqref>
                        </c15:formulaRef>
                      </c:ext>
                    </c:extLst>
                    <c:strCache>
                      <c:ptCount val="1"/>
                      <c:pt idx="0">
                        <c:v>BEI - Finishes</c:v>
                      </c:pt>
                    </c:strCache>
                  </c:strRef>
                </c:tx>
                <c:spPr>
                  <a:ln w="28575"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tx1"/>
                      </a:solidFill>
                    </a:ln>
                    <a:effectLst/>
                  </c:spPr>
                </c:marker>
                <c:cat>
                  <c:numRef>
                    <c:extLst xmlns:c15="http://schemas.microsoft.com/office/drawing/2012/chart">
                      <c:ext xmlns:c15="http://schemas.microsoft.com/office/drawing/2012/chart" uri="{02D57815-91ED-43cb-92C2-25804820EDAC}">
                        <c15:formulaRef>
                          <c15:sqref>'G2&amp;G3_BowWave_2024SEP'!$D$11:$IX$11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'G2&amp;G3_BowWave_2024SEP'!$D$25:$IX$25</c15:sqref>
                        </c15:formulaRef>
                      </c:ext>
                    </c:extLst>
                    <c:numCache>
                      <c:formatCode>General</c:formatCode>
                      <c:ptCount val="25"/>
                      <c:pt idx="6">
                        <c:v>0.85</c:v>
                      </c:pt>
                      <c:pt idx="7">
                        <c:v>0.84</c:v>
                      </c:pt>
                      <c:pt idx="8">
                        <c:v>0.84</c:v>
                      </c:pt>
                      <c:pt idx="9">
                        <c:v>0.83</c:v>
                      </c:pt>
                      <c:pt idx="10">
                        <c:v>0.85</c:v>
                      </c:pt>
                      <c:pt idx="11">
                        <c:v>0.86</c:v>
                      </c:pt>
                      <c:pt idx="12">
                        <c:v>0.87</c:v>
                      </c:pt>
                    </c:numCache>
                  </c:numRef>
                </c:val>
                <c:smooth val="0"/>
                <c:extLst xmlns:c15="http://schemas.microsoft.com/office/drawing/2012/chart">
                  <c:ext xmlns:c16="http://schemas.microsoft.com/office/drawing/2014/chart" uri="{C3380CC4-5D6E-409C-BE32-E72D297353CC}">
                    <c16:uniqueId val="{0000001A-AC6E-4AA7-A5B5-9995B357C492}"/>
                  </c:ext>
                </c:extLst>
              </c15:ser>
            </c15:filteredLineSeries>
            <c15:filteredLineSeries>
              <c15:ser>
                <c:idx val="14"/>
                <c:order val="14"/>
                <c:tx>
                  <c:strRef>
                    <c:extLst xmlns:c15="http://schemas.microsoft.com/office/drawing/2012/chart">
                      <c:ext xmlns:c15="http://schemas.microsoft.com/office/drawing/2012/chart" uri="{02D57815-91ED-43cb-92C2-25804820EDAC}">
                        <c15:formulaRef>
                          <c15:sqref>'G2&amp;G3_BowWave_2024SEP'!$C$26</c15:sqref>
                        </c15:formulaRef>
                      </c:ext>
                    </c:extLst>
                    <c:strCache>
                      <c:ptCount val="1"/>
                      <c:pt idx="0">
                        <c:v>HMI - Starts</c:v>
                      </c:pt>
                    </c:strCache>
                  </c:strRef>
                </c:tx>
                <c:spPr>
                  <a:ln w="28575" cap="rnd">
                    <a:solidFill>
                      <a:schemeClr val="accent1"/>
                    </a:solidFill>
                    <a:round/>
                  </a:ln>
                  <a:effectLst/>
                </c:spPr>
                <c:marker>
                  <c:symbol val="circle"/>
                  <c:size val="5"/>
                  <c:spPr>
                    <a:solidFill>
                      <a:schemeClr val="accent1"/>
                    </a:solidFill>
                    <a:ln w="9525">
                      <a:solidFill>
                        <a:schemeClr val="tx1"/>
                      </a:solidFill>
                    </a:ln>
                    <a:effectLst/>
                  </c:spPr>
                </c:marker>
                <c:cat>
                  <c:numRef>
                    <c:extLst xmlns:c15="http://schemas.microsoft.com/office/drawing/2012/chart">
                      <c:ext xmlns:c15="http://schemas.microsoft.com/office/drawing/2012/chart" uri="{02D57815-91ED-43cb-92C2-25804820EDAC}">
                        <c15:formulaRef>
                          <c15:sqref>'G2&amp;G3_BowWave_2024SEP'!$D$11:$IX$11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'G2&amp;G3_BowWave_2024SEP'!$D$26:$IX$26</c15:sqref>
                        </c15:formulaRef>
                      </c:ext>
                    </c:extLst>
                    <c:numCache>
                      <c:formatCode>General</c:formatCode>
                      <c:ptCount val="25"/>
                      <c:pt idx="7">
                        <c:v>0.02</c:v>
                      </c:pt>
                      <c:pt idx="8">
                        <c:v>0.02</c:v>
                      </c:pt>
                      <c:pt idx="9">
                        <c:v>0.04</c:v>
                      </c:pt>
                    </c:numCache>
                  </c:numRef>
                </c:val>
                <c:smooth val="0"/>
                <c:extLst xmlns:c15="http://schemas.microsoft.com/office/drawing/2012/chart">
                  <c:ext xmlns:c16="http://schemas.microsoft.com/office/drawing/2014/chart" uri="{C3380CC4-5D6E-409C-BE32-E72D297353CC}">
                    <c16:uniqueId val="{0000001B-AC6E-4AA7-A5B5-9995B357C492}"/>
                  </c:ext>
                </c:extLst>
              </c15:ser>
            </c15:filteredLineSeries>
            <c15:filteredLineSeries>
              <c15:ser>
                <c:idx val="15"/>
                <c:order val="15"/>
                <c:tx>
                  <c:strRef>
                    <c:extLst xmlns:c15="http://schemas.microsoft.com/office/drawing/2012/chart">
                      <c:ext xmlns:c15="http://schemas.microsoft.com/office/drawing/2012/chart" uri="{02D57815-91ED-43cb-92C2-25804820EDAC}">
                        <c15:formulaRef>
                          <c15:sqref>'G2&amp;G3_BowWave_2024SEP'!$C$27</c15:sqref>
                        </c15:formulaRef>
                      </c:ext>
                    </c:extLst>
                    <c:strCache>
                      <c:ptCount val="1"/>
                      <c:pt idx="0">
                        <c:v>HMI - Finishes</c:v>
                      </c:pt>
                    </c:strCache>
                  </c:strRef>
                </c:tx>
                <c:spPr>
                  <a:ln w="28575"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tx1"/>
                      </a:solidFill>
                    </a:ln>
                    <a:effectLst/>
                  </c:spPr>
                </c:marker>
                <c:cat>
                  <c:numRef>
                    <c:extLst xmlns:c15="http://schemas.microsoft.com/office/drawing/2012/chart">
                      <c:ext xmlns:c15="http://schemas.microsoft.com/office/drawing/2012/chart" uri="{02D57815-91ED-43cb-92C2-25804820EDAC}">
                        <c15:formulaRef>
                          <c15:sqref>'G2&amp;G3_BowWave_2024SEP'!$D$11:$IX$11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'G2&amp;G3_BowWave_2024SEP'!$D$27:$IX$27</c15:sqref>
                        </c15:formulaRef>
                      </c:ext>
                    </c:extLst>
                    <c:numCache>
                      <c:formatCode>General</c:formatCode>
                      <c:ptCount val="25"/>
                      <c:pt idx="7">
                        <c:v>0.01</c:v>
                      </c:pt>
                      <c:pt idx="8">
                        <c:v>0.04</c:v>
                      </c:pt>
                      <c:pt idx="9">
                        <c:v>0.02</c:v>
                      </c:pt>
                    </c:numCache>
                  </c:numRef>
                </c:val>
                <c:smooth val="0"/>
                <c:extLst xmlns:c15="http://schemas.microsoft.com/office/drawing/2012/chart">
                  <c:ext xmlns:c16="http://schemas.microsoft.com/office/drawing/2014/chart" uri="{C3380CC4-5D6E-409C-BE32-E72D297353CC}">
                    <c16:uniqueId val="{0000001C-AC6E-4AA7-A5B5-9995B357C492}"/>
                  </c:ext>
                </c:extLst>
              </c15:ser>
            </c15:filteredLineSeries>
            <c15:filteredLineSeries>
              <c15:ser>
                <c:idx val="16"/>
                <c:order val="16"/>
                <c:tx>
                  <c:strRef>
                    <c:extLst xmlns:c15="http://schemas.microsoft.com/office/drawing/2012/chart">
                      <c:ext xmlns:c15="http://schemas.microsoft.com/office/drawing/2012/chart" uri="{02D57815-91ED-43cb-92C2-25804820EDAC}">
                        <c15:formulaRef>
                          <c15:sqref>'G2&amp;G3_BowWave_2024SEP'!$C$28</c15:sqref>
                        </c15:formulaRef>
                      </c:ext>
                    </c:extLst>
                    <c:strCache>
                      <c:ptCount val="1"/>
                      <c:pt idx="0">
                        <c:v>CEI - Starts</c:v>
                      </c:pt>
                    </c:strCache>
                  </c:strRef>
                </c:tx>
                <c:spPr>
                  <a:ln w="28575" cap="rnd">
                    <a:solidFill>
                      <a:schemeClr val="accent6"/>
                    </a:solidFill>
                    <a:round/>
                  </a:ln>
                  <a:effectLst/>
                </c:spPr>
                <c:marker>
                  <c:symbol val="circle"/>
                  <c:size val="5"/>
                  <c:spPr>
                    <a:solidFill>
                      <a:schemeClr val="accent6"/>
                    </a:solidFill>
                    <a:ln w="9525">
                      <a:solidFill>
                        <a:schemeClr val="tx1"/>
                      </a:solidFill>
                    </a:ln>
                    <a:effectLst/>
                  </c:spPr>
                </c:marker>
                <c:cat>
                  <c:numRef>
                    <c:extLst xmlns:c15="http://schemas.microsoft.com/office/drawing/2012/chart">
                      <c:ext xmlns:c15="http://schemas.microsoft.com/office/drawing/2012/chart" uri="{02D57815-91ED-43cb-92C2-25804820EDAC}">
                        <c15:formulaRef>
                          <c15:sqref>'G2&amp;G3_BowWave_2024SEP'!$D$11:$IX$11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'G2&amp;G3_BowWave_2024SEP'!$D$28:$IX$28</c15:sqref>
                        </c15:formulaRef>
                      </c:ext>
                    </c:extLst>
                    <c:numCache>
                      <c:formatCode>General</c:formatCode>
                      <c:ptCount val="25"/>
                      <c:pt idx="7">
                        <c:v>0.31</c:v>
                      </c:pt>
                      <c:pt idx="8">
                        <c:v>0.51</c:v>
                      </c:pt>
                      <c:pt idx="9">
                        <c:v>0.43</c:v>
                      </c:pt>
                    </c:numCache>
                  </c:numRef>
                </c:val>
                <c:smooth val="0"/>
                <c:extLst xmlns:c15="http://schemas.microsoft.com/office/drawing/2012/chart">
                  <c:ext xmlns:c16="http://schemas.microsoft.com/office/drawing/2014/chart" uri="{C3380CC4-5D6E-409C-BE32-E72D297353CC}">
                    <c16:uniqueId val="{0000001D-AC6E-4AA7-A5B5-9995B357C492}"/>
                  </c:ext>
                </c:extLst>
              </c15:ser>
            </c15:filteredLineSeries>
            <c15:filteredLineSeries>
              <c15:ser>
                <c:idx val="17"/>
                <c:order val="17"/>
                <c:tx>
                  <c:strRef>
                    <c:extLst xmlns:c15="http://schemas.microsoft.com/office/drawing/2012/chart">
                      <c:ext xmlns:c15="http://schemas.microsoft.com/office/drawing/2012/chart" uri="{02D57815-91ED-43cb-92C2-25804820EDAC}">
                        <c15:formulaRef>
                          <c15:sqref>'G2&amp;G3_BowWave_2024SEP'!$C$29</c15:sqref>
                        </c15:formulaRef>
                      </c:ext>
                    </c:extLst>
                    <c:strCache>
                      <c:ptCount val="1"/>
                      <c:pt idx="0">
                        <c:v>CEI - Finishes</c:v>
                      </c:pt>
                    </c:strCache>
                  </c:strRef>
                </c:tx>
                <c:spPr>
                  <a:ln w="28575" cap="rnd">
                    <a:solidFill>
                      <a:schemeClr val="accent6">
                        <a:lumMod val="80000"/>
                        <a:lumOff val="20000"/>
                      </a:schemeClr>
                    </a:solidFill>
                    <a:round/>
                  </a:ln>
                  <a:effectLst/>
                </c:spPr>
                <c:marker>
                  <c:symbol val="circle"/>
                  <c:size val="5"/>
                  <c:spPr>
                    <a:solidFill>
                      <a:schemeClr val="accent6">
                        <a:lumMod val="80000"/>
                        <a:lumOff val="20000"/>
                      </a:schemeClr>
                    </a:solidFill>
                    <a:ln w="9525">
                      <a:solidFill>
                        <a:schemeClr val="tx1"/>
                      </a:solidFill>
                    </a:ln>
                    <a:effectLst/>
                  </c:spPr>
                </c:marker>
                <c:cat>
                  <c:numRef>
                    <c:extLst xmlns:c15="http://schemas.microsoft.com/office/drawing/2012/chart">
                      <c:ext xmlns:c15="http://schemas.microsoft.com/office/drawing/2012/chart" uri="{02D57815-91ED-43cb-92C2-25804820EDAC}">
                        <c15:formulaRef>
                          <c15:sqref>'G2&amp;G3_BowWave_2024SEP'!$D$11:$IX$11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'G2&amp;G3_BowWave_2024SEP'!$D$29:$IX$29</c15:sqref>
                        </c15:formulaRef>
                      </c:ext>
                    </c:extLst>
                    <c:numCache>
                      <c:formatCode>General</c:formatCode>
                      <c:ptCount val="25"/>
                      <c:pt idx="7">
                        <c:v>0.3</c:v>
                      </c:pt>
                      <c:pt idx="8">
                        <c:v>0.42</c:v>
                      </c:pt>
                      <c:pt idx="9">
                        <c:v>0.35</c:v>
                      </c:pt>
                    </c:numCache>
                  </c:numRef>
                </c:val>
                <c:smooth val="0"/>
                <c:extLst xmlns:c15="http://schemas.microsoft.com/office/drawing/2012/chart">
                  <c:ext xmlns:c16="http://schemas.microsoft.com/office/drawing/2014/chart" uri="{C3380CC4-5D6E-409C-BE32-E72D297353CC}">
                    <c16:uniqueId val="{0000001E-AC6E-4AA7-A5B5-9995B357C492}"/>
                  </c:ext>
                </c:extLst>
              </c15:ser>
            </c15:filteredLineSeries>
            <c15:filteredLineSeries>
              <c15:ser>
                <c:idx val="28"/>
                <c:order val="22"/>
                <c:tx>
                  <c:strRef>
                    <c:extLst xmlns:c15="http://schemas.microsoft.com/office/drawing/2012/chart">
                      <c:ext xmlns:c15="http://schemas.microsoft.com/office/drawing/2012/chart" uri="{02D57815-91ED-43cb-92C2-25804820EDAC}">
                        <c15:formulaRef>
                          <c15:sqref>'G2&amp;G3_BowWave_2024SEP'!$C$35</c15:sqref>
                        </c15:formulaRef>
                      </c:ext>
                    </c:extLst>
                    <c:strCache>
                      <c:ptCount val="1"/>
                      <c:pt idx="0">
                        <c:v>Baselined to Finish  - Cumulative</c:v>
                      </c:pt>
                    </c:strCache>
                  </c:strRef>
                </c:tx>
                <c:spPr>
                  <a:ln w="28575" cap="rnd">
                    <a:solidFill>
                      <a:schemeClr val="accent5">
                        <a:lumMod val="60000"/>
                        <a:lumOff val="40000"/>
                      </a:schemeClr>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cat>
                  <c:numRef>
                    <c:extLst xmlns:c15="http://schemas.microsoft.com/office/drawing/2012/chart">
                      <c:ext xmlns:c15="http://schemas.microsoft.com/office/drawing/2012/chart" uri="{02D57815-91ED-43cb-92C2-25804820EDAC}">
                        <c15:formulaRef>
                          <c15:sqref>'G2&amp;G3_BowWave_2024SEP'!$D$11:$IX$11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'G2&amp;G3_BowWave_2024SEP'!$D$35</c15:sqref>
                        </c15:formulaRef>
                      </c:ext>
                    </c:extLst>
                  </c:numRef>
                </c:val>
                <c:smooth val="0"/>
                <c:extLst xmlns:c15="http://schemas.microsoft.com/office/drawing/2012/chart">
                  <c:ext xmlns:c16="http://schemas.microsoft.com/office/drawing/2014/chart" uri="{C3380CC4-5D6E-409C-BE32-E72D297353CC}">
                    <c16:uniqueId val="{00000034-AC6E-4AA7-A5B5-9995B357C492}"/>
                  </c:ext>
                </c:extLst>
              </c15:ser>
            </c15:filteredLineSeries>
            <c15:filteredLineSeries>
              <c15:ser>
                <c:idx val="29"/>
                <c:order val="23"/>
                <c:tx>
                  <c:strRef>
                    <c:extLst xmlns:c15="http://schemas.microsoft.com/office/drawing/2012/chart">
                      <c:ext xmlns:c15="http://schemas.microsoft.com/office/drawing/2012/chart" uri="{02D57815-91ED-43cb-92C2-25804820EDAC}">
                        <c15:formulaRef>
                          <c15:sqref>'G2&amp;G3_BowWave_2024SEP'!$C$36</c15:sqref>
                        </c15:formulaRef>
                      </c:ext>
                    </c:extLst>
                    <c:strCache>
                      <c:ptCount val="1"/>
                      <c:pt idx="0">
                        <c:v>Scheduled to Finish  - Cumulative</c:v>
                      </c:pt>
                    </c:strCache>
                  </c:strRef>
                </c:tx>
                <c:spPr>
                  <a:ln w="28575" cap="rnd">
                    <a:solidFill>
                      <a:schemeClr val="accent6">
                        <a:lumMod val="60000"/>
                        <a:lumOff val="40000"/>
                      </a:schemeClr>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cat>
                  <c:numRef>
                    <c:extLst xmlns:c15="http://schemas.microsoft.com/office/drawing/2012/chart">
                      <c:ext xmlns:c15="http://schemas.microsoft.com/office/drawing/2012/chart" uri="{02D57815-91ED-43cb-92C2-25804820EDAC}">
                        <c15:formulaRef>
                          <c15:sqref>'G2&amp;G3_BowWave_2024SEP'!$D$11:$IX$11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'G2&amp;G3_BowWave_2024SEP'!$D$36</c15:sqref>
                        </c15:formulaRef>
                      </c:ext>
                    </c:extLst>
                  </c:numRef>
                </c:val>
                <c:smooth val="0"/>
                <c:extLst xmlns:c15="http://schemas.microsoft.com/office/drawing/2012/chart">
                  <c:ext xmlns:c16="http://schemas.microsoft.com/office/drawing/2014/chart" uri="{C3380CC4-5D6E-409C-BE32-E72D297353CC}">
                    <c16:uniqueId val="{00000035-AC6E-4AA7-A5B5-9995B357C492}"/>
                  </c:ext>
                </c:extLst>
              </c15:ser>
            </c15:filteredLineSeries>
            <c15:filteredLineSeries>
              <c15:ser>
                <c:idx val="30"/>
                <c:order val="24"/>
                <c:tx>
                  <c:strRef>
                    <c:extLst xmlns:c15="http://schemas.microsoft.com/office/drawing/2012/chart">
                      <c:ext xmlns:c15="http://schemas.microsoft.com/office/drawing/2012/chart" uri="{02D57815-91ED-43cb-92C2-25804820EDAC}">
                        <c15:formulaRef>
                          <c15:sqref>'G2&amp;G3_BowWave_2024SEP'!$C$37</c15:sqref>
                        </c15:formulaRef>
                      </c:ext>
                    </c:extLst>
                    <c:strCache>
                      <c:ptCount val="1"/>
                      <c:pt idx="0">
                        <c:v>Actual Finishes  - Cumulative</c:v>
                      </c:pt>
                    </c:strCache>
                  </c:strRef>
                </c:tx>
                <c:spPr>
                  <a:ln w="28575" cap="rnd">
                    <a:solidFill>
                      <a:schemeClr val="accent1">
                        <a:lumMod val="50000"/>
                      </a:schemeClr>
                    </a:solidFill>
                    <a:round/>
                  </a:ln>
                  <a:effectLst/>
                </c:spPr>
                <c:marker>
                  <c:symbol val="circle"/>
                  <c:size val="5"/>
                  <c:spPr>
                    <a:solidFill>
                      <a:schemeClr val="accent1">
                        <a:lumMod val="50000"/>
                      </a:schemeClr>
                    </a:solidFill>
                    <a:ln w="9525">
                      <a:solidFill>
                        <a:schemeClr val="accent1">
                          <a:lumMod val="50000"/>
                        </a:schemeClr>
                      </a:solidFill>
                    </a:ln>
                    <a:effectLst/>
                  </c:spPr>
                </c:marker>
                <c:cat>
                  <c:numRef>
                    <c:extLst xmlns:c15="http://schemas.microsoft.com/office/drawing/2012/chart">
                      <c:ext xmlns:c15="http://schemas.microsoft.com/office/drawing/2012/chart" uri="{02D57815-91ED-43cb-92C2-25804820EDAC}">
                        <c15:formulaRef>
                          <c15:sqref>'G2&amp;G3_BowWave_2024SEP'!$D$11:$IX$11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'G2&amp;G3_BowWave_2024SEP'!$D$37:$DD$37</c15:sqref>
                        </c15:formulaRef>
                      </c:ext>
                    </c:extLst>
                    <c:numCache>
                      <c:formatCode>General</c:formatCode>
                      <c:ptCount val="25"/>
                      <c:pt idx="0">
                        <c:v>1650</c:v>
                      </c:pt>
                      <c:pt idx="1">
                        <c:v>1706</c:v>
                      </c:pt>
                      <c:pt idx="2">
                        <c:v>1749</c:v>
                      </c:pt>
                      <c:pt idx="3">
                        <c:v>1796</c:v>
                      </c:pt>
                      <c:pt idx="4">
                        <c:v>1838</c:v>
                      </c:pt>
                      <c:pt idx="5">
                        <c:v>1888</c:v>
                      </c:pt>
                      <c:pt idx="6">
                        <c:v>1917</c:v>
                      </c:pt>
                      <c:pt idx="7">
                        <c:v>1917</c:v>
                      </c:pt>
                      <c:pt idx="8">
                        <c:v>1917</c:v>
                      </c:pt>
                      <c:pt idx="9">
                        <c:v>1917</c:v>
                      </c:pt>
                      <c:pt idx="10">
                        <c:v>1917</c:v>
                      </c:pt>
                      <c:pt idx="11">
                        <c:v>1917</c:v>
                      </c:pt>
                      <c:pt idx="12">
                        <c:v>1917</c:v>
                      </c:pt>
                      <c:pt idx="13">
                        <c:v>1917</c:v>
                      </c:pt>
                      <c:pt idx="14">
                        <c:v>1917</c:v>
                      </c:pt>
                      <c:pt idx="15">
                        <c:v>1917</c:v>
                      </c:pt>
                      <c:pt idx="16">
                        <c:v>1917</c:v>
                      </c:pt>
                      <c:pt idx="17">
                        <c:v>1917</c:v>
                      </c:pt>
                      <c:pt idx="18">
                        <c:v>1917</c:v>
                      </c:pt>
                      <c:pt idx="19">
                        <c:v>1917</c:v>
                      </c:pt>
                      <c:pt idx="20">
                        <c:v>1917</c:v>
                      </c:pt>
                      <c:pt idx="21">
                        <c:v>1917</c:v>
                      </c:pt>
                      <c:pt idx="22">
                        <c:v>1917</c:v>
                      </c:pt>
                      <c:pt idx="23">
                        <c:v>1917</c:v>
                      </c:pt>
                      <c:pt idx="24">
                        <c:v>1917</c:v>
                      </c:pt>
                    </c:numCache>
                  </c:numRef>
                </c:val>
                <c:smooth val="0"/>
                <c:extLst xmlns:c15="http://schemas.microsoft.com/office/drawing/2012/chart">
                  <c:ext xmlns:c16="http://schemas.microsoft.com/office/drawing/2014/chart" uri="{C3380CC4-5D6E-409C-BE32-E72D297353CC}">
                    <c16:uniqueId val="{00000036-AC6E-4AA7-A5B5-9995B357C492}"/>
                  </c:ext>
                </c:extLst>
              </c15:ser>
            </c15:filteredLineSeries>
          </c:ext>
        </c:extLst>
      </c:lineChart>
      <c:catAx>
        <c:axId val="2001818015"/>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2001820415"/>
        <c:crosses val="autoZero"/>
        <c:auto val="1"/>
        <c:lblAlgn val="ctr"/>
        <c:lblOffset val="100"/>
        <c:noMultiLvlLbl val="0"/>
      </c:catAx>
      <c:valAx>
        <c:axId val="2001820415"/>
        <c:scaling>
          <c:orientation val="minMax"/>
          <c:max val="125"/>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 of Activities</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2001818015"/>
        <c:crosses val="autoZero"/>
        <c:crossBetween val="between"/>
        <c:majorUnit val="25"/>
      </c:valAx>
      <c:valAx>
        <c:axId val="1121471199"/>
        <c:scaling>
          <c:orientation val="minMax"/>
          <c:max val="3000"/>
          <c:min val="0"/>
        </c:scaling>
        <c:delete val="0"/>
        <c:axPos val="r"/>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Schedule Performance Index</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121466879"/>
        <c:crosses val="max"/>
        <c:crossBetween val="between"/>
        <c:majorUnit val="500"/>
      </c:valAx>
      <c:dateAx>
        <c:axId val="1121466879"/>
        <c:scaling>
          <c:orientation val="minMax"/>
        </c:scaling>
        <c:delete val="1"/>
        <c:axPos val="b"/>
        <c:numFmt formatCode="mmm\-yy" sourceLinked="1"/>
        <c:majorTickMark val="out"/>
        <c:minorTickMark val="none"/>
        <c:tickLblPos val="nextTo"/>
        <c:crossAx val="1121471199"/>
        <c:crosses val="autoZero"/>
        <c:auto val="1"/>
        <c:lblOffset val="100"/>
        <c:baseTimeUnit val="months"/>
        <c:majorUnit val="1"/>
        <c:minorUnit val="1"/>
      </c:date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baseline="0"/>
              <a:t>Activity Finishes - As of March 2025</a:t>
            </a:r>
            <a:endParaRPr lang="en-US" sz="1600" b="1"/>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11"/>
          <c:order val="9"/>
          <c:tx>
            <c:strRef>
              <c:f>'G2&amp;G3_BowWave_2024SEP'!$C$23</c:f>
              <c:strCache>
                <c:ptCount val="1"/>
                <c:pt idx="0">
                  <c:v>Completed Delayed (&gt;60 days)</c:v>
                </c:pt>
              </c:strCache>
            </c:strRef>
          </c:tx>
          <c:spPr>
            <a:solidFill>
              <a:srgbClr val="CC99FF"/>
            </a:solidFill>
            <a:ln>
              <a:noFill/>
            </a:ln>
            <a:effectLst/>
          </c:spPr>
          <c:cat>
            <c:numRef>
              <c:f>'G2&amp;G3_BowWave_2024SEP'!$D$11:$IX$11</c:f>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f>'G2&amp;G3_BowWave_2024SEP'!$D$23:$IX$23</c:f>
              <c:numCache>
                <c:formatCode>General</c:formatCode>
                <c:ptCount val="25"/>
                <c:pt idx="0">
                  <c:v>6</c:v>
                </c:pt>
                <c:pt idx="1">
                  <c:v>7</c:v>
                </c:pt>
                <c:pt idx="2">
                  <c:v>1</c:v>
                </c:pt>
                <c:pt idx="3">
                  <c:v>8</c:v>
                </c:pt>
                <c:pt idx="4">
                  <c:v>2</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extLst xmlns:c15="http://schemas.microsoft.com/office/drawing/2012/chart">
            <c:ext xmlns:c16="http://schemas.microsoft.com/office/drawing/2014/chart" uri="{C3380CC4-5D6E-409C-BE32-E72D297353CC}">
              <c16:uniqueId val="{00000000-50AF-4D66-9EF1-224AB2C74B61}"/>
            </c:ext>
          </c:extLst>
        </c:ser>
        <c:ser>
          <c:idx val="10"/>
          <c:order val="10"/>
          <c:tx>
            <c:strRef>
              <c:f>'G2&amp;G3_BowWave_2024SEP'!$C$22</c:f>
              <c:strCache>
                <c:ptCount val="1"/>
                <c:pt idx="0">
                  <c:v>Completed Delayed (Between 31 to 60 days)</c:v>
                </c:pt>
              </c:strCache>
            </c:strRef>
          </c:tx>
          <c:spPr>
            <a:solidFill>
              <a:srgbClr val="FFFFCC"/>
            </a:solidFill>
            <a:ln>
              <a:noFill/>
            </a:ln>
            <a:effectLst/>
          </c:spPr>
          <c:cat>
            <c:numRef>
              <c:f>'G2&amp;G3_BowWave_2024SEP'!$D$11:$IX$11</c:f>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f>'G2&amp;G3_BowWave_2024SEP'!$D$22:$IX$22</c:f>
              <c:numCache>
                <c:formatCode>General</c:formatCode>
                <c:ptCount val="25"/>
                <c:pt idx="0">
                  <c:v>0</c:v>
                </c:pt>
                <c:pt idx="1">
                  <c:v>3</c:v>
                </c:pt>
                <c:pt idx="2">
                  <c:v>6</c:v>
                </c:pt>
                <c:pt idx="3">
                  <c:v>7</c:v>
                </c:pt>
                <c:pt idx="4">
                  <c:v>3</c:v>
                </c:pt>
                <c:pt idx="5">
                  <c:v>3</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extLst xmlns:c15="http://schemas.microsoft.com/office/drawing/2012/chart">
            <c:ext xmlns:c16="http://schemas.microsoft.com/office/drawing/2014/chart" uri="{C3380CC4-5D6E-409C-BE32-E72D297353CC}">
              <c16:uniqueId val="{00000001-50AF-4D66-9EF1-224AB2C74B61}"/>
            </c:ext>
          </c:extLst>
        </c:ser>
        <c:ser>
          <c:idx val="9"/>
          <c:order val="11"/>
          <c:tx>
            <c:strRef>
              <c:f>'G2&amp;G3_BowWave_2024SEP'!$C$21</c:f>
              <c:strCache>
                <c:ptCount val="1"/>
                <c:pt idx="0">
                  <c:v>Completed Delayed (&lt;=30 days)</c:v>
                </c:pt>
              </c:strCache>
            </c:strRef>
          </c:tx>
          <c:spPr>
            <a:solidFill>
              <a:srgbClr val="00FFFF"/>
            </a:solidFill>
            <a:ln>
              <a:noFill/>
            </a:ln>
            <a:effectLst/>
          </c:spPr>
          <c:cat>
            <c:numRef>
              <c:f>'G2&amp;G3_BowWave_2024SEP'!$D$11:$IX$11</c:f>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f>'G2&amp;G3_BowWave_2024SEP'!$D$21:$IX$21</c:f>
              <c:numCache>
                <c:formatCode>General</c:formatCode>
                <c:ptCount val="25"/>
                <c:pt idx="0">
                  <c:v>6</c:v>
                </c:pt>
                <c:pt idx="1">
                  <c:v>0</c:v>
                </c:pt>
                <c:pt idx="2">
                  <c:v>1</c:v>
                </c:pt>
                <c:pt idx="3">
                  <c:v>6</c:v>
                </c:pt>
                <c:pt idx="4">
                  <c:v>8</c:v>
                </c:pt>
                <c:pt idx="5">
                  <c:v>8</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extLst xmlns:c15="http://schemas.microsoft.com/office/drawing/2012/chart">
            <c:ext xmlns:c16="http://schemas.microsoft.com/office/drawing/2014/chart" uri="{C3380CC4-5D6E-409C-BE32-E72D297353CC}">
              <c16:uniqueId val="{00000002-50AF-4D66-9EF1-224AB2C74B61}"/>
            </c:ext>
          </c:extLst>
        </c:ser>
        <c:dLbls>
          <c:showLegendKey val="0"/>
          <c:showVal val="0"/>
          <c:showCatName val="0"/>
          <c:showSerName val="0"/>
          <c:showPercent val="0"/>
          <c:showBubbleSize val="0"/>
        </c:dLbls>
        <c:axId val="2001818015"/>
        <c:axId val="2001820415"/>
        <c:extLst>
          <c:ext xmlns:c15="http://schemas.microsoft.com/office/drawing/2012/chart" uri="{02D57815-91ED-43cb-92C2-25804820EDAC}">
            <c15:filteredAreaSeries>
              <c15:ser>
                <c:idx val="8"/>
                <c:order val="6"/>
                <c:tx>
                  <c:strRef>
                    <c:extLst>
                      <c:ext uri="{02D57815-91ED-43cb-92C2-25804820EDAC}">
                        <c15:formulaRef>
                          <c15:sqref>'G2&amp;G3_BowWave_2024SEP'!$C$20</c15:sqref>
                        </c15:formulaRef>
                      </c:ext>
                    </c:extLst>
                    <c:strCache>
                      <c:ptCount val="1"/>
                      <c:pt idx="0">
                        <c:v>Started Delayed (&gt;60 days)</c:v>
                      </c:pt>
                    </c:strCache>
                  </c:strRef>
                </c:tx>
                <c:spPr>
                  <a:solidFill>
                    <a:srgbClr val="9999FF"/>
                  </a:solidFill>
                  <a:ln>
                    <a:noFill/>
                  </a:ln>
                  <a:effectLst/>
                </c:spPr>
                <c:cat>
                  <c:numRef>
                    <c:extLst>
                      <c:ext uri="{02D57815-91ED-43cb-92C2-25804820EDAC}">
                        <c15:formulaRef>
                          <c15:sqref>'G2&amp;G3_BowWave_2024SEP'!$D$11:$IX$11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c:ext uri="{02D57815-91ED-43cb-92C2-25804820EDAC}">
                        <c15:formulaRef>
                          <c15:sqref>'G2&amp;G3_BowWave_2024SEP'!$D$20:$IX$20</c15:sqref>
                        </c15:formulaRef>
                      </c:ext>
                    </c:extLst>
                    <c:numCache>
                      <c:formatCode>General</c:formatCode>
                      <c:ptCount val="25"/>
                      <c:pt idx="0">
                        <c:v>4</c:v>
                      </c:pt>
                      <c:pt idx="1">
                        <c:v>7</c:v>
                      </c:pt>
                      <c:pt idx="2">
                        <c:v>1</c:v>
                      </c:pt>
                      <c:pt idx="3">
                        <c:v>10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extLst>
                  <c:ext xmlns:c16="http://schemas.microsoft.com/office/drawing/2014/chart" uri="{C3380CC4-5D6E-409C-BE32-E72D297353CC}">
                    <c16:uniqueId val="{0000002B-50AF-4D66-9EF1-224AB2C74B61}"/>
                  </c:ext>
                </c:extLst>
              </c15:ser>
            </c15:filteredAreaSeries>
            <c15:filteredAreaSeries>
              <c15:ser>
                <c:idx val="7"/>
                <c:order val="7"/>
                <c:tx>
                  <c:strRef>
                    <c:extLst xmlns:c15="http://schemas.microsoft.com/office/drawing/2012/chart">
                      <c:ext xmlns:c15="http://schemas.microsoft.com/office/drawing/2012/chart" uri="{02D57815-91ED-43cb-92C2-25804820EDAC}">
                        <c15:formulaRef>
                          <c15:sqref>'G2&amp;G3_BowWave_2024SEP'!$C$19</c15:sqref>
                        </c15:formulaRef>
                      </c:ext>
                    </c:extLst>
                    <c:strCache>
                      <c:ptCount val="1"/>
                      <c:pt idx="0">
                        <c:v>Started Delayed (Between 31 to 60 days)</c:v>
                      </c:pt>
                    </c:strCache>
                  </c:strRef>
                </c:tx>
                <c:spPr>
                  <a:solidFill>
                    <a:srgbClr val="FFFFCC"/>
                  </a:solidFill>
                  <a:ln>
                    <a:noFill/>
                  </a:ln>
                  <a:effectLst/>
                </c:spPr>
                <c:cat>
                  <c:numRef>
                    <c:extLst xmlns:c15="http://schemas.microsoft.com/office/drawing/2012/chart">
                      <c:ext xmlns:c15="http://schemas.microsoft.com/office/drawing/2012/chart" uri="{02D57815-91ED-43cb-92C2-25804820EDAC}">
                        <c15:formulaRef>
                          <c15:sqref>'G2&amp;G3_BowWave_2024SEP'!$D$11:$IX$11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'G2&amp;G3_BowWave_2024SEP'!$D$19:$IX$19</c15:sqref>
                        </c15:formulaRef>
                      </c:ext>
                    </c:extLst>
                    <c:numCache>
                      <c:formatCode>General</c:formatCode>
                      <c:ptCount val="25"/>
                      <c:pt idx="0">
                        <c:v>1</c:v>
                      </c:pt>
                      <c:pt idx="1">
                        <c:v>3</c:v>
                      </c:pt>
                      <c:pt idx="2">
                        <c:v>0</c:v>
                      </c:pt>
                      <c:pt idx="3">
                        <c:v>8</c:v>
                      </c:pt>
                      <c:pt idx="4">
                        <c:v>1</c:v>
                      </c:pt>
                      <c:pt idx="5">
                        <c:v>3</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extLst xmlns:c15="http://schemas.microsoft.com/office/drawing/2012/chart">
                  <c:ext xmlns:c16="http://schemas.microsoft.com/office/drawing/2014/chart" uri="{C3380CC4-5D6E-409C-BE32-E72D297353CC}">
                    <c16:uniqueId val="{0000002C-50AF-4D66-9EF1-224AB2C74B61}"/>
                  </c:ext>
                </c:extLst>
              </c15:ser>
            </c15:filteredAreaSeries>
            <c15:filteredAreaSeries>
              <c15:ser>
                <c:idx val="6"/>
                <c:order val="8"/>
                <c:tx>
                  <c:strRef>
                    <c:extLst xmlns:c15="http://schemas.microsoft.com/office/drawing/2012/chart">
                      <c:ext xmlns:c15="http://schemas.microsoft.com/office/drawing/2012/chart" uri="{02D57815-91ED-43cb-92C2-25804820EDAC}">
                        <c15:formulaRef>
                          <c15:sqref>'G2&amp;G3_BowWave_2024SEP'!$C$18</c15:sqref>
                        </c15:formulaRef>
                      </c:ext>
                    </c:extLst>
                    <c:strCache>
                      <c:ptCount val="1"/>
                      <c:pt idx="0">
                        <c:v>Started Delayed (&lt;=30 days)</c:v>
                      </c:pt>
                    </c:strCache>
                  </c:strRef>
                </c:tx>
                <c:spPr>
                  <a:solidFill>
                    <a:srgbClr val="00FFFF"/>
                  </a:solidFill>
                  <a:ln>
                    <a:noFill/>
                  </a:ln>
                  <a:effectLst/>
                </c:spPr>
                <c:cat>
                  <c:numRef>
                    <c:extLst xmlns:c15="http://schemas.microsoft.com/office/drawing/2012/chart">
                      <c:ext xmlns:c15="http://schemas.microsoft.com/office/drawing/2012/chart" uri="{02D57815-91ED-43cb-92C2-25804820EDAC}">
                        <c15:formulaRef>
                          <c15:sqref>'G2&amp;G3_BowWave_2024SEP'!$D$11:$IX$11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'G2&amp;G3_BowWave_2024SEP'!$D$18:$IX$18</c15:sqref>
                        </c15:formulaRef>
                      </c:ext>
                    </c:extLst>
                    <c:numCache>
                      <c:formatCode>General</c:formatCode>
                      <c:ptCount val="25"/>
                      <c:pt idx="0">
                        <c:v>9</c:v>
                      </c:pt>
                      <c:pt idx="1">
                        <c:v>0</c:v>
                      </c:pt>
                      <c:pt idx="2">
                        <c:v>3</c:v>
                      </c:pt>
                      <c:pt idx="3">
                        <c:v>4</c:v>
                      </c:pt>
                      <c:pt idx="4">
                        <c:v>3</c:v>
                      </c:pt>
                      <c:pt idx="5">
                        <c:v>7</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extLst xmlns:c15="http://schemas.microsoft.com/office/drawing/2012/chart">
                  <c:ext xmlns:c16="http://schemas.microsoft.com/office/drawing/2014/chart" uri="{C3380CC4-5D6E-409C-BE32-E72D297353CC}">
                    <c16:uniqueId val="{0000002D-50AF-4D66-9EF1-224AB2C74B61}"/>
                  </c:ext>
                </c:extLst>
              </c15:ser>
            </c15:filteredAreaSeries>
          </c:ext>
        </c:extLst>
      </c:areaChart>
      <c:barChart>
        <c:barDir val="col"/>
        <c:grouping val="clustered"/>
        <c:varyColors val="0"/>
        <c:ser>
          <c:idx val="3"/>
          <c:order val="3"/>
          <c:tx>
            <c:strRef>
              <c:f>'G2&amp;G3_BowWave_2024SEP'!$C$15</c:f>
              <c:strCache>
                <c:ptCount val="1"/>
                <c:pt idx="0">
                  <c:v>Baselined to Finish</c:v>
                </c:pt>
              </c:strCache>
            </c:strRef>
          </c:tx>
          <c:spPr>
            <a:solidFill>
              <a:schemeClr val="accent4">
                <a:lumMod val="60000"/>
                <a:lumOff val="40000"/>
              </a:schemeClr>
            </a:solidFill>
            <a:ln>
              <a:solidFill>
                <a:schemeClr val="accent2"/>
              </a:solidFill>
            </a:ln>
            <a:effectLst/>
          </c:spPr>
          <c:invertIfNegative val="0"/>
          <c:cat>
            <c:numRef>
              <c:f>'G2&amp;G3_BowWave_2024SEP'!$D$11:$IX$11</c:f>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f>'G2&amp;G3_BowWave_2024SEP'!$D$15:$IX$15</c:f>
              <c:numCache>
                <c:formatCode>General</c:formatCode>
                <c:ptCount val="25"/>
                <c:pt idx="0">
                  <c:v>64</c:v>
                </c:pt>
                <c:pt idx="1">
                  <c:v>49</c:v>
                </c:pt>
                <c:pt idx="2">
                  <c:v>56</c:v>
                </c:pt>
                <c:pt idx="3">
                  <c:v>80</c:v>
                </c:pt>
                <c:pt idx="4">
                  <c:v>79</c:v>
                </c:pt>
                <c:pt idx="5">
                  <c:v>107</c:v>
                </c:pt>
                <c:pt idx="6">
                  <c:v>60</c:v>
                </c:pt>
                <c:pt idx="7">
                  <c:v>92</c:v>
                </c:pt>
                <c:pt idx="8">
                  <c:v>46</c:v>
                </c:pt>
                <c:pt idx="9">
                  <c:v>49</c:v>
                </c:pt>
                <c:pt idx="10">
                  <c:v>38</c:v>
                </c:pt>
                <c:pt idx="11">
                  <c:v>16</c:v>
                </c:pt>
                <c:pt idx="12">
                  <c:v>29</c:v>
                </c:pt>
                <c:pt idx="13">
                  <c:v>25</c:v>
                </c:pt>
                <c:pt idx="14">
                  <c:v>12</c:v>
                </c:pt>
                <c:pt idx="15">
                  <c:v>8</c:v>
                </c:pt>
                <c:pt idx="16">
                  <c:v>2</c:v>
                </c:pt>
                <c:pt idx="17">
                  <c:v>1</c:v>
                </c:pt>
                <c:pt idx="18">
                  <c:v>2</c:v>
                </c:pt>
                <c:pt idx="19">
                  <c:v>2</c:v>
                </c:pt>
                <c:pt idx="20">
                  <c:v>2</c:v>
                </c:pt>
                <c:pt idx="21">
                  <c:v>5</c:v>
                </c:pt>
                <c:pt idx="22">
                  <c:v>3</c:v>
                </c:pt>
                <c:pt idx="23">
                  <c:v>1</c:v>
                </c:pt>
                <c:pt idx="24">
                  <c:v>0</c:v>
                </c:pt>
              </c:numCache>
            </c:numRef>
          </c:val>
          <c:extLst xmlns:c15="http://schemas.microsoft.com/office/drawing/2012/chart">
            <c:ext xmlns:c16="http://schemas.microsoft.com/office/drawing/2014/chart" uri="{C3380CC4-5D6E-409C-BE32-E72D297353CC}">
              <c16:uniqueId val="{00000003-50AF-4D66-9EF1-224AB2C74B61}"/>
            </c:ext>
          </c:extLst>
        </c:ser>
        <c:ser>
          <c:idx val="4"/>
          <c:order val="4"/>
          <c:tx>
            <c:strRef>
              <c:f>'G2&amp;G3_BowWave_2024SEP'!$C$16</c:f>
              <c:strCache>
                <c:ptCount val="1"/>
                <c:pt idx="0">
                  <c:v>Scheduled to Finish</c:v>
                </c:pt>
              </c:strCache>
            </c:strRef>
          </c:tx>
          <c:spPr>
            <a:solidFill>
              <a:schemeClr val="accent5">
                <a:lumMod val="60000"/>
                <a:lumOff val="40000"/>
              </a:schemeClr>
            </a:solidFill>
            <a:ln>
              <a:solidFill>
                <a:schemeClr val="accent5">
                  <a:lumMod val="75000"/>
                </a:schemeClr>
              </a:solidFill>
            </a:ln>
            <a:effectLst/>
          </c:spPr>
          <c:invertIfNegative val="0"/>
          <c:cat>
            <c:numRef>
              <c:f>'G2&amp;G3_BowWave_2024SEP'!$D$11:$IX$11</c:f>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f>'G2&amp;G3_BowWave_2024SEP'!$D$16:$IX$16</c:f>
              <c:numCache>
                <c:formatCode>General</c:formatCode>
                <c:ptCount val="25"/>
                <c:pt idx="0">
                  <c:v>70</c:v>
                </c:pt>
                <c:pt idx="1">
                  <c:v>56</c:v>
                </c:pt>
                <c:pt idx="2">
                  <c:v>43</c:v>
                </c:pt>
                <c:pt idx="3">
                  <c:v>47</c:v>
                </c:pt>
                <c:pt idx="4">
                  <c:v>42</c:v>
                </c:pt>
                <c:pt idx="5">
                  <c:v>50</c:v>
                </c:pt>
                <c:pt idx="6">
                  <c:v>31</c:v>
                </c:pt>
                <c:pt idx="7">
                  <c:v>69</c:v>
                </c:pt>
                <c:pt idx="8">
                  <c:v>63</c:v>
                </c:pt>
                <c:pt idx="9">
                  <c:v>79</c:v>
                </c:pt>
                <c:pt idx="10">
                  <c:v>89</c:v>
                </c:pt>
                <c:pt idx="11">
                  <c:v>59</c:v>
                </c:pt>
                <c:pt idx="12">
                  <c:v>55</c:v>
                </c:pt>
                <c:pt idx="13">
                  <c:v>70</c:v>
                </c:pt>
                <c:pt idx="14">
                  <c:v>49</c:v>
                </c:pt>
                <c:pt idx="15">
                  <c:v>45</c:v>
                </c:pt>
                <c:pt idx="16">
                  <c:v>22</c:v>
                </c:pt>
                <c:pt idx="17">
                  <c:v>11</c:v>
                </c:pt>
                <c:pt idx="18">
                  <c:v>2</c:v>
                </c:pt>
                <c:pt idx="19">
                  <c:v>1</c:v>
                </c:pt>
                <c:pt idx="20">
                  <c:v>10</c:v>
                </c:pt>
                <c:pt idx="21">
                  <c:v>9</c:v>
                </c:pt>
                <c:pt idx="22">
                  <c:v>13</c:v>
                </c:pt>
                <c:pt idx="23">
                  <c:v>8</c:v>
                </c:pt>
                <c:pt idx="24">
                  <c:v>19</c:v>
                </c:pt>
              </c:numCache>
            </c:numRef>
          </c:val>
          <c:extLst xmlns:c15="http://schemas.microsoft.com/office/drawing/2012/chart">
            <c:ext xmlns:c16="http://schemas.microsoft.com/office/drawing/2014/chart" uri="{C3380CC4-5D6E-409C-BE32-E72D297353CC}">
              <c16:uniqueId val="{00000004-50AF-4D66-9EF1-224AB2C74B61}"/>
            </c:ext>
          </c:extLst>
        </c:ser>
        <c:ser>
          <c:idx val="22"/>
          <c:order val="5"/>
          <c:tx>
            <c:strRef>
              <c:f>'G2&amp;G3_BowWave_2024SEP'!$C$17</c:f>
              <c:strCache>
                <c:ptCount val="1"/>
                <c:pt idx="0">
                  <c:v>Actual Finishes</c:v>
                </c:pt>
              </c:strCache>
            </c:strRef>
          </c:tx>
          <c:spPr>
            <a:solidFill>
              <a:srgbClr val="92D050"/>
            </a:solidFill>
            <a:ln>
              <a:solidFill>
                <a:schemeClr val="accent6">
                  <a:lumMod val="75000"/>
                </a:schemeClr>
              </a:solidFill>
            </a:ln>
            <a:effectLst/>
          </c:spPr>
          <c:invertIfNegative val="0"/>
          <c:cat>
            <c:numRef>
              <c:f>'G2&amp;G3_BowWave_2024SEP'!$D$11:$IX$11</c:f>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f>'G2&amp;G3_BowWave_2024SEP'!$D$17:$IX$17</c:f>
              <c:numCache>
                <c:formatCode>General</c:formatCode>
                <c:ptCount val="25"/>
                <c:pt idx="0">
                  <c:v>70</c:v>
                </c:pt>
                <c:pt idx="1">
                  <c:v>56</c:v>
                </c:pt>
                <c:pt idx="2">
                  <c:v>43</c:v>
                </c:pt>
                <c:pt idx="3">
                  <c:v>47</c:v>
                </c:pt>
                <c:pt idx="4">
                  <c:v>42</c:v>
                </c:pt>
                <c:pt idx="5">
                  <c:v>50</c:v>
                </c:pt>
                <c:pt idx="6">
                  <c:v>29</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extLst xmlns:c15="http://schemas.microsoft.com/office/drawing/2012/chart">
            <c:ext xmlns:c16="http://schemas.microsoft.com/office/drawing/2014/chart" uri="{C3380CC4-5D6E-409C-BE32-E72D297353CC}">
              <c16:uniqueId val="{00000005-50AF-4D66-9EF1-224AB2C74B61}"/>
            </c:ext>
          </c:extLst>
        </c:ser>
        <c:ser>
          <c:idx val="18"/>
          <c:order val="18"/>
          <c:tx>
            <c:strRef>
              <c:f>'G2&amp;G3_BowWave_2024SEP'!$C$30</c:f>
              <c:strCache>
                <c:ptCount val="1"/>
                <c:pt idx="0">
                  <c:v>Status Date (6-mo interval)</c:v>
                </c:pt>
              </c:strCache>
            </c:strRef>
          </c:tx>
          <c:spPr>
            <a:noFill/>
            <a:ln w="19050">
              <a:solidFill>
                <a:schemeClr val="accent1"/>
              </a:solidFill>
              <a:prstDash val="dash"/>
            </a:ln>
            <a:effectLst/>
          </c:spPr>
          <c:invertIfNegative val="0"/>
          <c:dPt>
            <c:idx val="0"/>
            <c:invertIfNegative val="0"/>
            <c:bubble3D val="0"/>
            <c:spPr>
              <a:noFill/>
              <a:ln w="19050">
                <a:solidFill>
                  <a:srgbClr val="002060"/>
                </a:solidFill>
                <a:prstDash val="dash"/>
              </a:ln>
              <a:effectLst/>
            </c:spPr>
            <c:extLst>
              <c:ext xmlns:c16="http://schemas.microsoft.com/office/drawing/2014/chart" uri="{C3380CC4-5D6E-409C-BE32-E72D297353CC}">
                <c16:uniqueId val="{00000007-50AF-4D66-9EF1-224AB2C74B61}"/>
              </c:ext>
            </c:extLst>
          </c:dPt>
          <c:dPt>
            <c:idx val="6"/>
            <c:invertIfNegative val="0"/>
            <c:bubble3D val="0"/>
            <c:spPr>
              <a:noFill/>
              <a:ln w="19050">
                <a:solidFill>
                  <a:srgbClr val="FF0000"/>
                </a:solidFill>
                <a:prstDash val="dash"/>
              </a:ln>
              <a:effectLst/>
            </c:spPr>
            <c:extLst>
              <c:ext xmlns:c16="http://schemas.microsoft.com/office/drawing/2014/chart" uri="{C3380CC4-5D6E-409C-BE32-E72D297353CC}">
                <c16:uniqueId val="{00000009-50AF-4D66-9EF1-224AB2C74B61}"/>
              </c:ext>
            </c:extLst>
          </c:dPt>
          <c:dPt>
            <c:idx val="12"/>
            <c:invertIfNegative val="0"/>
            <c:bubble3D val="0"/>
            <c:spPr>
              <a:noFill/>
              <a:ln w="19050">
                <a:solidFill>
                  <a:srgbClr val="002060"/>
                </a:solidFill>
                <a:prstDash val="dash"/>
              </a:ln>
              <a:effectLst/>
            </c:spPr>
            <c:extLst>
              <c:ext xmlns:c16="http://schemas.microsoft.com/office/drawing/2014/chart" uri="{C3380CC4-5D6E-409C-BE32-E72D297353CC}">
                <c16:uniqueId val="{0000000B-50AF-4D66-9EF1-224AB2C74B61}"/>
              </c:ext>
            </c:extLst>
          </c:dPt>
          <c:dPt>
            <c:idx val="18"/>
            <c:invertIfNegative val="0"/>
            <c:bubble3D val="0"/>
            <c:spPr>
              <a:noFill/>
              <a:ln w="19050">
                <a:solidFill>
                  <a:srgbClr val="FF0000"/>
                </a:solidFill>
                <a:prstDash val="dash"/>
              </a:ln>
              <a:effectLst/>
            </c:spPr>
            <c:extLst>
              <c:ext xmlns:c16="http://schemas.microsoft.com/office/drawing/2014/chart" uri="{C3380CC4-5D6E-409C-BE32-E72D297353CC}">
                <c16:uniqueId val="{0000000D-50AF-4D66-9EF1-224AB2C74B61}"/>
              </c:ext>
            </c:extLst>
          </c:dPt>
          <c:dPt>
            <c:idx val="32"/>
            <c:invertIfNegative val="0"/>
            <c:bubble3D val="0"/>
            <c:spPr>
              <a:noFill/>
              <a:ln w="19050">
                <a:solidFill>
                  <a:srgbClr val="FF0000"/>
                </a:solidFill>
                <a:prstDash val="dash"/>
              </a:ln>
              <a:effectLst/>
            </c:spPr>
            <c:extLst>
              <c:ext xmlns:c16="http://schemas.microsoft.com/office/drawing/2014/chart" uri="{C3380CC4-5D6E-409C-BE32-E72D297353CC}">
                <c16:uniqueId val="{0000000F-50AF-4D66-9EF1-224AB2C74B61}"/>
              </c:ext>
            </c:extLst>
          </c:dPt>
          <c:dPt>
            <c:idx val="35"/>
            <c:invertIfNegative val="0"/>
            <c:bubble3D val="0"/>
            <c:spPr>
              <a:noFill/>
              <a:ln w="19050">
                <a:solidFill>
                  <a:srgbClr val="FF0000"/>
                </a:solidFill>
                <a:prstDash val="dash"/>
              </a:ln>
              <a:effectLst/>
            </c:spPr>
            <c:extLst>
              <c:ext xmlns:c16="http://schemas.microsoft.com/office/drawing/2014/chart" uri="{C3380CC4-5D6E-409C-BE32-E72D297353CC}">
                <c16:uniqueId val="{00000011-50AF-4D66-9EF1-224AB2C74B61}"/>
              </c:ext>
            </c:extLst>
          </c:dPt>
          <c:dPt>
            <c:idx val="44"/>
            <c:invertIfNegative val="0"/>
            <c:bubble3D val="0"/>
            <c:spPr>
              <a:noFill/>
              <a:ln w="19050">
                <a:solidFill>
                  <a:srgbClr val="002060"/>
                </a:solidFill>
                <a:prstDash val="dash"/>
              </a:ln>
              <a:effectLst/>
            </c:spPr>
            <c:extLst>
              <c:ext xmlns:c16="http://schemas.microsoft.com/office/drawing/2014/chart" uri="{C3380CC4-5D6E-409C-BE32-E72D297353CC}">
                <c16:uniqueId val="{00000013-50AF-4D66-9EF1-224AB2C74B61}"/>
              </c:ext>
            </c:extLst>
          </c:dPt>
          <c:dPt>
            <c:idx val="50"/>
            <c:invertIfNegative val="0"/>
            <c:bubble3D val="0"/>
            <c:spPr>
              <a:noFill/>
              <a:ln w="19050">
                <a:solidFill>
                  <a:srgbClr val="CC3300"/>
                </a:solidFill>
                <a:prstDash val="dash"/>
              </a:ln>
              <a:effectLst/>
            </c:spPr>
            <c:extLst>
              <c:ext xmlns:c16="http://schemas.microsoft.com/office/drawing/2014/chart" uri="{C3380CC4-5D6E-409C-BE32-E72D297353CC}">
                <c16:uniqueId val="{00000015-50AF-4D66-9EF1-224AB2C74B61}"/>
              </c:ext>
            </c:extLst>
          </c:dPt>
          <c:dPt>
            <c:idx val="56"/>
            <c:invertIfNegative val="0"/>
            <c:bubble3D val="0"/>
            <c:spPr>
              <a:noFill/>
              <a:ln w="19050">
                <a:solidFill>
                  <a:srgbClr val="002060"/>
                </a:solidFill>
                <a:prstDash val="dash"/>
              </a:ln>
              <a:effectLst/>
            </c:spPr>
            <c:extLst>
              <c:ext xmlns:c16="http://schemas.microsoft.com/office/drawing/2014/chart" uri="{C3380CC4-5D6E-409C-BE32-E72D297353CC}">
                <c16:uniqueId val="{00000017-50AF-4D66-9EF1-224AB2C74B61}"/>
              </c:ext>
            </c:extLst>
          </c:dPt>
          <c:dPt>
            <c:idx val="86"/>
            <c:invertIfNegative val="0"/>
            <c:bubble3D val="0"/>
            <c:spPr>
              <a:noFill/>
              <a:ln w="19050">
                <a:solidFill>
                  <a:srgbClr val="FF0000"/>
                </a:solidFill>
                <a:prstDash val="dash"/>
              </a:ln>
              <a:effectLst/>
            </c:spPr>
            <c:extLst>
              <c:ext xmlns:c16="http://schemas.microsoft.com/office/drawing/2014/chart" uri="{C3380CC4-5D6E-409C-BE32-E72D297353CC}">
                <c16:uniqueId val="{00000019-50AF-4D66-9EF1-224AB2C74B61}"/>
              </c:ext>
            </c:extLst>
          </c:dPt>
          <c:cat>
            <c:numRef>
              <c:f>'G2&amp;G3_BowWave_2024SEP'!$D$11:$IX$11</c:f>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f>'G2&amp;G3_BowWave_2024SEP'!$D$30:$IX$30</c:f>
              <c:numCache>
                <c:formatCode>General</c:formatCode>
                <c:ptCount val="25"/>
                <c:pt idx="0">
                  <c:v>125</c:v>
                </c:pt>
                <c:pt idx="6">
                  <c:v>125</c:v>
                </c:pt>
                <c:pt idx="12">
                  <c:v>125</c:v>
                </c:pt>
              </c:numCache>
            </c:numRef>
          </c:val>
          <c:extLst>
            <c:ext xmlns:c16="http://schemas.microsoft.com/office/drawing/2014/chart" uri="{C3380CC4-5D6E-409C-BE32-E72D297353CC}">
              <c16:uniqueId val="{0000001A-50AF-4D66-9EF1-224AB2C74B61}"/>
            </c:ext>
          </c:extLst>
        </c:ser>
        <c:dLbls>
          <c:showLegendKey val="0"/>
          <c:showVal val="0"/>
          <c:showCatName val="0"/>
          <c:showSerName val="0"/>
          <c:showPercent val="0"/>
          <c:showBubbleSize val="0"/>
        </c:dLbls>
        <c:gapWidth val="150"/>
        <c:axId val="2001818015"/>
        <c:axId val="2001820415"/>
        <c:extLst>
          <c:ext xmlns:c15="http://schemas.microsoft.com/office/drawing/2012/chart" uri="{02D57815-91ED-43cb-92C2-25804820EDAC}">
            <c15:filteredBarSeries>
              <c15:ser>
                <c:idx val="0"/>
                <c:order val="0"/>
                <c:tx>
                  <c:strRef>
                    <c:extLst>
                      <c:ext uri="{02D57815-91ED-43cb-92C2-25804820EDAC}">
                        <c15:formulaRef>
                          <c15:sqref>'G2&amp;G3_BowWave_2024SEP'!$C$12</c15:sqref>
                        </c15:formulaRef>
                      </c:ext>
                    </c:extLst>
                    <c:strCache>
                      <c:ptCount val="1"/>
                      <c:pt idx="0">
                        <c:v>Baselined to Start</c:v>
                      </c:pt>
                    </c:strCache>
                  </c:strRef>
                </c:tx>
                <c:spPr>
                  <a:solidFill>
                    <a:schemeClr val="bg2">
                      <a:lumMod val="50000"/>
                    </a:schemeClr>
                  </a:solidFill>
                  <a:ln>
                    <a:solidFill>
                      <a:schemeClr val="tx1"/>
                    </a:solidFill>
                  </a:ln>
                  <a:effectLst/>
                </c:spPr>
                <c:invertIfNegative val="0"/>
                <c:cat>
                  <c:numRef>
                    <c:extLst>
                      <c:ext uri="{02D57815-91ED-43cb-92C2-25804820EDAC}">
                        <c15:formulaRef>
                          <c15:sqref>'G2&amp;G3_BowWave_2024SEP'!$D$11:$IX$11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c:ext uri="{02D57815-91ED-43cb-92C2-25804820EDAC}">
                        <c15:formulaRef>
                          <c15:sqref>'G2&amp;G3_BowWave_2024SEP'!$D$12:$IX$12</c15:sqref>
                        </c15:formulaRef>
                      </c:ext>
                    </c:extLst>
                    <c:numCache>
                      <c:formatCode>General</c:formatCode>
                      <c:ptCount val="25"/>
                      <c:pt idx="0">
                        <c:v>75</c:v>
                      </c:pt>
                      <c:pt idx="1">
                        <c:v>47</c:v>
                      </c:pt>
                      <c:pt idx="2">
                        <c:v>46</c:v>
                      </c:pt>
                      <c:pt idx="3">
                        <c:v>89</c:v>
                      </c:pt>
                      <c:pt idx="4">
                        <c:v>81</c:v>
                      </c:pt>
                      <c:pt idx="5">
                        <c:v>90</c:v>
                      </c:pt>
                      <c:pt idx="6">
                        <c:v>39</c:v>
                      </c:pt>
                      <c:pt idx="7">
                        <c:v>87</c:v>
                      </c:pt>
                      <c:pt idx="8">
                        <c:v>52</c:v>
                      </c:pt>
                      <c:pt idx="9">
                        <c:v>52</c:v>
                      </c:pt>
                      <c:pt idx="10">
                        <c:v>35</c:v>
                      </c:pt>
                      <c:pt idx="11">
                        <c:v>10</c:v>
                      </c:pt>
                      <c:pt idx="12">
                        <c:v>30</c:v>
                      </c:pt>
                      <c:pt idx="13">
                        <c:v>26</c:v>
                      </c:pt>
                      <c:pt idx="14">
                        <c:v>8</c:v>
                      </c:pt>
                      <c:pt idx="15">
                        <c:v>7</c:v>
                      </c:pt>
                      <c:pt idx="16">
                        <c:v>1</c:v>
                      </c:pt>
                      <c:pt idx="17">
                        <c:v>1</c:v>
                      </c:pt>
                      <c:pt idx="18">
                        <c:v>1</c:v>
                      </c:pt>
                      <c:pt idx="19">
                        <c:v>1</c:v>
                      </c:pt>
                      <c:pt idx="20">
                        <c:v>4</c:v>
                      </c:pt>
                      <c:pt idx="21">
                        <c:v>5</c:v>
                      </c:pt>
                      <c:pt idx="22">
                        <c:v>1</c:v>
                      </c:pt>
                      <c:pt idx="23">
                        <c:v>1</c:v>
                      </c:pt>
                      <c:pt idx="24">
                        <c:v>0</c:v>
                      </c:pt>
                    </c:numCache>
                  </c:numRef>
                </c:val>
                <c:extLst>
                  <c:ext xmlns:c16="http://schemas.microsoft.com/office/drawing/2014/chart" uri="{C3380CC4-5D6E-409C-BE32-E72D297353CC}">
                    <c16:uniqueId val="{0000001E-50AF-4D66-9EF1-224AB2C74B61}"/>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'G2&amp;G3_BowWave_2024SEP'!$C$13</c15:sqref>
                        </c15:formulaRef>
                      </c:ext>
                    </c:extLst>
                    <c:strCache>
                      <c:ptCount val="1"/>
                      <c:pt idx="0">
                        <c:v>Scheduled to Start</c:v>
                      </c:pt>
                    </c:strCache>
                  </c:strRef>
                </c:tx>
                <c:spPr>
                  <a:solidFill>
                    <a:srgbClr val="FFC000"/>
                  </a:solidFill>
                  <a:ln>
                    <a:solidFill>
                      <a:schemeClr val="accent2"/>
                    </a:solidFill>
                  </a:ln>
                  <a:effectLst/>
                </c:spPr>
                <c:invertIfNegative val="0"/>
                <c:cat>
                  <c:numRef>
                    <c:extLst xmlns:c15="http://schemas.microsoft.com/office/drawing/2012/chart">
                      <c:ext xmlns:c15="http://schemas.microsoft.com/office/drawing/2012/chart" uri="{02D57815-91ED-43cb-92C2-25804820EDAC}">
                        <c15:formulaRef>
                          <c15:sqref>'G2&amp;G3_BowWave_2024SEP'!$D$11:$IX$11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'G2&amp;G3_BowWave_2024SEP'!$D$13:$IX$13</c15:sqref>
                        </c15:formulaRef>
                      </c:ext>
                    </c:extLst>
                    <c:numCache>
                      <c:formatCode>General</c:formatCode>
                      <c:ptCount val="25"/>
                      <c:pt idx="0">
                        <c:v>61</c:v>
                      </c:pt>
                      <c:pt idx="1">
                        <c:v>59</c:v>
                      </c:pt>
                      <c:pt idx="2">
                        <c:v>40</c:v>
                      </c:pt>
                      <c:pt idx="3">
                        <c:v>49</c:v>
                      </c:pt>
                      <c:pt idx="4">
                        <c:v>46</c:v>
                      </c:pt>
                      <c:pt idx="5">
                        <c:v>35</c:v>
                      </c:pt>
                      <c:pt idx="6">
                        <c:v>25</c:v>
                      </c:pt>
                      <c:pt idx="7">
                        <c:v>70</c:v>
                      </c:pt>
                      <c:pt idx="8">
                        <c:v>63</c:v>
                      </c:pt>
                      <c:pt idx="9">
                        <c:v>71</c:v>
                      </c:pt>
                      <c:pt idx="10">
                        <c:v>80</c:v>
                      </c:pt>
                      <c:pt idx="11">
                        <c:v>59</c:v>
                      </c:pt>
                      <c:pt idx="12">
                        <c:v>51</c:v>
                      </c:pt>
                      <c:pt idx="13">
                        <c:v>69</c:v>
                      </c:pt>
                      <c:pt idx="14">
                        <c:v>37</c:v>
                      </c:pt>
                      <c:pt idx="15">
                        <c:v>43</c:v>
                      </c:pt>
                      <c:pt idx="16">
                        <c:v>18</c:v>
                      </c:pt>
                      <c:pt idx="17">
                        <c:v>9</c:v>
                      </c:pt>
                      <c:pt idx="18">
                        <c:v>1</c:v>
                      </c:pt>
                      <c:pt idx="19">
                        <c:v>1</c:v>
                      </c:pt>
                      <c:pt idx="20">
                        <c:v>11</c:v>
                      </c:pt>
                      <c:pt idx="21">
                        <c:v>12</c:v>
                      </c:pt>
                      <c:pt idx="22">
                        <c:v>10</c:v>
                      </c:pt>
                      <c:pt idx="23">
                        <c:v>7</c:v>
                      </c:pt>
                      <c:pt idx="24">
                        <c:v>21</c:v>
                      </c:pt>
                    </c:numCache>
                  </c:numRef>
                </c:val>
                <c:extLst xmlns:c15="http://schemas.microsoft.com/office/drawing/2012/chart">
                  <c:ext xmlns:c16="http://schemas.microsoft.com/office/drawing/2014/chart" uri="{C3380CC4-5D6E-409C-BE32-E72D297353CC}">
                    <c16:uniqueId val="{0000001F-50AF-4D66-9EF1-224AB2C74B61}"/>
                  </c:ext>
                </c:extLst>
              </c15:ser>
            </c15:filteredBarSeries>
            <c15:filteredBarSeries>
              <c15:ser>
                <c:idx val="21"/>
                <c:order val="2"/>
                <c:tx>
                  <c:strRef>
                    <c:extLst xmlns:c15="http://schemas.microsoft.com/office/drawing/2012/chart">
                      <c:ext xmlns:c15="http://schemas.microsoft.com/office/drawing/2012/chart" uri="{02D57815-91ED-43cb-92C2-25804820EDAC}">
                        <c15:formulaRef>
                          <c15:sqref>'G2&amp;G3_BowWave_2024SEP'!$C$14</c15:sqref>
                        </c15:formulaRef>
                      </c:ext>
                    </c:extLst>
                    <c:strCache>
                      <c:ptCount val="1"/>
                      <c:pt idx="0">
                        <c:v>Actual Starts</c:v>
                      </c:pt>
                    </c:strCache>
                  </c:strRef>
                </c:tx>
                <c:spPr>
                  <a:solidFill>
                    <a:srgbClr val="92D050"/>
                  </a:solidFill>
                  <a:ln>
                    <a:solidFill>
                      <a:schemeClr val="accent6">
                        <a:lumMod val="75000"/>
                      </a:schemeClr>
                    </a:solidFill>
                  </a:ln>
                  <a:effectLst/>
                </c:spPr>
                <c:invertIfNegative val="0"/>
                <c:cat>
                  <c:numRef>
                    <c:extLst xmlns:c15="http://schemas.microsoft.com/office/drawing/2012/chart">
                      <c:ext xmlns:c15="http://schemas.microsoft.com/office/drawing/2012/chart" uri="{02D57815-91ED-43cb-92C2-25804820EDAC}">
                        <c15:formulaRef>
                          <c15:sqref>'G2&amp;G3_BowWave_2024SEP'!$D$11:$IX$11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'G2&amp;G3_BowWave_2024SEP'!$D$14:$IX$14</c15:sqref>
                        </c15:formulaRef>
                      </c:ext>
                    </c:extLst>
                    <c:numCache>
                      <c:formatCode>General</c:formatCode>
                      <c:ptCount val="25"/>
                      <c:pt idx="0">
                        <c:v>61</c:v>
                      </c:pt>
                      <c:pt idx="1">
                        <c:v>59</c:v>
                      </c:pt>
                      <c:pt idx="2">
                        <c:v>40</c:v>
                      </c:pt>
                      <c:pt idx="3">
                        <c:v>49</c:v>
                      </c:pt>
                      <c:pt idx="4">
                        <c:v>46</c:v>
                      </c:pt>
                      <c:pt idx="5">
                        <c:v>35</c:v>
                      </c:pt>
                      <c:pt idx="6">
                        <c:v>18</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extLst xmlns:c15="http://schemas.microsoft.com/office/drawing/2012/chart">
                  <c:ext xmlns:c16="http://schemas.microsoft.com/office/drawing/2014/chart" uri="{C3380CC4-5D6E-409C-BE32-E72D297353CC}">
                    <c16:uniqueId val="{00000020-50AF-4D66-9EF1-224AB2C74B61}"/>
                  </c:ext>
                </c:extLst>
              </c15:ser>
            </c15:filteredBarSeries>
          </c:ext>
        </c:extLst>
      </c:barChart>
      <c:lineChart>
        <c:grouping val="standard"/>
        <c:varyColors val="0"/>
        <c:ser>
          <c:idx val="28"/>
          <c:order val="22"/>
          <c:tx>
            <c:strRef>
              <c:f>'G2&amp;G3_BowWave_2024SEP'!$C$35</c:f>
              <c:strCache>
                <c:ptCount val="1"/>
                <c:pt idx="0">
                  <c:v>Baselined to Finish  - Cumulative</c:v>
                </c:pt>
              </c:strCache>
            </c:strRef>
          </c:tx>
          <c:spPr>
            <a:ln w="28575" cap="rnd">
              <a:solidFill>
                <a:schemeClr val="accent5">
                  <a:lumMod val="60000"/>
                  <a:lumOff val="40000"/>
                </a:schemeClr>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cat>
            <c:numRef>
              <c:f>'G2&amp;G3_BowWave_2024SEP'!$D$11:$IX$11</c:f>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f>'G2&amp;G3_BowWave_2024SEP'!$D$35:$DD$35</c:f>
              <c:numCache>
                <c:formatCode>General</c:formatCode>
                <c:ptCount val="25"/>
                <c:pt idx="0">
                  <c:v>1793</c:v>
                </c:pt>
                <c:pt idx="1">
                  <c:v>1842</c:v>
                </c:pt>
                <c:pt idx="2">
                  <c:v>1898</c:v>
                </c:pt>
                <c:pt idx="3">
                  <c:v>1978</c:v>
                </c:pt>
                <c:pt idx="4">
                  <c:v>2057</c:v>
                </c:pt>
                <c:pt idx="5">
                  <c:v>2164</c:v>
                </c:pt>
                <c:pt idx="6">
                  <c:v>2224</c:v>
                </c:pt>
                <c:pt idx="7">
                  <c:v>2316</c:v>
                </c:pt>
                <c:pt idx="8">
                  <c:v>2362</c:v>
                </c:pt>
                <c:pt idx="9">
                  <c:v>2411</c:v>
                </c:pt>
                <c:pt idx="10">
                  <c:v>2449</c:v>
                </c:pt>
                <c:pt idx="11">
                  <c:v>2465</c:v>
                </c:pt>
                <c:pt idx="12">
                  <c:v>2494</c:v>
                </c:pt>
                <c:pt idx="13">
                  <c:v>2519</c:v>
                </c:pt>
                <c:pt idx="14">
                  <c:v>2531</c:v>
                </c:pt>
                <c:pt idx="15">
                  <c:v>2539</c:v>
                </c:pt>
                <c:pt idx="16">
                  <c:v>2541</c:v>
                </c:pt>
                <c:pt idx="17">
                  <c:v>2542</c:v>
                </c:pt>
                <c:pt idx="18">
                  <c:v>2544</c:v>
                </c:pt>
                <c:pt idx="19">
                  <c:v>2546</c:v>
                </c:pt>
                <c:pt idx="20">
                  <c:v>2548</c:v>
                </c:pt>
                <c:pt idx="21">
                  <c:v>2553</c:v>
                </c:pt>
                <c:pt idx="22">
                  <c:v>2556</c:v>
                </c:pt>
                <c:pt idx="23">
                  <c:v>2557</c:v>
                </c:pt>
                <c:pt idx="24">
                  <c:v>2557</c:v>
                </c:pt>
              </c:numCache>
            </c:numRef>
          </c:val>
          <c:smooth val="0"/>
          <c:extLst>
            <c:ext xmlns:c16="http://schemas.microsoft.com/office/drawing/2014/chart" uri="{C3380CC4-5D6E-409C-BE32-E72D297353CC}">
              <c16:uniqueId val="{0000001B-50AF-4D66-9EF1-224AB2C74B61}"/>
            </c:ext>
          </c:extLst>
        </c:ser>
        <c:ser>
          <c:idx val="29"/>
          <c:order val="23"/>
          <c:tx>
            <c:strRef>
              <c:f>'G2&amp;G3_BowWave_2024SEP'!$C$36</c:f>
              <c:strCache>
                <c:ptCount val="1"/>
                <c:pt idx="0">
                  <c:v>Scheduled to Finish  - Cumulative</c:v>
                </c:pt>
              </c:strCache>
            </c:strRef>
          </c:tx>
          <c:spPr>
            <a:ln w="28575" cap="rnd">
              <a:solidFill>
                <a:schemeClr val="accent6">
                  <a:lumMod val="60000"/>
                  <a:lumOff val="40000"/>
                </a:schemeClr>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cat>
            <c:numRef>
              <c:f>'G2&amp;G3_BowWave_2024SEP'!$D$11:$IX$11</c:f>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f>'G2&amp;G3_BowWave_2024SEP'!$D$36:$DD$36</c:f>
              <c:numCache>
                <c:formatCode>General</c:formatCode>
                <c:ptCount val="25"/>
                <c:pt idx="0">
                  <c:v>1650</c:v>
                </c:pt>
                <c:pt idx="1">
                  <c:v>1706</c:v>
                </c:pt>
                <c:pt idx="2">
                  <c:v>1749</c:v>
                </c:pt>
                <c:pt idx="3">
                  <c:v>1796</c:v>
                </c:pt>
                <c:pt idx="4">
                  <c:v>1838</c:v>
                </c:pt>
                <c:pt idx="5">
                  <c:v>1888</c:v>
                </c:pt>
                <c:pt idx="6">
                  <c:v>1919</c:v>
                </c:pt>
                <c:pt idx="7">
                  <c:v>1988</c:v>
                </c:pt>
                <c:pt idx="8">
                  <c:v>2051</c:v>
                </c:pt>
                <c:pt idx="9">
                  <c:v>2130</c:v>
                </c:pt>
                <c:pt idx="10">
                  <c:v>2219</c:v>
                </c:pt>
                <c:pt idx="11">
                  <c:v>2278</c:v>
                </c:pt>
                <c:pt idx="12">
                  <c:v>2333</c:v>
                </c:pt>
                <c:pt idx="13">
                  <c:v>2403</c:v>
                </c:pt>
                <c:pt idx="14">
                  <c:v>2452</c:v>
                </c:pt>
                <c:pt idx="15">
                  <c:v>2497</c:v>
                </c:pt>
                <c:pt idx="16">
                  <c:v>2519</c:v>
                </c:pt>
                <c:pt idx="17">
                  <c:v>2530</c:v>
                </c:pt>
                <c:pt idx="18">
                  <c:v>2532</c:v>
                </c:pt>
                <c:pt idx="19">
                  <c:v>2533</c:v>
                </c:pt>
                <c:pt idx="20">
                  <c:v>2543</c:v>
                </c:pt>
                <c:pt idx="21">
                  <c:v>2552</c:v>
                </c:pt>
                <c:pt idx="22">
                  <c:v>2565</c:v>
                </c:pt>
                <c:pt idx="23">
                  <c:v>2573</c:v>
                </c:pt>
                <c:pt idx="24">
                  <c:v>2592</c:v>
                </c:pt>
              </c:numCache>
            </c:numRef>
          </c:val>
          <c:smooth val="0"/>
          <c:extLst>
            <c:ext xmlns:c16="http://schemas.microsoft.com/office/drawing/2014/chart" uri="{C3380CC4-5D6E-409C-BE32-E72D297353CC}">
              <c16:uniqueId val="{0000001C-50AF-4D66-9EF1-224AB2C74B61}"/>
            </c:ext>
          </c:extLst>
        </c:ser>
        <c:ser>
          <c:idx val="30"/>
          <c:order val="24"/>
          <c:tx>
            <c:strRef>
              <c:f>'G2&amp;G3_BowWave_2024SEP'!$C$37</c:f>
              <c:strCache>
                <c:ptCount val="1"/>
                <c:pt idx="0">
                  <c:v>Actual Finishes  - Cumulative</c:v>
                </c:pt>
              </c:strCache>
            </c:strRef>
          </c:tx>
          <c:spPr>
            <a:ln w="28575" cap="rnd">
              <a:solidFill>
                <a:schemeClr val="accent1">
                  <a:lumMod val="50000"/>
                </a:schemeClr>
              </a:solidFill>
              <a:round/>
            </a:ln>
            <a:effectLst/>
          </c:spPr>
          <c:marker>
            <c:symbol val="circle"/>
            <c:size val="5"/>
            <c:spPr>
              <a:solidFill>
                <a:schemeClr val="accent1">
                  <a:lumMod val="50000"/>
                </a:schemeClr>
              </a:solidFill>
              <a:ln w="9525">
                <a:solidFill>
                  <a:schemeClr val="accent1">
                    <a:lumMod val="50000"/>
                  </a:schemeClr>
                </a:solidFill>
              </a:ln>
              <a:effectLst/>
            </c:spPr>
          </c:marker>
          <c:cat>
            <c:numRef>
              <c:f>'G2&amp;G3_BowWave_2024SEP'!$D$11:$IX$11</c:f>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f>'G2&amp;G3_BowWave_2024SEP'!$D$37:$DD$37</c:f>
              <c:numCache>
                <c:formatCode>General</c:formatCode>
                <c:ptCount val="25"/>
                <c:pt idx="0">
                  <c:v>1650</c:v>
                </c:pt>
                <c:pt idx="1">
                  <c:v>1706</c:v>
                </c:pt>
                <c:pt idx="2">
                  <c:v>1749</c:v>
                </c:pt>
                <c:pt idx="3">
                  <c:v>1796</c:v>
                </c:pt>
                <c:pt idx="4">
                  <c:v>1838</c:v>
                </c:pt>
                <c:pt idx="5">
                  <c:v>1888</c:v>
                </c:pt>
                <c:pt idx="6">
                  <c:v>1917</c:v>
                </c:pt>
                <c:pt idx="7">
                  <c:v>1917</c:v>
                </c:pt>
                <c:pt idx="8">
                  <c:v>1917</c:v>
                </c:pt>
                <c:pt idx="9">
                  <c:v>1917</c:v>
                </c:pt>
                <c:pt idx="10">
                  <c:v>1917</c:v>
                </c:pt>
                <c:pt idx="11">
                  <c:v>1917</c:v>
                </c:pt>
                <c:pt idx="12">
                  <c:v>1917</c:v>
                </c:pt>
                <c:pt idx="13">
                  <c:v>1917</c:v>
                </c:pt>
                <c:pt idx="14">
                  <c:v>1917</c:v>
                </c:pt>
                <c:pt idx="15">
                  <c:v>1917</c:v>
                </c:pt>
                <c:pt idx="16">
                  <c:v>1917</c:v>
                </c:pt>
                <c:pt idx="17">
                  <c:v>1917</c:v>
                </c:pt>
                <c:pt idx="18">
                  <c:v>1917</c:v>
                </c:pt>
                <c:pt idx="19">
                  <c:v>1917</c:v>
                </c:pt>
                <c:pt idx="20">
                  <c:v>1917</c:v>
                </c:pt>
                <c:pt idx="21">
                  <c:v>1917</c:v>
                </c:pt>
                <c:pt idx="22">
                  <c:v>1917</c:v>
                </c:pt>
                <c:pt idx="23">
                  <c:v>1917</c:v>
                </c:pt>
                <c:pt idx="24">
                  <c:v>1917</c:v>
                </c:pt>
              </c:numCache>
            </c:numRef>
          </c:val>
          <c:smooth val="0"/>
          <c:extLst>
            <c:ext xmlns:c16="http://schemas.microsoft.com/office/drawing/2014/chart" uri="{C3380CC4-5D6E-409C-BE32-E72D297353CC}">
              <c16:uniqueId val="{0000001D-50AF-4D66-9EF1-224AB2C74B61}"/>
            </c:ext>
          </c:extLst>
        </c:ser>
        <c:dLbls>
          <c:showLegendKey val="0"/>
          <c:showVal val="0"/>
          <c:showCatName val="0"/>
          <c:showSerName val="0"/>
          <c:showPercent val="0"/>
          <c:showBubbleSize val="0"/>
        </c:dLbls>
        <c:marker val="1"/>
        <c:smooth val="0"/>
        <c:axId val="1121466879"/>
        <c:axId val="1121471199"/>
        <c:extLst>
          <c:ext xmlns:c15="http://schemas.microsoft.com/office/drawing/2012/chart" uri="{02D57815-91ED-43cb-92C2-25804820EDAC}">
            <c15:filteredLineSeries>
              <c15:ser>
                <c:idx val="12"/>
                <c:order val="12"/>
                <c:tx>
                  <c:strRef>
                    <c:extLst>
                      <c:ext uri="{02D57815-91ED-43cb-92C2-25804820EDAC}">
                        <c15:formulaRef>
                          <c15:sqref>'G2&amp;G3_BowWave_2024SEP'!$C$24</c15:sqref>
                        </c15:formulaRef>
                      </c:ext>
                    </c:extLst>
                    <c:strCache>
                      <c:ptCount val="1"/>
                      <c:pt idx="0">
                        <c:v>BEI - Starts</c:v>
                      </c:pt>
                    </c:strCache>
                  </c:strRef>
                </c:tx>
                <c:spPr>
                  <a:ln w="28575" cap="rnd">
                    <a:solidFill>
                      <a:schemeClr val="accent2"/>
                    </a:solidFill>
                    <a:round/>
                  </a:ln>
                  <a:effectLst/>
                </c:spPr>
                <c:marker>
                  <c:symbol val="circle"/>
                  <c:size val="5"/>
                  <c:spPr>
                    <a:solidFill>
                      <a:schemeClr val="accent2"/>
                    </a:solidFill>
                    <a:ln w="9525">
                      <a:solidFill>
                        <a:schemeClr val="tx1"/>
                      </a:solidFill>
                    </a:ln>
                    <a:effectLst/>
                  </c:spPr>
                </c:marker>
                <c:cat>
                  <c:numRef>
                    <c:extLst>
                      <c:ext uri="{02D57815-91ED-43cb-92C2-25804820EDAC}">
                        <c15:formulaRef>
                          <c15:sqref>'G2&amp;G3_BowWave_2024SEP'!$D$11:$IX$11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c:ext uri="{02D57815-91ED-43cb-92C2-25804820EDAC}">
                        <c15:formulaRef>
                          <c15:sqref>'G2&amp;G3_BowWave_2024SEP'!$D$24:$IX$24</c15:sqref>
                        </c15:formulaRef>
                      </c:ext>
                    </c:extLst>
                    <c:numCache>
                      <c:formatCode>General</c:formatCode>
                      <c:ptCount val="25"/>
                      <c:pt idx="6">
                        <c:v>0.87</c:v>
                      </c:pt>
                      <c:pt idx="7">
                        <c:v>0.85</c:v>
                      </c:pt>
                      <c:pt idx="8">
                        <c:v>0.85</c:v>
                      </c:pt>
                      <c:pt idx="9">
                        <c:v>0.85</c:v>
                      </c:pt>
                      <c:pt idx="10">
                        <c:v>0.86</c:v>
                      </c:pt>
                      <c:pt idx="11">
                        <c:v>0.87</c:v>
                      </c:pt>
                      <c:pt idx="12">
                        <c:v>0.88</c:v>
                      </c:pt>
                    </c:numCache>
                  </c:numRef>
                </c:val>
                <c:smooth val="0"/>
                <c:extLst>
                  <c:ext xmlns:c16="http://schemas.microsoft.com/office/drawing/2014/chart" uri="{C3380CC4-5D6E-409C-BE32-E72D297353CC}">
                    <c16:uniqueId val="{0000002E-50AF-4D66-9EF1-224AB2C74B61}"/>
                  </c:ext>
                </c:extLst>
              </c15:ser>
            </c15:filteredLineSeries>
            <c15:filteredLineSeries>
              <c15:ser>
                <c:idx val="13"/>
                <c:order val="13"/>
                <c:tx>
                  <c:strRef>
                    <c:extLst xmlns:c15="http://schemas.microsoft.com/office/drawing/2012/chart">
                      <c:ext xmlns:c15="http://schemas.microsoft.com/office/drawing/2012/chart" uri="{02D57815-91ED-43cb-92C2-25804820EDAC}">
                        <c15:formulaRef>
                          <c15:sqref>'G2&amp;G3_BowWave_2024SEP'!$C$25</c15:sqref>
                        </c15:formulaRef>
                      </c:ext>
                    </c:extLst>
                    <c:strCache>
                      <c:ptCount val="1"/>
                      <c:pt idx="0">
                        <c:v>BEI - Finishes</c:v>
                      </c:pt>
                    </c:strCache>
                  </c:strRef>
                </c:tx>
                <c:spPr>
                  <a:ln w="28575"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tx1"/>
                      </a:solidFill>
                    </a:ln>
                    <a:effectLst/>
                  </c:spPr>
                </c:marker>
                <c:cat>
                  <c:numRef>
                    <c:extLst xmlns:c15="http://schemas.microsoft.com/office/drawing/2012/chart">
                      <c:ext xmlns:c15="http://schemas.microsoft.com/office/drawing/2012/chart" uri="{02D57815-91ED-43cb-92C2-25804820EDAC}">
                        <c15:formulaRef>
                          <c15:sqref>'G2&amp;G3_BowWave_2024SEP'!$D$11:$IX$11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'G2&amp;G3_BowWave_2024SEP'!$D$25:$IX$25</c15:sqref>
                        </c15:formulaRef>
                      </c:ext>
                    </c:extLst>
                    <c:numCache>
                      <c:formatCode>General</c:formatCode>
                      <c:ptCount val="25"/>
                      <c:pt idx="6">
                        <c:v>0.85</c:v>
                      </c:pt>
                      <c:pt idx="7">
                        <c:v>0.84</c:v>
                      </c:pt>
                      <c:pt idx="8">
                        <c:v>0.84</c:v>
                      </c:pt>
                      <c:pt idx="9">
                        <c:v>0.83</c:v>
                      </c:pt>
                      <c:pt idx="10">
                        <c:v>0.85</c:v>
                      </c:pt>
                      <c:pt idx="11">
                        <c:v>0.86</c:v>
                      </c:pt>
                      <c:pt idx="12">
                        <c:v>0.87</c:v>
                      </c:pt>
                    </c:numCache>
                  </c:numRef>
                </c:val>
                <c:smooth val="0"/>
                <c:extLst xmlns:c15="http://schemas.microsoft.com/office/drawing/2012/chart">
                  <c:ext xmlns:c16="http://schemas.microsoft.com/office/drawing/2014/chart" uri="{C3380CC4-5D6E-409C-BE32-E72D297353CC}">
                    <c16:uniqueId val="{0000002F-50AF-4D66-9EF1-224AB2C74B61}"/>
                  </c:ext>
                </c:extLst>
              </c15:ser>
            </c15:filteredLineSeries>
            <c15:filteredLineSeries>
              <c15:ser>
                <c:idx val="14"/>
                <c:order val="14"/>
                <c:tx>
                  <c:strRef>
                    <c:extLst xmlns:c15="http://schemas.microsoft.com/office/drawing/2012/chart">
                      <c:ext xmlns:c15="http://schemas.microsoft.com/office/drawing/2012/chart" uri="{02D57815-91ED-43cb-92C2-25804820EDAC}">
                        <c15:formulaRef>
                          <c15:sqref>'G2&amp;G3_BowWave_2024SEP'!$C$26</c15:sqref>
                        </c15:formulaRef>
                      </c:ext>
                    </c:extLst>
                    <c:strCache>
                      <c:ptCount val="1"/>
                      <c:pt idx="0">
                        <c:v>HMI - Starts</c:v>
                      </c:pt>
                    </c:strCache>
                  </c:strRef>
                </c:tx>
                <c:spPr>
                  <a:ln w="28575" cap="rnd">
                    <a:solidFill>
                      <a:schemeClr val="accent1"/>
                    </a:solidFill>
                    <a:round/>
                  </a:ln>
                  <a:effectLst/>
                </c:spPr>
                <c:marker>
                  <c:symbol val="circle"/>
                  <c:size val="5"/>
                  <c:spPr>
                    <a:solidFill>
                      <a:schemeClr val="accent1"/>
                    </a:solidFill>
                    <a:ln w="9525">
                      <a:solidFill>
                        <a:schemeClr val="tx1"/>
                      </a:solidFill>
                    </a:ln>
                    <a:effectLst/>
                  </c:spPr>
                </c:marker>
                <c:cat>
                  <c:numRef>
                    <c:extLst xmlns:c15="http://schemas.microsoft.com/office/drawing/2012/chart">
                      <c:ext xmlns:c15="http://schemas.microsoft.com/office/drawing/2012/chart" uri="{02D57815-91ED-43cb-92C2-25804820EDAC}">
                        <c15:formulaRef>
                          <c15:sqref>'G2&amp;G3_BowWave_2024SEP'!$D$11:$IX$11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'G2&amp;G3_BowWave_2024SEP'!$D$26:$IX$26</c15:sqref>
                        </c15:formulaRef>
                      </c:ext>
                    </c:extLst>
                    <c:numCache>
                      <c:formatCode>General</c:formatCode>
                      <c:ptCount val="25"/>
                      <c:pt idx="7">
                        <c:v>0.02</c:v>
                      </c:pt>
                      <c:pt idx="8">
                        <c:v>0.02</c:v>
                      </c:pt>
                      <c:pt idx="9">
                        <c:v>0.04</c:v>
                      </c:pt>
                    </c:numCache>
                  </c:numRef>
                </c:val>
                <c:smooth val="0"/>
                <c:extLst xmlns:c15="http://schemas.microsoft.com/office/drawing/2012/chart">
                  <c:ext xmlns:c16="http://schemas.microsoft.com/office/drawing/2014/chart" uri="{C3380CC4-5D6E-409C-BE32-E72D297353CC}">
                    <c16:uniqueId val="{00000030-50AF-4D66-9EF1-224AB2C74B61}"/>
                  </c:ext>
                </c:extLst>
              </c15:ser>
            </c15:filteredLineSeries>
            <c15:filteredLineSeries>
              <c15:ser>
                <c:idx val="15"/>
                <c:order val="15"/>
                <c:tx>
                  <c:strRef>
                    <c:extLst xmlns:c15="http://schemas.microsoft.com/office/drawing/2012/chart">
                      <c:ext xmlns:c15="http://schemas.microsoft.com/office/drawing/2012/chart" uri="{02D57815-91ED-43cb-92C2-25804820EDAC}">
                        <c15:formulaRef>
                          <c15:sqref>'G2&amp;G3_BowWave_2024SEP'!$C$27</c15:sqref>
                        </c15:formulaRef>
                      </c:ext>
                    </c:extLst>
                    <c:strCache>
                      <c:ptCount val="1"/>
                      <c:pt idx="0">
                        <c:v>HMI - Finishes</c:v>
                      </c:pt>
                    </c:strCache>
                  </c:strRef>
                </c:tx>
                <c:spPr>
                  <a:ln w="28575"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tx1"/>
                      </a:solidFill>
                    </a:ln>
                    <a:effectLst/>
                  </c:spPr>
                </c:marker>
                <c:cat>
                  <c:numRef>
                    <c:extLst xmlns:c15="http://schemas.microsoft.com/office/drawing/2012/chart">
                      <c:ext xmlns:c15="http://schemas.microsoft.com/office/drawing/2012/chart" uri="{02D57815-91ED-43cb-92C2-25804820EDAC}">
                        <c15:formulaRef>
                          <c15:sqref>'G2&amp;G3_BowWave_2024SEP'!$D$11:$IX$11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'G2&amp;G3_BowWave_2024SEP'!$D$27:$IX$27</c15:sqref>
                        </c15:formulaRef>
                      </c:ext>
                    </c:extLst>
                    <c:numCache>
                      <c:formatCode>General</c:formatCode>
                      <c:ptCount val="25"/>
                      <c:pt idx="7">
                        <c:v>0.01</c:v>
                      </c:pt>
                      <c:pt idx="8">
                        <c:v>0.04</c:v>
                      </c:pt>
                      <c:pt idx="9">
                        <c:v>0.02</c:v>
                      </c:pt>
                    </c:numCache>
                  </c:numRef>
                </c:val>
                <c:smooth val="0"/>
                <c:extLst xmlns:c15="http://schemas.microsoft.com/office/drawing/2012/chart">
                  <c:ext xmlns:c16="http://schemas.microsoft.com/office/drawing/2014/chart" uri="{C3380CC4-5D6E-409C-BE32-E72D297353CC}">
                    <c16:uniqueId val="{00000031-50AF-4D66-9EF1-224AB2C74B61}"/>
                  </c:ext>
                </c:extLst>
              </c15:ser>
            </c15:filteredLineSeries>
            <c15:filteredLineSeries>
              <c15:ser>
                <c:idx val="16"/>
                <c:order val="16"/>
                <c:tx>
                  <c:strRef>
                    <c:extLst xmlns:c15="http://schemas.microsoft.com/office/drawing/2012/chart">
                      <c:ext xmlns:c15="http://schemas.microsoft.com/office/drawing/2012/chart" uri="{02D57815-91ED-43cb-92C2-25804820EDAC}">
                        <c15:formulaRef>
                          <c15:sqref>'G2&amp;G3_BowWave_2024SEP'!$C$28</c15:sqref>
                        </c15:formulaRef>
                      </c:ext>
                    </c:extLst>
                    <c:strCache>
                      <c:ptCount val="1"/>
                      <c:pt idx="0">
                        <c:v>CEI - Starts</c:v>
                      </c:pt>
                    </c:strCache>
                  </c:strRef>
                </c:tx>
                <c:spPr>
                  <a:ln w="28575" cap="rnd">
                    <a:solidFill>
                      <a:schemeClr val="accent6"/>
                    </a:solidFill>
                    <a:round/>
                  </a:ln>
                  <a:effectLst/>
                </c:spPr>
                <c:marker>
                  <c:symbol val="circle"/>
                  <c:size val="5"/>
                  <c:spPr>
                    <a:solidFill>
                      <a:schemeClr val="accent6"/>
                    </a:solidFill>
                    <a:ln w="9525">
                      <a:solidFill>
                        <a:schemeClr val="tx1"/>
                      </a:solidFill>
                    </a:ln>
                    <a:effectLst/>
                  </c:spPr>
                </c:marker>
                <c:cat>
                  <c:numRef>
                    <c:extLst xmlns:c15="http://schemas.microsoft.com/office/drawing/2012/chart">
                      <c:ext xmlns:c15="http://schemas.microsoft.com/office/drawing/2012/chart" uri="{02D57815-91ED-43cb-92C2-25804820EDAC}">
                        <c15:formulaRef>
                          <c15:sqref>'G2&amp;G3_BowWave_2024SEP'!$D$11:$IX$11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'G2&amp;G3_BowWave_2024SEP'!$D$28:$IX$28</c15:sqref>
                        </c15:formulaRef>
                      </c:ext>
                    </c:extLst>
                    <c:numCache>
                      <c:formatCode>General</c:formatCode>
                      <c:ptCount val="25"/>
                      <c:pt idx="7">
                        <c:v>0.31</c:v>
                      </c:pt>
                      <c:pt idx="8">
                        <c:v>0.51</c:v>
                      </c:pt>
                      <c:pt idx="9">
                        <c:v>0.43</c:v>
                      </c:pt>
                    </c:numCache>
                  </c:numRef>
                </c:val>
                <c:smooth val="0"/>
                <c:extLst xmlns:c15="http://schemas.microsoft.com/office/drawing/2012/chart">
                  <c:ext xmlns:c16="http://schemas.microsoft.com/office/drawing/2014/chart" uri="{C3380CC4-5D6E-409C-BE32-E72D297353CC}">
                    <c16:uniqueId val="{00000032-50AF-4D66-9EF1-224AB2C74B61}"/>
                  </c:ext>
                </c:extLst>
              </c15:ser>
            </c15:filteredLineSeries>
            <c15:filteredLineSeries>
              <c15:ser>
                <c:idx val="17"/>
                <c:order val="17"/>
                <c:tx>
                  <c:strRef>
                    <c:extLst xmlns:c15="http://schemas.microsoft.com/office/drawing/2012/chart">
                      <c:ext xmlns:c15="http://schemas.microsoft.com/office/drawing/2012/chart" uri="{02D57815-91ED-43cb-92C2-25804820EDAC}">
                        <c15:formulaRef>
                          <c15:sqref>'G2&amp;G3_BowWave_2024SEP'!$C$29</c15:sqref>
                        </c15:formulaRef>
                      </c:ext>
                    </c:extLst>
                    <c:strCache>
                      <c:ptCount val="1"/>
                      <c:pt idx="0">
                        <c:v>CEI - Finishes</c:v>
                      </c:pt>
                    </c:strCache>
                  </c:strRef>
                </c:tx>
                <c:spPr>
                  <a:ln w="28575" cap="rnd">
                    <a:solidFill>
                      <a:schemeClr val="accent6">
                        <a:lumMod val="80000"/>
                        <a:lumOff val="20000"/>
                      </a:schemeClr>
                    </a:solidFill>
                    <a:round/>
                  </a:ln>
                  <a:effectLst/>
                </c:spPr>
                <c:marker>
                  <c:symbol val="circle"/>
                  <c:size val="5"/>
                  <c:spPr>
                    <a:solidFill>
                      <a:schemeClr val="accent6">
                        <a:lumMod val="80000"/>
                        <a:lumOff val="20000"/>
                      </a:schemeClr>
                    </a:solidFill>
                    <a:ln w="9525">
                      <a:solidFill>
                        <a:schemeClr val="tx1"/>
                      </a:solidFill>
                    </a:ln>
                    <a:effectLst/>
                  </c:spPr>
                </c:marker>
                <c:cat>
                  <c:numRef>
                    <c:extLst xmlns:c15="http://schemas.microsoft.com/office/drawing/2012/chart">
                      <c:ext xmlns:c15="http://schemas.microsoft.com/office/drawing/2012/chart" uri="{02D57815-91ED-43cb-92C2-25804820EDAC}">
                        <c15:formulaRef>
                          <c15:sqref>'G2&amp;G3_BowWave_2024SEP'!$D$11:$IX$11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'G2&amp;G3_BowWave_2024SEP'!$D$29:$IX$29</c15:sqref>
                        </c15:formulaRef>
                      </c:ext>
                    </c:extLst>
                    <c:numCache>
                      <c:formatCode>General</c:formatCode>
                      <c:ptCount val="25"/>
                      <c:pt idx="7">
                        <c:v>0.3</c:v>
                      </c:pt>
                      <c:pt idx="8">
                        <c:v>0.42</c:v>
                      </c:pt>
                      <c:pt idx="9">
                        <c:v>0.35</c:v>
                      </c:pt>
                    </c:numCache>
                  </c:numRef>
                </c:val>
                <c:smooth val="0"/>
                <c:extLst xmlns:c15="http://schemas.microsoft.com/office/drawing/2012/chart">
                  <c:ext xmlns:c16="http://schemas.microsoft.com/office/drawing/2014/chart" uri="{C3380CC4-5D6E-409C-BE32-E72D297353CC}">
                    <c16:uniqueId val="{00000033-50AF-4D66-9EF1-224AB2C74B61}"/>
                  </c:ext>
                </c:extLst>
              </c15:ser>
            </c15:filteredLineSeries>
            <c15:filteredLineSeries>
              <c15:ser>
                <c:idx val="25"/>
                <c:order val="19"/>
                <c:tx>
                  <c:strRef>
                    <c:extLst xmlns:c15="http://schemas.microsoft.com/office/drawing/2012/chart">
                      <c:ext xmlns:c15="http://schemas.microsoft.com/office/drawing/2012/chart" uri="{02D57815-91ED-43cb-92C2-25804820EDAC}">
                        <c15:formulaRef>
                          <c15:sqref>'G2&amp;G3_BowWave_2024SEP'!$C$32</c15:sqref>
                        </c15:formulaRef>
                      </c:ext>
                    </c:extLst>
                    <c:strCache>
                      <c:ptCount val="1"/>
                      <c:pt idx="0">
                        <c:v>Baselined to Start - Cumulative</c:v>
                      </c:pt>
                    </c:strCache>
                  </c:strRef>
                </c:tx>
                <c:spPr>
                  <a:ln w="28575" cap="rnd">
                    <a:solidFill>
                      <a:schemeClr val="accent2">
                        <a:lumMod val="60000"/>
                        <a:lumOff val="40000"/>
                      </a:schemeClr>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cat>
                  <c:numRef>
                    <c:extLst xmlns:c15="http://schemas.microsoft.com/office/drawing/2012/chart">
                      <c:ext xmlns:c15="http://schemas.microsoft.com/office/drawing/2012/chart" uri="{02D57815-91ED-43cb-92C2-25804820EDAC}">
                        <c15:formulaRef>
                          <c15:sqref>'G2&amp;G3_BowWave_2024SEP'!$D$11:$IX$11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'G2&amp;G3_BowWave_2024SEP'!$D$32:$DD$32</c15:sqref>
                        </c15:formulaRef>
                      </c:ext>
                    </c:extLst>
                    <c:numCache>
                      <c:formatCode>0</c:formatCode>
                      <c:ptCount val="25"/>
                      <c:pt idx="0">
                        <c:v>1843</c:v>
                      </c:pt>
                      <c:pt idx="1">
                        <c:v>1890</c:v>
                      </c:pt>
                      <c:pt idx="2">
                        <c:v>1936</c:v>
                      </c:pt>
                      <c:pt idx="3">
                        <c:v>2025</c:v>
                      </c:pt>
                      <c:pt idx="4">
                        <c:v>2106</c:v>
                      </c:pt>
                      <c:pt idx="5">
                        <c:v>2196</c:v>
                      </c:pt>
                      <c:pt idx="6">
                        <c:v>2235</c:v>
                      </c:pt>
                      <c:pt idx="7">
                        <c:v>2322</c:v>
                      </c:pt>
                      <c:pt idx="8">
                        <c:v>2374</c:v>
                      </c:pt>
                      <c:pt idx="9">
                        <c:v>2426</c:v>
                      </c:pt>
                      <c:pt idx="10">
                        <c:v>2461</c:v>
                      </c:pt>
                      <c:pt idx="11">
                        <c:v>2471</c:v>
                      </c:pt>
                      <c:pt idx="12">
                        <c:v>2501</c:v>
                      </c:pt>
                      <c:pt idx="13">
                        <c:v>2527</c:v>
                      </c:pt>
                      <c:pt idx="14">
                        <c:v>2535</c:v>
                      </c:pt>
                      <c:pt idx="15">
                        <c:v>2542</c:v>
                      </c:pt>
                      <c:pt idx="16">
                        <c:v>2543</c:v>
                      </c:pt>
                      <c:pt idx="17">
                        <c:v>2544</c:v>
                      </c:pt>
                      <c:pt idx="18">
                        <c:v>2545</c:v>
                      </c:pt>
                      <c:pt idx="19">
                        <c:v>2546</c:v>
                      </c:pt>
                      <c:pt idx="20">
                        <c:v>2550</c:v>
                      </c:pt>
                      <c:pt idx="21">
                        <c:v>2555</c:v>
                      </c:pt>
                      <c:pt idx="22">
                        <c:v>2556</c:v>
                      </c:pt>
                      <c:pt idx="23">
                        <c:v>2557</c:v>
                      </c:pt>
                      <c:pt idx="24">
                        <c:v>2557</c:v>
                      </c:pt>
                    </c:numCache>
                  </c:numRef>
                </c:val>
                <c:smooth val="0"/>
                <c:extLst xmlns:c15="http://schemas.microsoft.com/office/drawing/2012/chart">
                  <c:ext xmlns:c16="http://schemas.microsoft.com/office/drawing/2014/chart" uri="{C3380CC4-5D6E-409C-BE32-E72D297353CC}">
                    <c16:uniqueId val="{00000034-50AF-4D66-9EF1-224AB2C74B61}"/>
                  </c:ext>
                </c:extLst>
              </c15:ser>
            </c15:filteredLineSeries>
            <c15:filteredLineSeries>
              <c15:ser>
                <c:idx val="26"/>
                <c:order val="20"/>
                <c:tx>
                  <c:strRef>
                    <c:extLst xmlns:c15="http://schemas.microsoft.com/office/drawing/2012/chart">
                      <c:ext xmlns:c15="http://schemas.microsoft.com/office/drawing/2012/chart" uri="{02D57815-91ED-43cb-92C2-25804820EDAC}">
                        <c15:formulaRef>
                          <c15:sqref>'G2&amp;G3_BowWave_2024SEP'!$C$33</c15:sqref>
                        </c15:formulaRef>
                      </c:ext>
                    </c:extLst>
                    <c:strCache>
                      <c:ptCount val="1"/>
                      <c:pt idx="0">
                        <c:v>Scheduled to Start - Cumulative</c:v>
                      </c:pt>
                    </c:strCache>
                  </c:strRef>
                </c:tx>
                <c:spPr>
                  <a:ln w="28575" cap="rnd">
                    <a:solidFill>
                      <a:schemeClr val="accent3">
                        <a:lumMod val="60000"/>
                        <a:lumOff val="40000"/>
                      </a:schemeClr>
                    </a:solid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cat>
                  <c:numRef>
                    <c:extLst xmlns:c15="http://schemas.microsoft.com/office/drawing/2012/chart">
                      <c:ext xmlns:c15="http://schemas.microsoft.com/office/drawing/2012/chart" uri="{02D57815-91ED-43cb-92C2-25804820EDAC}">
                        <c15:formulaRef>
                          <c15:sqref>'G2&amp;G3_BowWave_2024SEP'!$D$11:$IX$11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'G2&amp;G3_BowWave_2024SEP'!$D$33:$DD$33</c15:sqref>
                        </c15:formulaRef>
                      </c:ext>
                    </c:extLst>
                    <c:numCache>
                      <c:formatCode>General</c:formatCode>
                      <c:ptCount val="25"/>
                      <c:pt idx="0">
                        <c:v>1708</c:v>
                      </c:pt>
                      <c:pt idx="1">
                        <c:v>1767</c:v>
                      </c:pt>
                      <c:pt idx="2">
                        <c:v>1807</c:v>
                      </c:pt>
                      <c:pt idx="3">
                        <c:v>1856</c:v>
                      </c:pt>
                      <c:pt idx="4">
                        <c:v>1902</c:v>
                      </c:pt>
                      <c:pt idx="5">
                        <c:v>1937</c:v>
                      </c:pt>
                      <c:pt idx="6">
                        <c:v>1962</c:v>
                      </c:pt>
                      <c:pt idx="7">
                        <c:v>2032</c:v>
                      </c:pt>
                      <c:pt idx="8">
                        <c:v>2095</c:v>
                      </c:pt>
                      <c:pt idx="9">
                        <c:v>2166</c:v>
                      </c:pt>
                      <c:pt idx="10">
                        <c:v>2246</c:v>
                      </c:pt>
                      <c:pt idx="11">
                        <c:v>2305</c:v>
                      </c:pt>
                      <c:pt idx="12">
                        <c:v>2356</c:v>
                      </c:pt>
                      <c:pt idx="13">
                        <c:v>2425</c:v>
                      </c:pt>
                      <c:pt idx="14">
                        <c:v>2462</c:v>
                      </c:pt>
                      <c:pt idx="15">
                        <c:v>2505</c:v>
                      </c:pt>
                      <c:pt idx="16">
                        <c:v>2523</c:v>
                      </c:pt>
                      <c:pt idx="17">
                        <c:v>2532</c:v>
                      </c:pt>
                      <c:pt idx="18">
                        <c:v>2533</c:v>
                      </c:pt>
                      <c:pt idx="19">
                        <c:v>2534</c:v>
                      </c:pt>
                      <c:pt idx="20">
                        <c:v>2545</c:v>
                      </c:pt>
                      <c:pt idx="21">
                        <c:v>2557</c:v>
                      </c:pt>
                      <c:pt idx="22">
                        <c:v>2567</c:v>
                      </c:pt>
                      <c:pt idx="23">
                        <c:v>2574</c:v>
                      </c:pt>
                      <c:pt idx="24">
                        <c:v>2595</c:v>
                      </c:pt>
                    </c:numCache>
                  </c:numRef>
                </c:val>
                <c:smooth val="0"/>
                <c:extLst xmlns:c15="http://schemas.microsoft.com/office/drawing/2012/chart">
                  <c:ext xmlns:c16="http://schemas.microsoft.com/office/drawing/2014/chart" uri="{C3380CC4-5D6E-409C-BE32-E72D297353CC}">
                    <c16:uniqueId val="{00000035-50AF-4D66-9EF1-224AB2C74B61}"/>
                  </c:ext>
                </c:extLst>
              </c15:ser>
            </c15:filteredLineSeries>
            <c15:filteredLineSeries>
              <c15:ser>
                <c:idx val="27"/>
                <c:order val="21"/>
                <c:tx>
                  <c:strRef>
                    <c:extLst xmlns:c15="http://schemas.microsoft.com/office/drawing/2012/chart">
                      <c:ext xmlns:c15="http://schemas.microsoft.com/office/drawing/2012/chart" uri="{02D57815-91ED-43cb-92C2-25804820EDAC}">
                        <c15:formulaRef>
                          <c15:sqref>'G2&amp;G3_BowWave_2024SEP'!$C$34</c15:sqref>
                        </c15:formulaRef>
                      </c:ext>
                    </c:extLst>
                    <c:strCache>
                      <c:ptCount val="1"/>
                      <c:pt idx="0">
                        <c:v>Actual Starts - Cumulative</c:v>
                      </c:pt>
                    </c:strCache>
                  </c:strRef>
                </c:tx>
                <c:spPr>
                  <a:ln w="28575" cap="rnd">
                    <a:solidFill>
                      <a:schemeClr val="accent4">
                        <a:lumMod val="60000"/>
                        <a:lumOff val="40000"/>
                      </a:schemeClr>
                    </a:solid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cat>
                  <c:numRef>
                    <c:extLst xmlns:c15="http://schemas.microsoft.com/office/drawing/2012/chart">
                      <c:ext xmlns:c15="http://schemas.microsoft.com/office/drawing/2012/chart" uri="{02D57815-91ED-43cb-92C2-25804820EDAC}">
                        <c15:formulaRef>
                          <c15:sqref>'G2&amp;G3_BowWave_2024SEP'!$D$11:$IX$11</c15:sqref>
                        </c15:formulaRef>
                      </c:ext>
                    </c:extLst>
                    <c:numCache>
                      <c:formatCode>mmm\-yy</c:formatCode>
                      <c:ptCount val="25"/>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numCache>
                  </c:numRef>
                </c:cat>
                <c:val>
                  <c:numRef>
                    <c:extLst xmlns:c15="http://schemas.microsoft.com/office/drawing/2012/chart">
                      <c:ext xmlns:c15="http://schemas.microsoft.com/office/drawing/2012/chart" uri="{02D57815-91ED-43cb-92C2-25804820EDAC}">
                        <c15:formulaRef>
                          <c15:sqref>'G2&amp;G3_BowWave_2024SEP'!$D$34:$DD$34</c15:sqref>
                        </c15:formulaRef>
                      </c:ext>
                    </c:extLst>
                    <c:numCache>
                      <c:formatCode>General</c:formatCode>
                      <c:ptCount val="25"/>
                      <c:pt idx="0">
                        <c:v>1708</c:v>
                      </c:pt>
                      <c:pt idx="1">
                        <c:v>1767</c:v>
                      </c:pt>
                      <c:pt idx="2">
                        <c:v>1807</c:v>
                      </c:pt>
                      <c:pt idx="3">
                        <c:v>1856</c:v>
                      </c:pt>
                      <c:pt idx="4">
                        <c:v>1902</c:v>
                      </c:pt>
                      <c:pt idx="5">
                        <c:v>1937</c:v>
                      </c:pt>
                      <c:pt idx="6">
                        <c:v>1955</c:v>
                      </c:pt>
                      <c:pt idx="7">
                        <c:v>1955</c:v>
                      </c:pt>
                      <c:pt idx="8">
                        <c:v>1955</c:v>
                      </c:pt>
                      <c:pt idx="9">
                        <c:v>1955</c:v>
                      </c:pt>
                      <c:pt idx="10">
                        <c:v>1955</c:v>
                      </c:pt>
                      <c:pt idx="11">
                        <c:v>1955</c:v>
                      </c:pt>
                      <c:pt idx="12">
                        <c:v>1955</c:v>
                      </c:pt>
                      <c:pt idx="13">
                        <c:v>1955</c:v>
                      </c:pt>
                      <c:pt idx="14">
                        <c:v>1955</c:v>
                      </c:pt>
                      <c:pt idx="15">
                        <c:v>1955</c:v>
                      </c:pt>
                      <c:pt idx="16">
                        <c:v>1955</c:v>
                      </c:pt>
                      <c:pt idx="17">
                        <c:v>1955</c:v>
                      </c:pt>
                      <c:pt idx="18">
                        <c:v>1955</c:v>
                      </c:pt>
                      <c:pt idx="19">
                        <c:v>1955</c:v>
                      </c:pt>
                      <c:pt idx="20">
                        <c:v>1955</c:v>
                      </c:pt>
                      <c:pt idx="21">
                        <c:v>1955</c:v>
                      </c:pt>
                      <c:pt idx="22">
                        <c:v>1955</c:v>
                      </c:pt>
                      <c:pt idx="23">
                        <c:v>1955</c:v>
                      </c:pt>
                      <c:pt idx="24">
                        <c:v>1955</c:v>
                      </c:pt>
                    </c:numCache>
                  </c:numRef>
                </c:val>
                <c:smooth val="0"/>
                <c:extLst xmlns:c15="http://schemas.microsoft.com/office/drawing/2012/chart">
                  <c:ext xmlns:c16="http://schemas.microsoft.com/office/drawing/2014/chart" uri="{C3380CC4-5D6E-409C-BE32-E72D297353CC}">
                    <c16:uniqueId val="{00000036-50AF-4D66-9EF1-224AB2C74B61}"/>
                  </c:ext>
                </c:extLst>
              </c15:ser>
            </c15:filteredLineSeries>
          </c:ext>
        </c:extLst>
      </c:lineChart>
      <c:dateAx>
        <c:axId val="2001818015"/>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2001820415"/>
        <c:crosses val="autoZero"/>
        <c:auto val="1"/>
        <c:lblOffset val="100"/>
        <c:baseTimeUnit val="months"/>
      </c:dateAx>
      <c:valAx>
        <c:axId val="2001820415"/>
        <c:scaling>
          <c:orientation val="minMax"/>
          <c:max val="125"/>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 of Activities</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2001818015"/>
        <c:crosses val="autoZero"/>
        <c:crossBetween val="between"/>
        <c:majorUnit val="25"/>
      </c:valAx>
      <c:valAx>
        <c:axId val="1121471199"/>
        <c:scaling>
          <c:orientation val="minMax"/>
          <c:max val="3000"/>
        </c:scaling>
        <c:delete val="0"/>
        <c:axPos val="r"/>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Schedule Performance Index</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121466879"/>
        <c:crosses val="max"/>
        <c:crossBetween val="between"/>
      </c:valAx>
      <c:dateAx>
        <c:axId val="1121466879"/>
        <c:scaling>
          <c:orientation val="minMax"/>
        </c:scaling>
        <c:delete val="1"/>
        <c:axPos val="b"/>
        <c:numFmt formatCode="mmm\-yy" sourceLinked="1"/>
        <c:majorTickMark val="out"/>
        <c:minorTickMark val="none"/>
        <c:tickLblPos val="nextTo"/>
        <c:crossAx val="1121471199"/>
        <c:crosses val="autoZero"/>
        <c:auto val="1"/>
        <c:lblOffset val="100"/>
        <c:baseTimeUnit val="months"/>
        <c:majorUnit val="1"/>
        <c:minorUnit val="1"/>
      </c:date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Baseline Activities</a:t>
            </a:r>
            <a:r>
              <a:rPr lang="en-US" baseline="0"/>
              <a:t> &amp; Workoff Burden - Activity Starts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'G4_Workoff Burden'!$B$8</c:f>
              <c:strCache>
                <c:ptCount val="1"/>
                <c:pt idx="0">
                  <c:v>Current Baseline to Start &amp; Started (BL Plan)</c:v>
                </c:pt>
              </c:strCache>
            </c:strRef>
          </c:tx>
          <c:spPr>
            <a:solidFill>
              <a:schemeClr val="accent1"/>
            </a:solidFill>
            <a:ln>
              <a:noFill/>
            </a:ln>
            <a:effectLst/>
          </c:spPr>
          <c:invertIfNegative val="0"/>
          <c:cat>
            <c:numRef>
              <c:f>'G4_Workoff Burden'!$C$7:$DB$7</c:f>
              <c:numCache>
                <c:formatCode>mmm\-yy</c:formatCode>
                <c:ptCount val="30"/>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pt idx="25">
                  <c:v>46113</c:v>
                </c:pt>
                <c:pt idx="26">
                  <c:v>46143</c:v>
                </c:pt>
                <c:pt idx="27">
                  <c:v>46174</c:v>
                </c:pt>
                <c:pt idx="28">
                  <c:v>46204</c:v>
                </c:pt>
                <c:pt idx="29">
                  <c:v>46235</c:v>
                </c:pt>
              </c:numCache>
            </c:numRef>
          </c:cat>
          <c:val>
            <c:numRef>
              <c:f>'G4_Workoff Burden'!$C$8:$DB$8</c:f>
              <c:numCache>
                <c:formatCode>General</c:formatCode>
                <c:ptCount val="30"/>
                <c:pt idx="0">
                  <c:v>26</c:v>
                </c:pt>
                <c:pt idx="1">
                  <c:v>12</c:v>
                </c:pt>
                <c:pt idx="2">
                  <c:v>18</c:v>
                </c:pt>
                <c:pt idx="3">
                  <c:v>14</c:v>
                </c:pt>
                <c:pt idx="4">
                  <c:v>10</c:v>
                </c:pt>
                <c:pt idx="5">
                  <c:v>13</c:v>
                </c:pt>
                <c:pt idx="6">
                  <c:v>2</c:v>
                </c:pt>
                <c:pt idx="7">
                  <c:v>4</c:v>
                </c:pt>
                <c:pt idx="8">
                  <c:v>1</c:v>
                </c:pt>
                <c:pt idx="9">
                  <c:v>2</c:v>
                </c:pt>
                <c:pt idx="10">
                  <c:v>1</c:v>
                </c:pt>
                <c:pt idx="11">
                  <c:v>1</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0BB8-4B94-8F94-0DB42387DE8D}"/>
            </c:ext>
          </c:extLst>
        </c:ser>
        <c:ser>
          <c:idx val="1"/>
          <c:order val="1"/>
          <c:tx>
            <c:strRef>
              <c:f>'G4_Workoff Burden'!$B$9</c:f>
              <c:strCache>
                <c:ptCount val="1"/>
                <c:pt idx="0">
                  <c:v>Future Baseline to Start &amp; Started (Early Starts)</c:v>
                </c:pt>
              </c:strCache>
            </c:strRef>
          </c:tx>
          <c:spPr>
            <a:solidFill>
              <a:schemeClr val="accent6"/>
            </a:solidFill>
            <a:ln>
              <a:noFill/>
            </a:ln>
            <a:effectLst/>
          </c:spPr>
          <c:invertIfNegative val="0"/>
          <c:cat>
            <c:numRef>
              <c:f>'G4_Workoff Burden'!$C$7:$DB$7</c:f>
              <c:numCache>
                <c:formatCode>mmm\-yy</c:formatCode>
                <c:ptCount val="30"/>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pt idx="25">
                  <c:v>46113</c:v>
                </c:pt>
                <c:pt idx="26">
                  <c:v>46143</c:v>
                </c:pt>
                <c:pt idx="27">
                  <c:v>46174</c:v>
                </c:pt>
                <c:pt idx="28">
                  <c:v>46204</c:v>
                </c:pt>
                <c:pt idx="29">
                  <c:v>46235</c:v>
                </c:pt>
              </c:numCache>
            </c:numRef>
          </c:cat>
          <c:val>
            <c:numRef>
              <c:f>'G4_Workoff Burden'!$C$9:$DB$9</c:f>
              <c:numCache>
                <c:formatCode>General</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0BB8-4B94-8F94-0DB42387DE8D}"/>
            </c:ext>
          </c:extLst>
        </c:ser>
        <c:ser>
          <c:idx val="2"/>
          <c:order val="2"/>
          <c:tx>
            <c:strRef>
              <c:f>'G4_Workoff Burden'!$B$10</c:f>
              <c:strCache>
                <c:ptCount val="1"/>
                <c:pt idx="0">
                  <c:v>Past Baseline to Start &amp; Started (Workoff Burden)</c:v>
                </c:pt>
              </c:strCache>
            </c:strRef>
          </c:tx>
          <c:spPr>
            <a:solidFill>
              <a:srgbClr val="E26714"/>
            </a:solidFill>
            <a:ln>
              <a:noFill/>
            </a:ln>
            <a:effectLst/>
          </c:spPr>
          <c:invertIfNegative val="0"/>
          <c:dLbls>
            <c:dLbl>
              <c:idx val="12"/>
              <c:delete val="1"/>
              <c:extLst>
                <c:ext xmlns:c15="http://schemas.microsoft.com/office/drawing/2012/chart" uri="{CE6537A1-D6FC-4f65-9D91-7224C49458BB}"/>
                <c:ext xmlns:c16="http://schemas.microsoft.com/office/drawing/2014/chart" uri="{C3380CC4-5D6E-409C-BE32-E72D297353CC}">
                  <c16:uniqueId val="{00000002-0BB8-4B94-8F94-0DB42387DE8D}"/>
                </c:ext>
              </c:extLst>
            </c:dLbl>
            <c:dLbl>
              <c:idx val="13"/>
              <c:delete val="1"/>
              <c:extLst>
                <c:ext xmlns:c15="http://schemas.microsoft.com/office/drawing/2012/chart" uri="{CE6537A1-D6FC-4f65-9D91-7224C49458BB}"/>
                <c:ext xmlns:c16="http://schemas.microsoft.com/office/drawing/2014/chart" uri="{C3380CC4-5D6E-409C-BE32-E72D297353CC}">
                  <c16:uniqueId val="{00000003-0BB8-4B94-8F94-0DB42387DE8D}"/>
                </c:ext>
              </c:extLst>
            </c:dLbl>
            <c:dLbl>
              <c:idx val="14"/>
              <c:delete val="1"/>
              <c:extLst>
                <c:ext xmlns:c15="http://schemas.microsoft.com/office/drawing/2012/chart" uri="{CE6537A1-D6FC-4f65-9D91-7224C49458BB}"/>
                <c:ext xmlns:c16="http://schemas.microsoft.com/office/drawing/2014/chart" uri="{C3380CC4-5D6E-409C-BE32-E72D297353CC}">
                  <c16:uniqueId val="{00000004-0BB8-4B94-8F94-0DB42387DE8D}"/>
                </c:ext>
              </c:extLst>
            </c:dLbl>
            <c:dLbl>
              <c:idx val="15"/>
              <c:delete val="1"/>
              <c:extLst>
                <c:ext xmlns:c15="http://schemas.microsoft.com/office/drawing/2012/chart" uri="{CE6537A1-D6FC-4f65-9D91-7224C49458BB}"/>
                <c:ext xmlns:c16="http://schemas.microsoft.com/office/drawing/2014/chart" uri="{C3380CC4-5D6E-409C-BE32-E72D297353CC}">
                  <c16:uniqueId val="{00000005-0BB8-4B94-8F94-0DB42387DE8D}"/>
                </c:ext>
              </c:extLst>
            </c:dLbl>
            <c:dLbl>
              <c:idx val="16"/>
              <c:delete val="1"/>
              <c:extLst>
                <c:ext xmlns:c15="http://schemas.microsoft.com/office/drawing/2012/chart" uri="{CE6537A1-D6FC-4f65-9D91-7224C49458BB}"/>
                <c:ext xmlns:c16="http://schemas.microsoft.com/office/drawing/2014/chart" uri="{C3380CC4-5D6E-409C-BE32-E72D297353CC}">
                  <c16:uniqueId val="{00000006-0BB8-4B94-8F94-0DB42387DE8D}"/>
                </c:ext>
              </c:extLst>
            </c:dLbl>
            <c:dLbl>
              <c:idx val="17"/>
              <c:delete val="1"/>
              <c:extLst>
                <c:ext xmlns:c15="http://schemas.microsoft.com/office/drawing/2012/chart" uri="{CE6537A1-D6FC-4f65-9D91-7224C49458BB}"/>
                <c:ext xmlns:c16="http://schemas.microsoft.com/office/drawing/2014/chart" uri="{C3380CC4-5D6E-409C-BE32-E72D297353CC}">
                  <c16:uniqueId val="{00000007-0BB8-4B94-8F94-0DB42387DE8D}"/>
                </c:ext>
              </c:extLst>
            </c:dLbl>
            <c:dLbl>
              <c:idx val="18"/>
              <c:delete val="1"/>
              <c:extLst>
                <c:ext xmlns:c15="http://schemas.microsoft.com/office/drawing/2012/chart" uri="{CE6537A1-D6FC-4f65-9D91-7224C49458BB}"/>
                <c:ext xmlns:c16="http://schemas.microsoft.com/office/drawing/2014/chart" uri="{C3380CC4-5D6E-409C-BE32-E72D297353CC}">
                  <c16:uniqueId val="{00000008-0BB8-4B94-8F94-0DB42387DE8D}"/>
                </c:ext>
              </c:extLst>
            </c:dLbl>
            <c:dLbl>
              <c:idx val="19"/>
              <c:delete val="1"/>
              <c:extLst>
                <c:ext xmlns:c15="http://schemas.microsoft.com/office/drawing/2012/chart" uri="{CE6537A1-D6FC-4f65-9D91-7224C49458BB}"/>
                <c:ext xmlns:c16="http://schemas.microsoft.com/office/drawing/2014/chart" uri="{C3380CC4-5D6E-409C-BE32-E72D297353CC}">
                  <c16:uniqueId val="{00000009-0BB8-4B94-8F94-0DB42387DE8D}"/>
                </c:ext>
              </c:extLst>
            </c:dLbl>
            <c:dLbl>
              <c:idx val="20"/>
              <c:delete val="1"/>
              <c:extLst>
                <c:ext xmlns:c15="http://schemas.microsoft.com/office/drawing/2012/chart" uri="{CE6537A1-D6FC-4f65-9D91-7224C49458BB}"/>
                <c:ext xmlns:c16="http://schemas.microsoft.com/office/drawing/2014/chart" uri="{C3380CC4-5D6E-409C-BE32-E72D297353CC}">
                  <c16:uniqueId val="{0000000A-0BB8-4B94-8F94-0DB42387DE8D}"/>
                </c:ext>
              </c:extLst>
            </c:dLbl>
            <c:dLbl>
              <c:idx val="21"/>
              <c:delete val="1"/>
              <c:extLst>
                <c:ext xmlns:c15="http://schemas.microsoft.com/office/drawing/2012/chart" uri="{CE6537A1-D6FC-4f65-9D91-7224C49458BB}"/>
                <c:ext xmlns:c16="http://schemas.microsoft.com/office/drawing/2014/chart" uri="{C3380CC4-5D6E-409C-BE32-E72D297353CC}">
                  <c16:uniqueId val="{0000000B-0BB8-4B94-8F94-0DB42387DE8D}"/>
                </c:ext>
              </c:extLst>
            </c:dLbl>
            <c:dLbl>
              <c:idx val="22"/>
              <c:delete val="1"/>
              <c:extLst>
                <c:ext xmlns:c15="http://schemas.microsoft.com/office/drawing/2012/chart" uri="{CE6537A1-D6FC-4f65-9D91-7224C49458BB}"/>
                <c:ext xmlns:c16="http://schemas.microsoft.com/office/drawing/2014/chart" uri="{C3380CC4-5D6E-409C-BE32-E72D297353CC}">
                  <c16:uniqueId val="{0000000C-0BB8-4B94-8F94-0DB42387DE8D}"/>
                </c:ext>
              </c:extLst>
            </c:dLbl>
            <c:dLbl>
              <c:idx val="23"/>
              <c:delete val="1"/>
              <c:extLst>
                <c:ext xmlns:c15="http://schemas.microsoft.com/office/drawing/2012/chart" uri="{CE6537A1-D6FC-4f65-9D91-7224C49458BB}"/>
                <c:ext xmlns:c16="http://schemas.microsoft.com/office/drawing/2014/chart" uri="{C3380CC4-5D6E-409C-BE32-E72D297353CC}">
                  <c16:uniqueId val="{0000000D-0BB8-4B94-8F94-0DB42387DE8D}"/>
                </c:ext>
              </c:extLst>
            </c:dLbl>
            <c:dLbl>
              <c:idx val="24"/>
              <c:delete val="1"/>
              <c:extLst>
                <c:ext xmlns:c15="http://schemas.microsoft.com/office/drawing/2012/chart" uri="{CE6537A1-D6FC-4f65-9D91-7224C49458BB}"/>
                <c:ext xmlns:c16="http://schemas.microsoft.com/office/drawing/2014/chart" uri="{C3380CC4-5D6E-409C-BE32-E72D297353CC}">
                  <c16:uniqueId val="{0000000E-0BB8-4B94-8F94-0DB42387DE8D}"/>
                </c:ext>
              </c:extLst>
            </c:dLbl>
            <c:dLbl>
              <c:idx val="25"/>
              <c:delete val="1"/>
              <c:extLst>
                <c:ext xmlns:c15="http://schemas.microsoft.com/office/drawing/2012/chart" uri="{CE6537A1-D6FC-4f65-9D91-7224C49458BB}"/>
                <c:ext xmlns:c16="http://schemas.microsoft.com/office/drawing/2014/chart" uri="{C3380CC4-5D6E-409C-BE32-E72D297353CC}">
                  <c16:uniqueId val="{0000000F-0BB8-4B94-8F94-0DB42387DE8D}"/>
                </c:ext>
              </c:extLst>
            </c:dLbl>
            <c:dLbl>
              <c:idx val="26"/>
              <c:delete val="1"/>
              <c:extLst>
                <c:ext xmlns:c15="http://schemas.microsoft.com/office/drawing/2012/chart" uri="{CE6537A1-D6FC-4f65-9D91-7224C49458BB}"/>
                <c:ext xmlns:c16="http://schemas.microsoft.com/office/drawing/2014/chart" uri="{C3380CC4-5D6E-409C-BE32-E72D297353CC}">
                  <c16:uniqueId val="{00000010-0BB8-4B94-8F94-0DB42387DE8D}"/>
                </c:ext>
              </c:extLst>
            </c:dLbl>
            <c:dLbl>
              <c:idx val="27"/>
              <c:delete val="1"/>
              <c:extLst>
                <c:ext xmlns:c15="http://schemas.microsoft.com/office/drawing/2012/chart" uri="{CE6537A1-D6FC-4f65-9D91-7224C49458BB}"/>
                <c:ext xmlns:c16="http://schemas.microsoft.com/office/drawing/2014/chart" uri="{C3380CC4-5D6E-409C-BE32-E72D297353CC}">
                  <c16:uniqueId val="{00000011-0BB8-4B94-8F94-0DB42387DE8D}"/>
                </c:ext>
              </c:extLst>
            </c:dLbl>
            <c:dLbl>
              <c:idx val="28"/>
              <c:delete val="1"/>
              <c:extLst>
                <c:ext xmlns:c15="http://schemas.microsoft.com/office/drawing/2012/chart" uri="{CE6537A1-D6FC-4f65-9D91-7224C49458BB}"/>
                <c:ext xmlns:c16="http://schemas.microsoft.com/office/drawing/2014/chart" uri="{C3380CC4-5D6E-409C-BE32-E72D297353CC}">
                  <c16:uniqueId val="{00000012-0BB8-4B94-8F94-0DB42387DE8D}"/>
                </c:ext>
              </c:extLst>
            </c:dLbl>
            <c:dLbl>
              <c:idx val="29"/>
              <c:delete val="1"/>
              <c:extLst>
                <c:ext xmlns:c15="http://schemas.microsoft.com/office/drawing/2012/chart" uri="{CE6537A1-D6FC-4f65-9D91-7224C49458BB}"/>
                <c:ext xmlns:c16="http://schemas.microsoft.com/office/drawing/2014/chart" uri="{C3380CC4-5D6E-409C-BE32-E72D297353CC}">
                  <c16:uniqueId val="{00000013-0BB8-4B94-8F94-0DB42387DE8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'G4_Workoff Burden'!$C$7:$DB$7</c:f>
              <c:numCache>
                <c:formatCode>mmm\-yy</c:formatCode>
                <c:ptCount val="30"/>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pt idx="25">
                  <c:v>46113</c:v>
                </c:pt>
                <c:pt idx="26">
                  <c:v>46143</c:v>
                </c:pt>
                <c:pt idx="27">
                  <c:v>46174</c:v>
                </c:pt>
                <c:pt idx="28">
                  <c:v>46204</c:v>
                </c:pt>
                <c:pt idx="29">
                  <c:v>46235</c:v>
                </c:pt>
              </c:numCache>
            </c:numRef>
          </c:cat>
          <c:val>
            <c:numRef>
              <c:f>'G4_Workoff Burden'!$C$10:$DB$10</c:f>
              <c:numCache>
                <c:formatCode>General</c:formatCode>
                <c:ptCount val="30"/>
                <c:pt idx="0">
                  <c:v>28</c:v>
                </c:pt>
                <c:pt idx="1">
                  <c:v>39</c:v>
                </c:pt>
                <c:pt idx="2">
                  <c:v>18</c:v>
                </c:pt>
                <c:pt idx="3">
                  <c:v>33</c:v>
                </c:pt>
                <c:pt idx="4">
                  <c:v>38</c:v>
                </c:pt>
                <c:pt idx="5">
                  <c:v>24</c:v>
                </c:pt>
                <c:pt idx="6">
                  <c:v>20</c:v>
                </c:pt>
                <c:pt idx="7">
                  <c:v>37</c:v>
                </c:pt>
                <c:pt idx="8">
                  <c:v>31</c:v>
                </c:pt>
                <c:pt idx="9">
                  <c:v>54</c:v>
                </c:pt>
                <c:pt idx="10">
                  <c:v>41</c:v>
                </c:pt>
                <c:pt idx="11">
                  <c:v>23</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14-0BB8-4B94-8F94-0DB42387DE8D}"/>
            </c:ext>
          </c:extLst>
        </c:ser>
        <c:ser>
          <c:idx val="3"/>
          <c:order val="3"/>
          <c:tx>
            <c:strRef>
              <c:f>'G4_Workoff Burden'!$B$11</c:f>
              <c:strCache>
                <c:ptCount val="1"/>
                <c:pt idx="0">
                  <c:v>Past Baseline to Start &amp; Not Started (Workoff Burden)</c:v>
                </c:pt>
              </c:strCache>
            </c:strRef>
          </c:tx>
          <c:spPr>
            <a:solidFill>
              <a:schemeClr val="accent4"/>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15-0BB8-4B94-8F94-0DB42387DE8D}"/>
                </c:ext>
              </c:extLst>
            </c:dLbl>
            <c:dLbl>
              <c:idx val="1"/>
              <c:delete val="1"/>
              <c:extLst>
                <c:ext xmlns:c15="http://schemas.microsoft.com/office/drawing/2012/chart" uri="{CE6537A1-D6FC-4f65-9D91-7224C49458BB}"/>
                <c:ext xmlns:c16="http://schemas.microsoft.com/office/drawing/2014/chart" uri="{C3380CC4-5D6E-409C-BE32-E72D297353CC}">
                  <c16:uniqueId val="{00000016-0BB8-4B94-8F94-0DB42387DE8D}"/>
                </c:ext>
              </c:extLst>
            </c:dLbl>
            <c:dLbl>
              <c:idx val="2"/>
              <c:delete val="1"/>
              <c:extLst>
                <c:ext xmlns:c15="http://schemas.microsoft.com/office/drawing/2012/chart" uri="{CE6537A1-D6FC-4f65-9D91-7224C49458BB}"/>
                <c:ext xmlns:c16="http://schemas.microsoft.com/office/drawing/2014/chart" uri="{C3380CC4-5D6E-409C-BE32-E72D297353CC}">
                  <c16:uniqueId val="{00000017-0BB8-4B94-8F94-0DB42387DE8D}"/>
                </c:ext>
              </c:extLst>
            </c:dLbl>
            <c:dLbl>
              <c:idx val="3"/>
              <c:delete val="1"/>
              <c:extLst>
                <c:ext xmlns:c15="http://schemas.microsoft.com/office/drawing/2012/chart" uri="{CE6537A1-D6FC-4f65-9D91-7224C49458BB}"/>
                <c:ext xmlns:c16="http://schemas.microsoft.com/office/drawing/2014/chart" uri="{C3380CC4-5D6E-409C-BE32-E72D297353CC}">
                  <c16:uniqueId val="{00000018-0BB8-4B94-8F94-0DB42387DE8D}"/>
                </c:ext>
              </c:extLst>
            </c:dLbl>
            <c:dLbl>
              <c:idx val="4"/>
              <c:delete val="1"/>
              <c:extLst>
                <c:ext xmlns:c15="http://schemas.microsoft.com/office/drawing/2012/chart" uri="{CE6537A1-D6FC-4f65-9D91-7224C49458BB}"/>
                <c:ext xmlns:c16="http://schemas.microsoft.com/office/drawing/2014/chart" uri="{C3380CC4-5D6E-409C-BE32-E72D297353CC}">
                  <c16:uniqueId val="{00000019-0BB8-4B94-8F94-0DB42387DE8D}"/>
                </c:ext>
              </c:extLst>
            </c:dLbl>
            <c:dLbl>
              <c:idx val="5"/>
              <c:delete val="1"/>
              <c:extLst>
                <c:ext xmlns:c15="http://schemas.microsoft.com/office/drawing/2012/chart" uri="{CE6537A1-D6FC-4f65-9D91-7224C49458BB}"/>
                <c:ext xmlns:c16="http://schemas.microsoft.com/office/drawing/2014/chart" uri="{C3380CC4-5D6E-409C-BE32-E72D297353CC}">
                  <c16:uniqueId val="{0000001A-0BB8-4B94-8F94-0DB42387DE8D}"/>
                </c:ext>
              </c:extLst>
            </c:dLbl>
            <c:dLbl>
              <c:idx val="6"/>
              <c:delete val="1"/>
              <c:extLst>
                <c:ext xmlns:c15="http://schemas.microsoft.com/office/drawing/2012/chart" uri="{CE6537A1-D6FC-4f65-9D91-7224C49458BB}"/>
                <c:ext xmlns:c16="http://schemas.microsoft.com/office/drawing/2014/chart" uri="{C3380CC4-5D6E-409C-BE32-E72D297353CC}">
                  <c16:uniqueId val="{0000001B-0BB8-4B94-8F94-0DB42387DE8D}"/>
                </c:ext>
              </c:extLst>
            </c:dLbl>
            <c:dLbl>
              <c:idx val="7"/>
              <c:delete val="1"/>
              <c:extLst>
                <c:ext xmlns:c15="http://schemas.microsoft.com/office/drawing/2012/chart" uri="{CE6537A1-D6FC-4f65-9D91-7224C49458BB}"/>
                <c:ext xmlns:c16="http://schemas.microsoft.com/office/drawing/2014/chart" uri="{C3380CC4-5D6E-409C-BE32-E72D297353CC}">
                  <c16:uniqueId val="{0000001C-0BB8-4B94-8F94-0DB42387DE8D}"/>
                </c:ext>
              </c:extLst>
            </c:dLbl>
            <c:dLbl>
              <c:idx val="8"/>
              <c:delete val="1"/>
              <c:extLst>
                <c:ext xmlns:c15="http://schemas.microsoft.com/office/drawing/2012/chart" uri="{CE6537A1-D6FC-4f65-9D91-7224C49458BB}"/>
                <c:ext xmlns:c16="http://schemas.microsoft.com/office/drawing/2014/chart" uri="{C3380CC4-5D6E-409C-BE32-E72D297353CC}">
                  <c16:uniqueId val="{0000001D-0BB8-4B94-8F94-0DB42387DE8D}"/>
                </c:ext>
              </c:extLst>
            </c:dLbl>
            <c:dLbl>
              <c:idx val="9"/>
              <c:delete val="1"/>
              <c:extLst>
                <c:ext xmlns:c15="http://schemas.microsoft.com/office/drawing/2012/chart" uri="{CE6537A1-D6FC-4f65-9D91-7224C49458BB}"/>
                <c:ext xmlns:c16="http://schemas.microsoft.com/office/drawing/2014/chart" uri="{C3380CC4-5D6E-409C-BE32-E72D297353CC}">
                  <c16:uniqueId val="{0000001E-0BB8-4B94-8F94-0DB42387DE8D}"/>
                </c:ext>
              </c:extLst>
            </c:dLbl>
            <c:dLbl>
              <c:idx val="10"/>
              <c:delete val="1"/>
              <c:extLst>
                <c:ext xmlns:c15="http://schemas.microsoft.com/office/drawing/2012/chart" uri="{CE6537A1-D6FC-4f65-9D91-7224C49458BB}"/>
                <c:ext xmlns:c16="http://schemas.microsoft.com/office/drawing/2014/chart" uri="{C3380CC4-5D6E-409C-BE32-E72D297353CC}">
                  <c16:uniqueId val="{0000001F-0BB8-4B94-8F94-0DB42387DE8D}"/>
                </c:ext>
              </c:extLst>
            </c:dLbl>
            <c:dLbl>
              <c:idx val="24"/>
              <c:delete val="1"/>
              <c:extLst>
                <c:ext xmlns:c15="http://schemas.microsoft.com/office/drawing/2012/chart" uri="{CE6537A1-D6FC-4f65-9D91-7224C49458BB}"/>
                <c:ext xmlns:c16="http://schemas.microsoft.com/office/drawing/2014/chart" uri="{C3380CC4-5D6E-409C-BE32-E72D297353CC}">
                  <c16:uniqueId val="{00000020-0BB8-4B94-8F94-0DB42387DE8D}"/>
                </c:ext>
              </c:extLst>
            </c:dLbl>
            <c:dLbl>
              <c:idx val="26"/>
              <c:delete val="1"/>
              <c:extLst>
                <c:ext xmlns:c15="http://schemas.microsoft.com/office/drawing/2012/chart" uri="{CE6537A1-D6FC-4f65-9D91-7224C49458BB}"/>
                <c:ext xmlns:c16="http://schemas.microsoft.com/office/drawing/2014/chart" uri="{C3380CC4-5D6E-409C-BE32-E72D297353CC}">
                  <c16:uniqueId val="{00000021-0BB8-4B94-8F94-0DB42387DE8D}"/>
                </c:ext>
              </c:extLst>
            </c:dLbl>
            <c:dLbl>
              <c:idx val="27"/>
              <c:delete val="1"/>
              <c:extLst>
                <c:ext xmlns:c15="http://schemas.microsoft.com/office/drawing/2012/chart" uri="{CE6537A1-D6FC-4f65-9D91-7224C49458BB}"/>
                <c:ext xmlns:c16="http://schemas.microsoft.com/office/drawing/2014/chart" uri="{C3380CC4-5D6E-409C-BE32-E72D297353CC}">
                  <c16:uniqueId val="{00000022-0BB8-4B94-8F94-0DB42387DE8D}"/>
                </c:ext>
              </c:extLst>
            </c:dLbl>
            <c:dLbl>
              <c:idx val="28"/>
              <c:delete val="1"/>
              <c:extLst>
                <c:ext xmlns:c15="http://schemas.microsoft.com/office/drawing/2012/chart" uri="{CE6537A1-D6FC-4f65-9D91-7224C49458BB}"/>
                <c:ext xmlns:c16="http://schemas.microsoft.com/office/drawing/2014/chart" uri="{C3380CC4-5D6E-409C-BE32-E72D297353CC}">
                  <c16:uniqueId val="{00000023-0BB8-4B94-8F94-0DB42387DE8D}"/>
                </c:ext>
              </c:extLst>
            </c:dLbl>
            <c:dLbl>
              <c:idx val="29"/>
              <c:delete val="1"/>
              <c:extLst>
                <c:ext xmlns:c15="http://schemas.microsoft.com/office/drawing/2012/chart" uri="{CE6537A1-D6FC-4f65-9D91-7224C49458BB}"/>
                <c:ext xmlns:c16="http://schemas.microsoft.com/office/drawing/2014/chart" uri="{C3380CC4-5D6E-409C-BE32-E72D297353CC}">
                  <c16:uniqueId val="{00000024-0BB8-4B94-8F94-0DB42387DE8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'G4_Workoff Burden'!$C$7:$DB$7</c:f>
              <c:numCache>
                <c:formatCode>mmm\-yy</c:formatCode>
                <c:ptCount val="30"/>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pt idx="25">
                  <c:v>46113</c:v>
                </c:pt>
                <c:pt idx="26">
                  <c:v>46143</c:v>
                </c:pt>
                <c:pt idx="27">
                  <c:v>46174</c:v>
                </c:pt>
                <c:pt idx="28">
                  <c:v>46204</c:v>
                </c:pt>
                <c:pt idx="29">
                  <c:v>46235</c:v>
                </c:pt>
              </c:numCache>
            </c:numRef>
          </c:cat>
          <c:val>
            <c:numRef>
              <c:f>'G4_Workoff Burden'!$C$11:$DB$11</c:f>
              <c:numCache>
                <c:formatCode>General</c:formatCode>
                <c:ptCount val="30"/>
                <c:pt idx="0">
                  <c:v>0</c:v>
                </c:pt>
                <c:pt idx="1">
                  <c:v>0</c:v>
                </c:pt>
                <c:pt idx="2">
                  <c:v>0</c:v>
                </c:pt>
                <c:pt idx="3">
                  <c:v>0</c:v>
                </c:pt>
                <c:pt idx="4">
                  <c:v>0</c:v>
                </c:pt>
                <c:pt idx="5">
                  <c:v>0</c:v>
                </c:pt>
                <c:pt idx="6">
                  <c:v>0</c:v>
                </c:pt>
                <c:pt idx="7">
                  <c:v>0</c:v>
                </c:pt>
                <c:pt idx="8">
                  <c:v>0</c:v>
                </c:pt>
                <c:pt idx="9">
                  <c:v>0</c:v>
                </c:pt>
                <c:pt idx="10">
                  <c:v>0</c:v>
                </c:pt>
                <c:pt idx="11">
                  <c:v>18</c:v>
                </c:pt>
                <c:pt idx="12">
                  <c:v>67</c:v>
                </c:pt>
                <c:pt idx="13">
                  <c:v>59</c:v>
                </c:pt>
                <c:pt idx="14">
                  <c:v>50</c:v>
                </c:pt>
                <c:pt idx="15">
                  <c:v>42</c:v>
                </c:pt>
                <c:pt idx="16">
                  <c:v>42</c:v>
                </c:pt>
                <c:pt idx="17">
                  <c:v>17</c:v>
                </c:pt>
                <c:pt idx="18">
                  <c:v>11</c:v>
                </c:pt>
                <c:pt idx="19">
                  <c:v>6</c:v>
                </c:pt>
                <c:pt idx="20">
                  <c:v>22</c:v>
                </c:pt>
                <c:pt idx="21">
                  <c:v>16</c:v>
                </c:pt>
                <c:pt idx="22">
                  <c:v>5</c:v>
                </c:pt>
                <c:pt idx="23">
                  <c:v>3</c:v>
                </c:pt>
                <c:pt idx="24">
                  <c:v>0</c:v>
                </c:pt>
                <c:pt idx="25">
                  <c:v>1</c:v>
                </c:pt>
                <c:pt idx="26">
                  <c:v>0</c:v>
                </c:pt>
                <c:pt idx="27">
                  <c:v>0</c:v>
                </c:pt>
                <c:pt idx="28">
                  <c:v>0</c:v>
                </c:pt>
                <c:pt idx="29">
                  <c:v>0</c:v>
                </c:pt>
              </c:numCache>
            </c:numRef>
          </c:val>
          <c:extLst>
            <c:ext xmlns:c16="http://schemas.microsoft.com/office/drawing/2014/chart" uri="{C3380CC4-5D6E-409C-BE32-E72D297353CC}">
              <c16:uniqueId val="{00000025-0BB8-4B94-8F94-0DB42387DE8D}"/>
            </c:ext>
          </c:extLst>
        </c:ser>
        <c:ser>
          <c:idx val="4"/>
          <c:order val="4"/>
          <c:tx>
            <c:strRef>
              <c:f>'G4_Workoff Burden'!$B$12</c:f>
              <c:strCache>
                <c:ptCount val="1"/>
                <c:pt idx="0">
                  <c:v>Future Baseline to Start &amp; Delayed (Workoff Burden)</c:v>
                </c:pt>
              </c:strCache>
            </c:strRef>
          </c:tx>
          <c:spPr>
            <a:solidFill>
              <a:schemeClr val="accent4">
                <a:lumMod val="40000"/>
                <a:lumOff val="60000"/>
              </a:schemeClr>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26-0BB8-4B94-8F94-0DB42387DE8D}"/>
                </c:ext>
              </c:extLst>
            </c:dLbl>
            <c:dLbl>
              <c:idx val="1"/>
              <c:delete val="1"/>
              <c:extLst>
                <c:ext xmlns:c15="http://schemas.microsoft.com/office/drawing/2012/chart" uri="{CE6537A1-D6FC-4f65-9D91-7224C49458BB}"/>
                <c:ext xmlns:c16="http://schemas.microsoft.com/office/drawing/2014/chart" uri="{C3380CC4-5D6E-409C-BE32-E72D297353CC}">
                  <c16:uniqueId val="{00000027-0BB8-4B94-8F94-0DB42387DE8D}"/>
                </c:ext>
              </c:extLst>
            </c:dLbl>
            <c:dLbl>
              <c:idx val="2"/>
              <c:delete val="1"/>
              <c:extLst>
                <c:ext xmlns:c15="http://schemas.microsoft.com/office/drawing/2012/chart" uri="{CE6537A1-D6FC-4f65-9D91-7224C49458BB}"/>
                <c:ext xmlns:c16="http://schemas.microsoft.com/office/drawing/2014/chart" uri="{C3380CC4-5D6E-409C-BE32-E72D297353CC}">
                  <c16:uniqueId val="{00000028-0BB8-4B94-8F94-0DB42387DE8D}"/>
                </c:ext>
              </c:extLst>
            </c:dLbl>
            <c:dLbl>
              <c:idx val="3"/>
              <c:delete val="1"/>
              <c:extLst>
                <c:ext xmlns:c15="http://schemas.microsoft.com/office/drawing/2012/chart" uri="{CE6537A1-D6FC-4f65-9D91-7224C49458BB}"/>
                <c:ext xmlns:c16="http://schemas.microsoft.com/office/drawing/2014/chart" uri="{C3380CC4-5D6E-409C-BE32-E72D297353CC}">
                  <c16:uniqueId val="{00000029-0BB8-4B94-8F94-0DB42387DE8D}"/>
                </c:ext>
              </c:extLst>
            </c:dLbl>
            <c:dLbl>
              <c:idx val="4"/>
              <c:delete val="1"/>
              <c:extLst>
                <c:ext xmlns:c15="http://schemas.microsoft.com/office/drawing/2012/chart" uri="{CE6537A1-D6FC-4f65-9D91-7224C49458BB}"/>
                <c:ext xmlns:c16="http://schemas.microsoft.com/office/drawing/2014/chart" uri="{C3380CC4-5D6E-409C-BE32-E72D297353CC}">
                  <c16:uniqueId val="{0000002A-0BB8-4B94-8F94-0DB42387DE8D}"/>
                </c:ext>
              </c:extLst>
            </c:dLbl>
            <c:dLbl>
              <c:idx val="5"/>
              <c:delete val="1"/>
              <c:extLst>
                <c:ext xmlns:c15="http://schemas.microsoft.com/office/drawing/2012/chart" uri="{CE6537A1-D6FC-4f65-9D91-7224C49458BB}"/>
                <c:ext xmlns:c16="http://schemas.microsoft.com/office/drawing/2014/chart" uri="{C3380CC4-5D6E-409C-BE32-E72D297353CC}">
                  <c16:uniqueId val="{0000002B-0BB8-4B94-8F94-0DB42387DE8D}"/>
                </c:ext>
              </c:extLst>
            </c:dLbl>
            <c:dLbl>
              <c:idx val="6"/>
              <c:delete val="1"/>
              <c:extLst>
                <c:ext xmlns:c15="http://schemas.microsoft.com/office/drawing/2012/chart" uri="{CE6537A1-D6FC-4f65-9D91-7224C49458BB}"/>
                <c:ext xmlns:c16="http://schemas.microsoft.com/office/drawing/2014/chart" uri="{C3380CC4-5D6E-409C-BE32-E72D297353CC}">
                  <c16:uniqueId val="{0000002C-0BB8-4B94-8F94-0DB42387DE8D}"/>
                </c:ext>
              </c:extLst>
            </c:dLbl>
            <c:dLbl>
              <c:idx val="7"/>
              <c:delete val="1"/>
              <c:extLst>
                <c:ext xmlns:c15="http://schemas.microsoft.com/office/drawing/2012/chart" uri="{CE6537A1-D6FC-4f65-9D91-7224C49458BB}"/>
                <c:ext xmlns:c16="http://schemas.microsoft.com/office/drawing/2014/chart" uri="{C3380CC4-5D6E-409C-BE32-E72D297353CC}">
                  <c16:uniqueId val="{0000002D-0BB8-4B94-8F94-0DB42387DE8D}"/>
                </c:ext>
              </c:extLst>
            </c:dLbl>
            <c:dLbl>
              <c:idx val="8"/>
              <c:delete val="1"/>
              <c:extLst>
                <c:ext xmlns:c15="http://schemas.microsoft.com/office/drawing/2012/chart" uri="{CE6537A1-D6FC-4f65-9D91-7224C49458BB}"/>
                <c:ext xmlns:c16="http://schemas.microsoft.com/office/drawing/2014/chart" uri="{C3380CC4-5D6E-409C-BE32-E72D297353CC}">
                  <c16:uniqueId val="{0000002E-0BB8-4B94-8F94-0DB42387DE8D}"/>
                </c:ext>
              </c:extLst>
            </c:dLbl>
            <c:dLbl>
              <c:idx val="9"/>
              <c:delete val="1"/>
              <c:extLst>
                <c:ext xmlns:c15="http://schemas.microsoft.com/office/drawing/2012/chart" uri="{CE6537A1-D6FC-4f65-9D91-7224C49458BB}"/>
                <c:ext xmlns:c16="http://schemas.microsoft.com/office/drawing/2014/chart" uri="{C3380CC4-5D6E-409C-BE32-E72D297353CC}">
                  <c16:uniqueId val="{0000002F-0BB8-4B94-8F94-0DB42387DE8D}"/>
                </c:ext>
              </c:extLst>
            </c:dLbl>
            <c:dLbl>
              <c:idx val="10"/>
              <c:delete val="1"/>
              <c:extLst>
                <c:ext xmlns:c15="http://schemas.microsoft.com/office/drawing/2012/chart" uri="{CE6537A1-D6FC-4f65-9D91-7224C49458BB}"/>
                <c:ext xmlns:c16="http://schemas.microsoft.com/office/drawing/2014/chart" uri="{C3380CC4-5D6E-409C-BE32-E72D297353CC}">
                  <c16:uniqueId val="{00000030-0BB8-4B94-8F94-0DB42387DE8D}"/>
                </c:ext>
              </c:extLst>
            </c:dLbl>
            <c:dLbl>
              <c:idx val="11"/>
              <c:delete val="1"/>
              <c:extLst>
                <c:ext xmlns:c15="http://schemas.microsoft.com/office/drawing/2012/chart" uri="{CE6537A1-D6FC-4f65-9D91-7224C49458BB}"/>
                <c:ext xmlns:c16="http://schemas.microsoft.com/office/drawing/2014/chart" uri="{C3380CC4-5D6E-409C-BE32-E72D297353CC}">
                  <c16:uniqueId val="{00000031-0BB8-4B94-8F94-0DB42387DE8D}"/>
                </c:ext>
              </c:extLst>
            </c:dLbl>
            <c:dLbl>
              <c:idx val="12"/>
              <c:delete val="1"/>
              <c:extLst>
                <c:ext xmlns:c15="http://schemas.microsoft.com/office/drawing/2012/chart" uri="{CE6537A1-D6FC-4f65-9D91-7224C49458BB}"/>
                <c:ext xmlns:c16="http://schemas.microsoft.com/office/drawing/2014/chart" uri="{C3380CC4-5D6E-409C-BE32-E72D297353CC}">
                  <c16:uniqueId val="{00000032-0BB8-4B94-8F94-0DB42387DE8D}"/>
                </c:ext>
              </c:extLst>
            </c:dLbl>
            <c:dLbl>
              <c:idx val="27"/>
              <c:delete val="1"/>
              <c:extLst>
                <c:ext xmlns:c15="http://schemas.microsoft.com/office/drawing/2012/chart" uri="{CE6537A1-D6FC-4f65-9D91-7224C49458BB}"/>
                <c:ext xmlns:c16="http://schemas.microsoft.com/office/drawing/2014/chart" uri="{C3380CC4-5D6E-409C-BE32-E72D297353CC}">
                  <c16:uniqueId val="{00000033-0BB8-4B94-8F94-0DB42387DE8D}"/>
                </c:ext>
              </c:extLst>
            </c:dLbl>
            <c:dLbl>
              <c:idx val="29"/>
              <c:delete val="1"/>
              <c:extLst>
                <c:ext xmlns:c15="http://schemas.microsoft.com/office/drawing/2012/chart" uri="{CE6537A1-D6FC-4f65-9D91-7224C49458BB}"/>
                <c:ext xmlns:c16="http://schemas.microsoft.com/office/drawing/2014/chart" uri="{C3380CC4-5D6E-409C-BE32-E72D297353CC}">
                  <c16:uniqueId val="{00000034-0BB8-4B94-8F94-0DB42387DE8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'G4_Workoff Burden'!$C$7:$DB$7</c:f>
              <c:numCache>
                <c:formatCode>mmm\-yy</c:formatCode>
                <c:ptCount val="30"/>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pt idx="25">
                  <c:v>46113</c:v>
                </c:pt>
                <c:pt idx="26">
                  <c:v>46143</c:v>
                </c:pt>
                <c:pt idx="27">
                  <c:v>46174</c:v>
                </c:pt>
                <c:pt idx="28">
                  <c:v>46204</c:v>
                </c:pt>
                <c:pt idx="29">
                  <c:v>46235</c:v>
                </c:pt>
              </c:numCache>
            </c:numRef>
          </c:cat>
          <c:val>
            <c:numRef>
              <c:f>'G4_Workoff Burden'!$C$12:$DB$12</c:f>
              <c:numCache>
                <c:formatCode>General</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1</c:v>
                </c:pt>
                <c:pt idx="14">
                  <c:v>5</c:v>
                </c:pt>
                <c:pt idx="15">
                  <c:v>5</c:v>
                </c:pt>
                <c:pt idx="16">
                  <c:v>19</c:v>
                </c:pt>
                <c:pt idx="17">
                  <c:v>3</c:v>
                </c:pt>
                <c:pt idx="18">
                  <c:v>5</c:v>
                </c:pt>
                <c:pt idx="19">
                  <c:v>14</c:v>
                </c:pt>
                <c:pt idx="20">
                  <c:v>9</c:v>
                </c:pt>
                <c:pt idx="21">
                  <c:v>6</c:v>
                </c:pt>
                <c:pt idx="22">
                  <c:v>9</c:v>
                </c:pt>
                <c:pt idx="23">
                  <c:v>4</c:v>
                </c:pt>
                <c:pt idx="24">
                  <c:v>5</c:v>
                </c:pt>
                <c:pt idx="25">
                  <c:v>1</c:v>
                </c:pt>
                <c:pt idx="26">
                  <c:v>1</c:v>
                </c:pt>
                <c:pt idx="27">
                  <c:v>0</c:v>
                </c:pt>
                <c:pt idx="28">
                  <c:v>2</c:v>
                </c:pt>
                <c:pt idx="29">
                  <c:v>0</c:v>
                </c:pt>
              </c:numCache>
            </c:numRef>
          </c:val>
          <c:extLst>
            <c:ext xmlns:c16="http://schemas.microsoft.com/office/drawing/2014/chart" uri="{C3380CC4-5D6E-409C-BE32-E72D297353CC}">
              <c16:uniqueId val="{00000035-0BB8-4B94-8F94-0DB42387DE8D}"/>
            </c:ext>
          </c:extLst>
        </c:ser>
        <c:ser>
          <c:idx val="12"/>
          <c:order val="5"/>
          <c:tx>
            <c:strRef>
              <c:f>'G4_Workoff Burden'!$B$20</c:f>
              <c:strCache>
                <c:ptCount val="1"/>
                <c:pt idx="0">
                  <c:v>Current Baseline to Start &amp; Not Started (Incompletes)</c:v>
                </c:pt>
              </c:strCache>
            </c:strRef>
          </c:tx>
          <c:spPr>
            <a:noFill/>
            <a:ln>
              <a:solidFill>
                <a:schemeClr val="accent1">
                  <a:lumMod val="50000"/>
                </a:schemeClr>
              </a:solidFill>
              <a:prstDash val="dash"/>
            </a:ln>
            <a:effectLst/>
          </c:spPr>
          <c:invertIfNegative val="0"/>
          <c:cat>
            <c:numRef>
              <c:f>'G4_Workoff Burden'!$C$7:$DB$7</c:f>
              <c:numCache>
                <c:formatCode>mmm\-yy</c:formatCode>
                <c:ptCount val="30"/>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pt idx="25">
                  <c:v>46113</c:v>
                </c:pt>
                <c:pt idx="26">
                  <c:v>46143</c:v>
                </c:pt>
                <c:pt idx="27">
                  <c:v>46174</c:v>
                </c:pt>
                <c:pt idx="28">
                  <c:v>46204</c:v>
                </c:pt>
                <c:pt idx="29">
                  <c:v>46235</c:v>
                </c:pt>
              </c:numCache>
            </c:numRef>
          </c:cat>
          <c:val>
            <c:numRef>
              <c:f>'G4_Workoff Burden'!$C$20:$DB$20</c:f>
              <c:numCache>
                <c:formatCode>General</c:formatCode>
                <c:ptCount val="30"/>
                <c:pt idx="0">
                  <c:v>-15</c:v>
                </c:pt>
                <c:pt idx="1">
                  <c:v>-9</c:v>
                </c:pt>
                <c:pt idx="2">
                  <c:v>-7</c:v>
                </c:pt>
                <c:pt idx="3">
                  <c:v>-11</c:v>
                </c:pt>
                <c:pt idx="4">
                  <c:v>-24</c:v>
                </c:pt>
                <c:pt idx="5">
                  <c:v>-31</c:v>
                </c:pt>
                <c:pt idx="6">
                  <c:v>-18</c:v>
                </c:pt>
                <c:pt idx="7">
                  <c:v>-66</c:v>
                </c:pt>
                <c:pt idx="8">
                  <c:v>-45</c:v>
                </c:pt>
                <c:pt idx="9">
                  <c:v>-47</c:v>
                </c:pt>
                <c:pt idx="10">
                  <c:v>-32</c:v>
                </c:pt>
                <c:pt idx="11">
                  <c:v>-9</c:v>
                </c:pt>
                <c:pt idx="12">
                  <c:v>-29</c:v>
                </c:pt>
                <c:pt idx="13">
                  <c:v>-26</c:v>
                </c:pt>
                <c:pt idx="14">
                  <c:v>-8</c:v>
                </c:pt>
                <c:pt idx="15">
                  <c:v>-7</c:v>
                </c:pt>
                <c:pt idx="16">
                  <c:v>-1</c:v>
                </c:pt>
                <c:pt idx="17">
                  <c:v>-1</c:v>
                </c:pt>
                <c:pt idx="18">
                  <c:v>-1</c:v>
                </c:pt>
                <c:pt idx="19">
                  <c:v>-1</c:v>
                </c:pt>
                <c:pt idx="20">
                  <c:v>-4</c:v>
                </c:pt>
                <c:pt idx="21">
                  <c:v>-5</c:v>
                </c:pt>
                <c:pt idx="22">
                  <c:v>-1</c:v>
                </c:pt>
                <c:pt idx="23">
                  <c:v>-1</c:v>
                </c:pt>
                <c:pt idx="24">
                  <c:v>0</c:v>
                </c:pt>
                <c:pt idx="25">
                  <c:v>0</c:v>
                </c:pt>
                <c:pt idx="26">
                  <c:v>0</c:v>
                </c:pt>
                <c:pt idx="27">
                  <c:v>0</c:v>
                </c:pt>
                <c:pt idx="28">
                  <c:v>0</c:v>
                </c:pt>
                <c:pt idx="29">
                  <c:v>0</c:v>
                </c:pt>
              </c:numCache>
            </c:numRef>
          </c:val>
          <c:extLst>
            <c:ext xmlns:c16="http://schemas.microsoft.com/office/drawing/2014/chart" uri="{C3380CC4-5D6E-409C-BE32-E72D297353CC}">
              <c16:uniqueId val="{00000036-0BB8-4B94-8F94-0DB42387DE8D}"/>
            </c:ext>
          </c:extLst>
        </c:ser>
        <c:dLbls>
          <c:showLegendKey val="0"/>
          <c:showVal val="0"/>
          <c:showCatName val="0"/>
          <c:showSerName val="0"/>
          <c:showPercent val="0"/>
          <c:showBubbleSize val="0"/>
        </c:dLbls>
        <c:gapWidth val="150"/>
        <c:overlap val="100"/>
        <c:axId val="317562112"/>
        <c:axId val="317548672"/>
        <c:extLst>
          <c:ext xmlns:c15="http://schemas.microsoft.com/office/drawing/2012/chart" uri="{02D57815-91ED-43cb-92C2-25804820EDAC}">
            <c15:filteredBarSeries>
              <c15:ser>
                <c:idx val="6"/>
                <c:order val="6"/>
                <c:tx>
                  <c:strRef>
                    <c:extLst>
                      <c:ext uri="{02D57815-91ED-43cb-92C2-25804820EDAC}">
                        <c15:formulaRef>
                          <c15:sqref>'G4_Workoff Burden'!$B$14</c15:sqref>
                        </c15:formulaRef>
                      </c:ext>
                    </c:extLst>
                    <c:strCache>
                      <c:ptCount val="1"/>
                      <c:pt idx="0">
                        <c:v>Current Baseline to Finish &amp; Finished (BL Plan)</c:v>
                      </c:pt>
                    </c:strCache>
                  </c:strRef>
                </c:tx>
                <c:spPr>
                  <a:solidFill>
                    <a:schemeClr val="accent1">
                      <a:lumMod val="60000"/>
                    </a:schemeClr>
                  </a:solidFill>
                  <a:ln>
                    <a:noFill/>
                  </a:ln>
                  <a:effectLst/>
                </c:spPr>
                <c:invertIfNegative val="0"/>
                <c:cat>
                  <c:numRef>
                    <c:extLst>
                      <c:ext uri="{02D57815-91ED-43cb-92C2-25804820EDAC}">
                        <c15:formulaRef>
                          <c15:sqref>'G4_Workoff Burden'!$C$7:$DB$7</c15:sqref>
                        </c15:formulaRef>
                      </c:ext>
                    </c:extLst>
                    <c:numCache>
                      <c:formatCode>mmm\-yy</c:formatCode>
                      <c:ptCount val="30"/>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pt idx="25">
                        <c:v>46113</c:v>
                      </c:pt>
                      <c:pt idx="26">
                        <c:v>46143</c:v>
                      </c:pt>
                      <c:pt idx="27">
                        <c:v>46174</c:v>
                      </c:pt>
                      <c:pt idx="28">
                        <c:v>46204</c:v>
                      </c:pt>
                      <c:pt idx="29">
                        <c:v>46235</c:v>
                      </c:pt>
                    </c:numCache>
                  </c:numRef>
                </c:cat>
                <c:val>
                  <c:numRef>
                    <c:extLst>
                      <c:ext uri="{02D57815-91ED-43cb-92C2-25804820EDAC}">
                        <c15:formulaRef>
                          <c15:sqref>'G4_Workoff Burden'!$C$14:$DB$14</c15:sqref>
                        </c15:formulaRef>
                      </c:ext>
                    </c:extLst>
                    <c:numCache>
                      <c:formatCode>General</c:formatCode>
                      <c:ptCount val="30"/>
                      <c:pt idx="0">
                        <c:v>24</c:v>
                      </c:pt>
                      <c:pt idx="1">
                        <c:v>12</c:v>
                      </c:pt>
                      <c:pt idx="2">
                        <c:v>19</c:v>
                      </c:pt>
                      <c:pt idx="3">
                        <c:v>12</c:v>
                      </c:pt>
                      <c:pt idx="4">
                        <c:v>11</c:v>
                      </c:pt>
                      <c:pt idx="5">
                        <c:v>12</c:v>
                      </c:pt>
                      <c:pt idx="6">
                        <c:v>2</c:v>
                      </c:pt>
                      <c:pt idx="7">
                        <c:v>3</c:v>
                      </c:pt>
                      <c:pt idx="8">
                        <c:v>1</c:v>
                      </c:pt>
                      <c:pt idx="9">
                        <c:v>1</c:v>
                      </c:pt>
                      <c:pt idx="10">
                        <c:v>1</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37-0BB8-4B94-8F94-0DB42387DE8D}"/>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'G4_Workoff Burden'!$B$15</c15:sqref>
                        </c15:formulaRef>
                      </c:ext>
                    </c:extLst>
                    <c:strCache>
                      <c:ptCount val="1"/>
                      <c:pt idx="0">
                        <c:v>Future Baseline to Finish &amp; Finished (Early Finishes)</c:v>
                      </c:pt>
                    </c:strCache>
                  </c:strRef>
                </c:tx>
                <c:spPr>
                  <a:solidFill>
                    <a:schemeClr val="accent2">
                      <a:lumMod val="60000"/>
                    </a:schemeClr>
                  </a:solidFill>
                  <a:ln>
                    <a:noFill/>
                  </a:ln>
                  <a:effectLst/>
                </c:spPr>
                <c:invertIfNegative val="0"/>
                <c:cat>
                  <c:numRef>
                    <c:extLst xmlns:c15="http://schemas.microsoft.com/office/drawing/2012/chart">
                      <c:ext xmlns:c15="http://schemas.microsoft.com/office/drawing/2012/chart" uri="{02D57815-91ED-43cb-92C2-25804820EDAC}">
                        <c15:formulaRef>
                          <c15:sqref>'G4_Workoff Burden'!$C$7:$DB$7</c15:sqref>
                        </c15:formulaRef>
                      </c:ext>
                    </c:extLst>
                    <c:numCache>
                      <c:formatCode>mmm\-yy</c:formatCode>
                      <c:ptCount val="30"/>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pt idx="25">
                        <c:v>46113</c:v>
                      </c:pt>
                      <c:pt idx="26">
                        <c:v>46143</c:v>
                      </c:pt>
                      <c:pt idx="27">
                        <c:v>46174</c:v>
                      </c:pt>
                      <c:pt idx="28">
                        <c:v>46204</c:v>
                      </c:pt>
                      <c:pt idx="29">
                        <c:v>46235</c:v>
                      </c:pt>
                    </c:numCache>
                  </c:numRef>
                </c:cat>
                <c:val>
                  <c:numRef>
                    <c:extLst xmlns:c15="http://schemas.microsoft.com/office/drawing/2012/chart">
                      <c:ext xmlns:c15="http://schemas.microsoft.com/office/drawing/2012/chart" uri="{02D57815-91ED-43cb-92C2-25804820EDAC}">
                        <c15:formulaRef>
                          <c15:sqref>'G4_Workoff Burden'!$C$15:$DB$15</c15:sqref>
                        </c15:formulaRef>
                      </c:ext>
                    </c:extLst>
                    <c:numCache>
                      <c:formatCode>General</c:formatCode>
                      <c:ptCount val="30"/>
                      <c:pt idx="0">
                        <c:v>9</c:v>
                      </c:pt>
                      <c:pt idx="1">
                        <c:v>10</c:v>
                      </c:pt>
                      <c:pt idx="2">
                        <c:v>3</c:v>
                      </c:pt>
                      <c:pt idx="3">
                        <c:v>4</c:v>
                      </c:pt>
                      <c:pt idx="4">
                        <c:v>3</c:v>
                      </c:pt>
                      <c:pt idx="5">
                        <c:v>2</c:v>
                      </c:pt>
                      <c:pt idx="6">
                        <c:v>1</c:v>
                      </c:pt>
                      <c:pt idx="7">
                        <c:v>1</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xmlns:c15="http://schemas.microsoft.com/office/drawing/2012/chart">
                  <c:ext xmlns:c16="http://schemas.microsoft.com/office/drawing/2014/chart" uri="{C3380CC4-5D6E-409C-BE32-E72D297353CC}">
                    <c16:uniqueId val="{00000038-0BB8-4B94-8F94-0DB42387DE8D}"/>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'G4_Workoff Burden'!$B$16</c15:sqref>
                        </c15:formulaRef>
                      </c:ext>
                    </c:extLst>
                    <c:strCache>
                      <c:ptCount val="1"/>
                      <c:pt idx="0">
                        <c:v>Past Baseline to Finish &amp; Finished (Workoff Burden)</c:v>
                      </c:pt>
                    </c:strCache>
                  </c:strRef>
                </c:tx>
                <c:spPr>
                  <a:solidFill>
                    <a:schemeClr val="accent3">
                      <a:lumMod val="60000"/>
                    </a:schemeClr>
                  </a:solidFill>
                  <a:ln>
                    <a:noFill/>
                  </a:ln>
                  <a:effectLst/>
                </c:spPr>
                <c:invertIfNegative val="0"/>
                <c:cat>
                  <c:numRef>
                    <c:extLst xmlns:c15="http://schemas.microsoft.com/office/drawing/2012/chart">
                      <c:ext xmlns:c15="http://schemas.microsoft.com/office/drawing/2012/chart" uri="{02D57815-91ED-43cb-92C2-25804820EDAC}">
                        <c15:formulaRef>
                          <c15:sqref>'G4_Workoff Burden'!$C$7:$DB$7</c15:sqref>
                        </c15:formulaRef>
                      </c:ext>
                    </c:extLst>
                    <c:numCache>
                      <c:formatCode>mmm\-yy</c:formatCode>
                      <c:ptCount val="30"/>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pt idx="25">
                        <c:v>46113</c:v>
                      </c:pt>
                      <c:pt idx="26">
                        <c:v>46143</c:v>
                      </c:pt>
                      <c:pt idx="27">
                        <c:v>46174</c:v>
                      </c:pt>
                      <c:pt idx="28">
                        <c:v>46204</c:v>
                      </c:pt>
                      <c:pt idx="29">
                        <c:v>46235</c:v>
                      </c:pt>
                    </c:numCache>
                  </c:numRef>
                </c:cat>
                <c:val>
                  <c:numRef>
                    <c:extLst xmlns:c15="http://schemas.microsoft.com/office/drawing/2012/chart">
                      <c:ext xmlns:c15="http://schemas.microsoft.com/office/drawing/2012/chart" uri="{02D57815-91ED-43cb-92C2-25804820EDAC}">
                        <c15:formulaRef>
                          <c15:sqref>'G4_Workoff Burden'!$C$16:$DB$16</c15:sqref>
                        </c15:formulaRef>
                      </c:ext>
                    </c:extLst>
                    <c:numCache>
                      <c:formatCode>General</c:formatCode>
                      <c:ptCount val="30"/>
                      <c:pt idx="0">
                        <c:v>37</c:v>
                      </c:pt>
                      <c:pt idx="1">
                        <c:v>34</c:v>
                      </c:pt>
                      <c:pt idx="2">
                        <c:v>21</c:v>
                      </c:pt>
                      <c:pt idx="3">
                        <c:v>31</c:v>
                      </c:pt>
                      <c:pt idx="4">
                        <c:v>31</c:v>
                      </c:pt>
                      <c:pt idx="5">
                        <c:v>41</c:v>
                      </c:pt>
                      <c:pt idx="6">
                        <c:v>28</c:v>
                      </c:pt>
                      <c:pt idx="7">
                        <c:v>27</c:v>
                      </c:pt>
                      <c:pt idx="8">
                        <c:v>29</c:v>
                      </c:pt>
                      <c:pt idx="9">
                        <c:v>59</c:v>
                      </c:pt>
                      <c:pt idx="10">
                        <c:v>46</c:v>
                      </c:pt>
                      <c:pt idx="11">
                        <c:v>30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xmlns:c15="http://schemas.microsoft.com/office/drawing/2012/chart">
                  <c:ext xmlns:c16="http://schemas.microsoft.com/office/drawing/2014/chart" uri="{C3380CC4-5D6E-409C-BE32-E72D297353CC}">
                    <c16:uniqueId val="{00000039-0BB8-4B94-8F94-0DB42387DE8D}"/>
                  </c:ext>
                </c:extLst>
              </c15:ser>
            </c15:filteredBarSeries>
            <c15:filteredBarSeries>
              <c15:ser>
                <c:idx val="9"/>
                <c:order val="9"/>
                <c:tx>
                  <c:strRef>
                    <c:extLst xmlns:c15="http://schemas.microsoft.com/office/drawing/2012/chart">
                      <c:ext xmlns:c15="http://schemas.microsoft.com/office/drawing/2012/chart" uri="{02D57815-91ED-43cb-92C2-25804820EDAC}">
                        <c15:formulaRef>
                          <c15:sqref>'G4_Workoff Burden'!$B$17</c15:sqref>
                        </c15:formulaRef>
                      </c:ext>
                    </c:extLst>
                    <c:strCache>
                      <c:ptCount val="1"/>
                      <c:pt idx="0">
                        <c:v>Past Baseline to Finish &amp; Not Finished (Workoff Burden)</c:v>
                      </c:pt>
                    </c:strCache>
                  </c:strRef>
                </c:tx>
                <c:spPr>
                  <a:solidFill>
                    <a:schemeClr val="accent4">
                      <a:lumMod val="60000"/>
                    </a:schemeClr>
                  </a:solidFill>
                  <a:ln>
                    <a:noFill/>
                  </a:ln>
                  <a:effectLst/>
                </c:spPr>
                <c:invertIfNegative val="0"/>
                <c:cat>
                  <c:numRef>
                    <c:extLst xmlns:c15="http://schemas.microsoft.com/office/drawing/2012/chart">
                      <c:ext xmlns:c15="http://schemas.microsoft.com/office/drawing/2012/chart" uri="{02D57815-91ED-43cb-92C2-25804820EDAC}">
                        <c15:formulaRef>
                          <c15:sqref>'G4_Workoff Burden'!$C$7:$DB$7</c15:sqref>
                        </c15:formulaRef>
                      </c:ext>
                    </c:extLst>
                    <c:numCache>
                      <c:formatCode>mmm\-yy</c:formatCode>
                      <c:ptCount val="30"/>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pt idx="25">
                        <c:v>46113</c:v>
                      </c:pt>
                      <c:pt idx="26">
                        <c:v>46143</c:v>
                      </c:pt>
                      <c:pt idx="27">
                        <c:v>46174</c:v>
                      </c:pt>
                      <c:pt idx="28">
                        <c:v>46204</c:v>
                      </c:pt>
                      <c:pt idx="29">
                        <c:v>46235</c:v>
                      </c:pt>
                    </c:numCache>
                  </c:numRef>
                </c:cat>
                <c:val>
                  <c:numRef>
                    <c:extLst xmlns:c15="http://schemas.microsoft.com/office/drawing/2012/chart">
                      <c:ext xmlns:c15="http://schemas.microsoft.com/office/drawing/2012/chart" uri="{02D57815-91ED-43cb-92C2-25804820EDAC}">
                        <c15:formulaRef>
                          <c15:sqref>'G4_Workoff Burden'!$C$17:$DB$17</c15:sqref>
                        </c15:formulaRef>
                      </c:ext>
                    </c:extLst>
                    <c:numCache>
                      <c:formatCode>General</c:formatCode>
                      <c:ptCount val="30"/>
                      <c:pt idx="0">
                        <c:v>0</c:v>
                      </c:pt>
                      <c:pt idx="1">
                        <c:v>0</c:v>
                      </c:pt>
                      <c:pt idx="2">
                        <c:v>0</c:v>
                      </c:pt>
                      <c:pt idx="3">
                        <c:v>0</c:v>
                      </c:pt>
                      <c:pt idx="4">
                        <c:v>0</c:v>
                      </c:pt>
                      <c:pt idx="5">
                        <c:v>0</c:v>
                      </c:pt>
                      <c:pt idx="6">
                        <c:v>0</c:v>
                      </c:pt>
                      <c:pt idx="7">
                        <c:v>0</c:v>
                      </c:pt>
                      <c:pt idx="8">
                        <c:v>0</c:v>
                      </c:pt>
                      <c:pt idx="9">
                        <c:v>0</c:v>
                      </c:pt>
                      <c:pt idx="10">
                        <c:v>0</c:v>
                      </c:pt>
                      <c:pt idx="11">
                        <c:v>17</c:v>
                      </c:pt>
                      <c:pt idx="12">
                        <c:v>78</c:v>
                      </c:pt>
                      <c:pt idx="13">
                        <c:v>65</c:v>
                      </c:pt>
                      <c:pt idx="14">
                        <c:v>48</c:v>
                      </c:pt>
                      <c:pt idx="15">
                        <c:v>51</c:v>
                      </c:pt>
                      <c:pt idx="16">
                        <c:v>44</c:v>
                      </c:pt>
                      <c:pt idx="17">
                        <c:v>21</c:v>
                      </c:pt>
                      <c:pt idx="18">
                        <c:v>15</c:v>
                      </c:pt>
                      <c:pt idx="19">
                        <c:v>9</c:v>
                      </c:pt>
                      <c:pt idx="20">
                        <c:v>20</c:v>
                      </c:pt>
                      <c:pt idx="21">
                        <c:v>15</c:v>
                      </c:pt>
                      <c:pt idx="22">
                        <c:v>7</c:v>
                      </c:pt>
                      <c:pt idx="23">
                        <c:v>3</c:v>
                      </c:pt>
                      <c:pt idx="24">
                        <c:v>1</c:v>
                      </c:pt>
                      <c:pt idx="25">
                        <c:v>0</c:v>
                      </c:pt>
                      <c:pt idx="26">
                        <c:v>1</c:v>
                      </c:pt>
                      <c:pt idx="27">
                        <c:v>0</c:v>
                      </c:pt>
                      <c:pt idx="28">
                        <c:v>0</c:v>
                      </c:pt>
                      <c:pt idx="29">
                        <c:v>0</c:v>
                      </c:pt>
                    </c:numCache>
                  </c:numRef>
                </c:val>
                <c:extLst xmlns:c15="http://schemas.microsoft.com/office/drawing/2012/chart">
                  <c:ext xmlns:c16="http://schemas.microsoft.com/office/drawing/2014/chart" uri="{C3380CC4-5D6E-409C-BE32-E72D297353CC}">
                    <c16:uniqueId val="{0000003A-0BB8-4B94-8F94-0DB42387DE8D}"/>
                  </c:ext>
                </c:extLst>
              </c15:ser>
            </c15:filteredBarSeries>
            <c15:filteredBarSeries>
              <c15:ser>
                <c:idx val="10"/>
                <c:order val="10"/>
                <c:tx>
                  <c:strRef>
                    <c:extLst xmlns:c15="http://schemas.microsoft.com/office/drawing/2012/chart">
                      <c:ext xmlns:c15="http://schemas.microsoft.com/office/drawing/2012/chart" uri="{02D57815-91ED-43cb-92C2-25804820EDAC}">
                        <c15:formulaRef>
                          <c15:sqref>'G4_Workoff Burden'!$B$18</c15:sqref>
                        </c15:formulaRef>
                      </c:ext>
                    </c:extLst>
                    <c:strCache>
                      <c:ptCount val="1"/>
                      <c:pt idx="0">
                        <c:v>Future Baseline to Finish &amp; Delayed (Workoff Burden)</c:v>
                      </c:pt>
                    </c:strCache>
                  </c:strRef>
                </c:tx>
                <c:spPr>
                  <a:solidFill>
                    <a:schemeClr val="accent5">
                      <a:lumMod val="60000"/>
                    </a:schemeClr>
                  </a:solidFill>
                  <a:ln>
                    <a:noFill/>
                  </a:ln>
                  <a:effectLst/>
                </c:spPr>
                <c:invertIfNegative val="0"/>
                <c:cat>
                  <c:numRef>
                    <c:extLst xmlns:c15="http://schemas.microsoft.com/office/drawing/2012/chart">
                      <c:ext xmlns:c15="http://schemas.microsoft.com/office/drawing/2012/chart" uri="{02D57815-91ED-43cb-92C2-25804820EDAC}">
                        <c15:formulaRef>
                          <c15:sqref>'G4_Workoff Burden'!$C$7:$DB$7</c15:sqref>
                        </c15:formulaRef>
                      </c:ext>
                    </c:extLst>
                    <c:numCache>
                      <c:formatCode>mmm\-yy</c:formatCode>
                      <c:ptCount val="30"/>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pt idx="25">
                        <c:v>46113</c:v>
                      </c:pt>
                      <c:pt idx="26">
                        <c:v>46143</c:v>
                      </c:pt>
                      <c:pt idx="27">
                        <c:v>46174</c:v>
                      </c:pt>
                      <c:pt idx="28">
                        <c:v>46204</c:v>
                      </c:pt>
                      <c:pt idx="29">
                        <c:v>46235</c:v>
                      </c:pt>
                    </c:numCache>
                  </c:numRef>
                </c:cat>
                <c:val>
                  <c:numRef>
                    <c:extLst xmlns:c15="http://schemas.microsoft.com/office/drawing/2012/chart">
                      <c:ext xmlns:c15="http://schemas.microsoft.com/office/drawing/2012/chart" uri="{02D57815-91ED-43cb-92C2-25804820EDAC}">
                        <c15:formulaRef>
                          <c15:sqref>'G4_Workoff Burden'!$C$18:$DB$18</c15:sqref>
                        </c15:formulaRef>
                      </c:ext>
                    </c:extLst>
                    <c:numCache>
                      <c:formatCode>General</c:formatCode>
                      <c:ptCount val="30"/>
                      <c:pt idx="0">
                        <c:v>0</c:v>
                      </c:pt>
                      <c:pt idx="1">
                        <c:v>0</c:v>
                      </c:pt>
                      <c:pt idx="2">
                        <c:v>0</c:v>
                      </c:pt>
                      <c:pt idx="3">
                        <c:v>0</c:v>
                      </c:pt>
                      <c:pt idx="4">
                        <c:v>0</c:v>
                      </c:pt>
                      <c:pt idx="5">
                        <c:v>0</c:v>
                      </c:pt>
                      <c:pt idx="6">
                        <c:v>0</c:v>
                      </c:pt>
                      <c:pt idx="7">
                        <c:v>0</c:v>
                      </c:pt>
                      <c:pt idx="8">
                        <c:v>0</c:v>
                      </c:pt>
                      <c:pt idx="9">
                        <c:v>0</c:v>
                      </c:pt>
                      <c:pt idx="10">
                        <c:v>0</c:v>
                      </c:pt>
                      <c:pt idx="11">
                        <c:v>0</c:v>
                      </c:pt>
                      <c:pt idx="12">
                        <c:v>2</c:v>
                      </c:pt>
                      <c:pt idx="13">
                        <c:v>1</c:v>
                      </c:pt>
                      <c:pt idx="14">
                        <c:v>2</c:v>
                      </c:pt>
                      <c:pt idx="15">
                        <c:v>8</c:v>
                      </c:pt>
                      <c:pt idx="16">
                        <c:v>18</c:v>
                      </c:pt>
                      <c:pt idx="17">
                        <c:v>5</c:v>
                      </c:pt>
                      <c:pt idx="18">
                        <c:v>6</c:v>
                      </c:pt>
                      <c:pt idx="19">
                        <c:v>15</c:v>
                      </c:pt>
                      <c:pt idx="20">
                        <c:v>7</c:v>
                      </c:pt>
                      <c:pt idx="21">
                        <c:v>5</c:v>
                      </c:pt>
                      <c:pt idx="22">
                        <c:v>10</c:v>
                      </c:pt>
                      <c:pt idx="23">
                        <c:v>6</c:v>
                      </c:pt>
                      <c:pt idx="24">
                        <c:v>1</c:v>
                      </c:pt>
                      <c:pt idx="25">
                        <c:v>5</c:v>
                      </c:pt>
                      <c:pt idx="26">
                        <c:v>0</c:v>
                      </c:pt>
                      <c:pt idx="27">
                        <c:v>0</c:v>
                      </c:pt>
                      <c:pt idx="28">
                        <c:v>2</c:v>
                      </c:pt>
                      <c:pt idx="29">
                        <c:v>1</c:v>
                      </c:pt>
                    </c:numCache>
                  </c:numRef>
                </c:val>
                <c:extLst xmlns:c15="http://schemas.microsoft.com/office/drawing/2012/chart">
                  <c:ext xmlns:c16="http://schemas.microsoft.com/office/drawing/2014/chart" uri="{C3380CC4-5D6E-409C-BE32-E72D297353CC}">
                    <c16:uniqueId val="{0000003B-0BB8-4B94-8F94-0DB42387DE8D}"/>
                  </c:ext>
                </c:extLst>
              </c15:ser>
            </c15:filteredBarSeries>
            <c15:filteredBarSeries>
              <c15:ser>
                <c:idx val="13"/>
                <c:order val="11"/>
                <c:tx>
                  <c:strRef>
                    <c:extLst xmlns:c15="http://schemas.microsoft.com/office/drawing/2012/chart">
                      <c:ext xmlns:c15="http://schemas.microsoft.com/office/drawing/2012/chart" uri="{02D57815-91ED-43cb-92C2-25804820EDAC}">
                        <c15:formulaRef>
                          <c15:sqref>'G4_Workoff Burden'!$B$21</c15:sqref>
                        </c15:formulaRef>
                      </c:ext>
                    </c:extLst>
                    <c:strCache>
                      <c:ptCount val="1"/>
                      <c:pt idx="0">
                        <c:v>Current Baseline to Finish &amp; Not Finished (Incompletes)</c:v>
                      </c:pt>
                    </c:strCache>
                  </c:strRef>
                </c:tx>
                <c:spPr>
                  <a:solidFill>
                    <a:schemeClr val="accent2">
                      <a:lumMod val="80000"/>
                      <a:lumOff val="20000"/>
                    </a:schemeClr>
                  </a:solidFill>
                  <a:ln>
                    <a:noFill/>
                  </a:ln>
                  <a:effectLst/>
                </c:spPr>
                <c:invertIfNegative val="0"/>
                <c:cat>
                  <c:numRef>
                    <c:extLst xmlns:c15="http://schemas.microsoft.com/office/drawing/2012/chart">
                      <c:ext xmlns:c15="http://schemas.microsoft.com/office/drawing/2012/chart" uri="{02D57815-91ED-43cb-92C2-25804820EDAC}">
                        <c15:formulaRef>
                          <c15:sqref>'G4_Workoff Burden'!$C$7:$DB$7</c15:sqref>
                        </c15:formulaRef>
                      </c:ext>
                    </c:extLst>
                    <c:numCache>
                      <c:formatCode>mmm\-yy</c:formatCode>
                      <c:ptCount val="30"/>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pt idx="25">
                        <c:v>46113</c:v>
                      </c:pt>
                      <c:pt idx="26">
                        <c:v>46143</c:v>
                      </c:pt>
                      <c:pt idx="27">
                        <c:v>46174</c:v>
                      </c:pt>
                      <c:pt idx="28">
                        <c:v>46204</c:v>
                      </c:pt>
                      <c:pt idx="29">
                        <c:v>46235</c:v>
                      </c:pt>
                    </c:numCache>
                  </c:numRef>
                </c:cat>
                <c:val>
                  <c:numRef>
                    <c:extLst xmlns:c15="http://schemas.microsoft.com/office/drawing/2012/chart">
                      <c:ext xmlns:c15="http://schemas.microsoft.com/office/drawing/2012/chart" uri="{02D57815-91ED-43cb-92C2-25804820EDAC}">
                        <c15:formulaRef>
                          <c15:sqref>'G4_Workoff Burden'!$C$21:$DB$21</c15:sqref>
                        </c15:formulaRef>
                      </c:ext>
                    </c:extLst>
                    <c:numCache>
                      <c:formatCode>General</c:formatCode>
                      <c:ptCount val="30"/>
                      <c:pt idx="0">
                        <c:v>-13</c:v>
                      </c:pt>
                      <c:pt idx="1">
                        <c:v>-11</c:v>
                      </c:pt>
                      <c:pt idx="2">
                        <c:v>-9</c:v>
                      </c:pt>
                      <c:pt idx="3">
                        <c:v>-19</c:v>
                      </c:pt>
                      <c:pt idx="4">
                        <c:v>-28</c:v>
                      </c:pt>
                      <c:pt idx="5">
                        <c:v>-31</c:v>
                      </c:pt>
                      <c:pt idx="6">
                        <c:v>-27</c:v>
                      </c:pt>
                      <c:pt idx="7">
                        <c:v>-71</c:v>
                      </c:pt>
                      <c:pt idx="8">
                        <c:v>-38</c:v>
                      </c:pt>
                      <c:pt idx="9">
                        <c:v>-43</c:v>
                      </c:pt>
                      <c:pt idx="10">
                        <c:v>-36</c:v>
                      </c:pt>
                      <c:pt idx="11">
                        <c:v>-16</c:v>
                      </c:pt>
                      <c:pt idx="12">
                        <c:v>-29</c:v>
                      </c:pt>
                      <c:pt idx="13">
                        <c:v>-25</c:v>
                      </c:pt>
                      <c:pt idx="14">
                        <c:v>-12</c:v>
                      </c:pt>
                      <c:pt idx="15">
                        <c:v>-8</c:v>
                      </c:pt>
                      <c:pt idx="16">
                        <c:v>-2</c:v>
                      </c:pt>
                      <c:pt idx="17">
                        <c:v>-1</c:v>
                      </c:pt>
                      <c:pt idx="18">
                        <c:v>-2</c:v>
                      </c:pt>
                      <c:pt idx="19">
                        <c:v>-1</c:v>
                      </c:pt>
                      <c:pt idx="20">
                        <c:v>-2</c:v>
                      </c:pt>
                      <c:pt idx="21">
                        <c:v>-5</c:v>
                      </c:pt>
                      <c:pt idx="22">
                        <c:v>-3</c:v>
                      </c:pt>
                      <c:pt idx="23">
                        <c:v>-1</c:v>
                      </c:pt>
                      <c:pt idx="24">
                        <c:v>0</c:v>
                      </c:pt>
                      <c:pt idx="25">
                        <c:v>0</c:v>
                      </c:pt>
                      <c:pt idx="26">
                        <c:v>0</c:v>
                      </c:pt>
                      <c:pt idx="27">
                        <c:v>0</c:v>
                      </c:pt>
                      <c:pt idx="28">
                        <c:v>0</c:v>
                      </c:pt>
                      <c:pt idx="29">
                        <c:v>0</c:v>
                      </c:pt>
                    </c:numCache>
                  </c:numRef>
                </c:val>
                <c:extLst xmlns:c15="http://schemas.microsoft.com/office/drawing/2012/chart">
                  <c:ext xmlns:c16="http://schemas.microsoft.com/office/drawing/2014/chart" uri="{C3380CC4-5D6E-409C-BE32-E72D297353CC}">
                    <c16:uniqueId val="{0000003C-0BB8-4B94-8F94-0DB42387DE8D}"/>
                  </c:ext>
                </c:extLst>
              </c15:ser>
            </c15:filteredBarSeries>
          </c:ext>
        </c:extLst>
      </c:barChart>
      <c:dateAx>
        <c:axId val="317562112"/>
        <c:scaling>
          <c:orientation val="minMax"/>
        </c:scaling>
        <c:delete val="0"/>
        <c:axPos val="b"/>
        <c:numFmt formatCode="mmm\-yy"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548672"/>
        <c:crosses val="autoZero"/>
        <c:auto val="1"/>
        <c:lblOffset val="100"/>
        <c:baseTimeUnit val="months"/>
      </c:dateAx>
      <c:valAx>
        <c:axId val="317548672"/>
        <c:scaling>
          <c:orientation val="minMax"/>
          <c:max val="125"/>
          <c:min val="-7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562112"/>
        <c:crosses val="autoZero"/>
        <c:crossBetween val="between"/>
        <c:majorUnit val="2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Baseline Activities</a:t>
            </a:r>
            <a:r>
              <a:rPr lang="en-US" baseline="0"/>
              <a:t> &amp; Workoff Burden - Activity Finishes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6"/>
          <c:order val="6"/>
          <c:tx>
            <c:strRef>
              <c:f>'G4_Workoff Burden'!$B$14</c:f>
              <c:strCache>
                <c:ptCount val="1"/>
                <c:pt idx="0">
                  <c:v>Current Baseline to Finish &amp; Finished (BL Plan)</c:v>
                </c:pt>
              </c:strCache>
            </c:strRef>
          </c:tx>
          <c:spPr>
            <a:solidFill>
              <a:schemeClr val="accent1"/>
            </a:solidFill>
            <a:ln>
              <a:noFill/>
            </a:ln>
            <a:effectLst/>
          </c:spPr>
          <c:invertIfNegative val="0"/>
          <c:cat>
            <c:numRef>
              <c:f>'G4_Workoff Burden'!$C$7:$DB$7</c:f>
              <c:numCache>
                <c:formatCode>mmm\-yy</c:formatCode>
                <c:ptCount val="30"/>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pt idx="25">
                  <c:v>46113</c:v>
                </c:pt>
                <c:pt idx="26">
                  <c:v>46143</c:v>
                </c:pt>
                <c:pt idx="27">
                  <c:v>46174</c:v>
                </c:pt>
                <c:pt idx="28">
                  <c:v>46204</c:v>
                </c:pt>
                <c:pt idx="29">
                  <c:v>46235</c:v>
                </c:pt>
              </c:numCache>
            </c:numRef>
          </c:cat>
          <c:val>
            <c:numRef>
              <c:f>'G4_Workoff Burden'!$C$14:$DB$14</c:f>
              <c:numCache>
                <c:formatCode>General</c:formatCode>
                <c:ptCount val="30"/>
                <c:pt idx="0">
                  <c:v>24</c:v>
                </c:pt>
                <c:pt idx="1">
                  <c:v>12</c:v>
                </c:pt>
                <c:pt idx="2">
                  <c:v>19</c:v>
                </c:pt>
                <c:pt idx="3">
                  <c:v>12</c:v>
                </c:pt>
                <c:pt idx="4">
                  <c:v>11</c:v>
                </c:pt>
                <c:pt idx="5">
                  <c:v>12</c:v>
                </c:pt>
                <c:pt idx="6">
                  <c:v>2</c:v>
                </c:pt>
                <c:pt idx="7">
                  <c:v>3</c:v>
                </c:pt>
                <c:pt idx="8">
                  <c:v>1</c:v>
                </c:pt>
                <c:pt idx="9">
                  <c:v>1</c:v>
                </c:pt>
                <c:pt idx="10">
                  <c:v>1</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06E9-4860-ADA7-9F54CB9F7501}"/>
            </c:ext>
          </c:extLst>
        </c:ser>
        <c:ser>
          <c:idx val="7"/>
          <c:order val="7"/>
          <c:tx>
            <c:strRef>
              <c:f>'G4_Workoff Burden'!$B$15</c:f>
              <c:strCache>
                <c:ptCount val="1"/>
                <c:pt idx="0">
                  <c:v>Future Baseline to Finish &amp; Finished (Early Finishes)</c:v>
                </c:pt>
              </c:strCache>
            </c:strRef>
          </c:tx>
          <c:spPr>
            <a:solidFill>
              <a:srgbClr val="92D050"/>
            </a:solidFill>
            <a:ln>
              <a:noFill/>
            </a:ln>
            <a:effectLst/>
          </c:spPr>
          <c:invertIfNegative val="0"/>
          <c:cat>
            <c:numRef>
              <c:f>'G4_Workoff Burden'!$C$7:$DB$7</c:f>
              <c:numCache>
                <c:formatCode>mmm\-yy</c:formatCode>
                <c:ptCount val="30"/>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pt idx="25">
                  <c:v>46113</c:v>
                </c:pt>
                <c:pt idx="26">
                  <c:v>46143</c:v>
                </c:pt>
                <c:pt idx="27">
                  <c:v>46174</c:v>
                </c:pt>
                <c:pt idx="28">
                  <c:v>46204</c:v>
                </c:pt>
                <c:pt idx="29">
                  <c:v>46235</c:v>
                </c:pt>
              </c:numCache>
            </c:numRef>
          </c:cat>
          <c:val>
            <c:numRef>
              <c:f>'G4_Workoff Burden'!$C$15:$DB$15</c:f>
              <c:numCache>
                <c:formatCode>General</c:formatCode>
                <c:ptCount val="30"/>
                <c:pt idx="0">
                  <c:v>9</c:v>
                </c:pt>
                <c:pt idx="1">
                  <c:v>10</c:v>
                </c:pt>
                <c:pt idx="2">
                  <c:v>3</c:v>
                </c:pt>
                <c:pt idx="3">
                  <c:v>4</c:v>
                </c:pt>
                <c:pt idx="4">
                  <c:v>3</c:v>
                </c:pt>
                <c:pt idx="5">
                  <c:v>2</c:v>
                </c:pt>
                <c:pt idx="6">
                  <c:v>1</c:v>
                </c:pt>
                <c:pt idx="7">
                  <c:v>1</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06E9-4860-ADA7-9F54CB9F7501}"/>
            </c:ext>
          </c:extLst>
        </c:ser>
        <c:ser>
          <c:idx val="8"/>
          <c:order val="8"/>
          <c:tx>
            <c:strRef>
              <c:f>'G4_Workoff Burden'!$B$16</c:f>
              <c:strCache>
                <c:ptCount val="1"/>
                <c:pt idx="0">
                  <c:v>Past Baseline to Finish &amp; Finished (Workoff Burden)</c:v>
                </c:pt>
              </c:strCache>
            </c:strRef>
          </c:tx>
          <c:spPr>
            <a:solidFill>
              <a:srgbClr val="E26714"/>
            </a:solidFill>
            <a:ln>
              <a:noFill/>
            </a:ln>
            <a:effectLst/>
          </c:spPr>
          <c:invertIfNegative val="0"/>
          <c:dLbls>
            <c:dLbl>
              <c:idx val="12"/>
              <c:delete val="1"/>
              <c:extLst>
                <c:ext xmlns:c15="http://schemas.microsoft.com/office/drawing/2012/chart" uri="{CE6537A1-D6FC-4f65-9D91-7224C49458BB}"/>
                <c:ext xmlns:c16="http://schemas.microsoft.com/office/drawing/2014/chart" uri="{C3380CC4-5D6E-409C-BE32-E72D297353CC}">
                  <c16:uniqueId val="{00000002-06E9-4860-ADA7-9F54CB9F7501}"/>
                </c:ext>
              </c:extLst>
            </c:dLbl>
            <c:dLbl>
              <c:idx val="13"/>
              <c:delete val="1"/>
              <c:extLst>
                <c:ext xmlns:c15="http://schemas.microsoft.com/office/drawing/2012/chart" uri="{CE6537A1-D6FC-4f65-9D91-7224C49458BB}"/>
                <c:ext xmlns:c16="http://schemas.microsoft.com/office/drawing/2014/chart" uri="{C3380CC4-5D6E-409C-BE32-E72D297353CC}">
                  <c16:uniqueId val="{00000003-06E9-4860-ADA7-9F54CB9F7501}"/>
                </c:ext>
              </c:extLst>
            </c:dLbl>
            <c:dLbl>
              <c:idx val="14"/>
              <c:delete val="1"/>
              <c:extLst>
                <c:ext xmlns:c15="http://schemas.microsoft.com/office/drawing/2012/chart" uri="{CE6537A1-D6FC-4f65-9D91-7224C49458BB}"/>
                <c:ext xmlns:c16="http://schemas.microsoft.com/office/drawing/2014/chart" uri="{C3380CC4-5D6E-409C-BE32-E72D297353CC}">
                  <c16:uniqueId val="{00000004-06E9-4860-ADA7-9F54CB9F7501}"/>
                </c:ext>
              </c:extLst>
            </c:dLbl>
            <c:dLbl>
              <c:idx val="15"/>
              <c:delete val="1"/>
              <c:extLst>
                <c:ext xmlns:c15="http://schemas.microsoft.com/office/drawing/2012/chart" uri="{CE6537A1-D6FC-4f65-9D91-7224C49458BB}"/>
                <c:ext xmlns:c16="http://schemas.microsoft.com/office/drawing/2014/chart" uri="{C3380CC4-5D6E-409C-BE32-E72D297353CC}">
                  <c16:uniqueId val="{00000005-06E9-4860-ADA7-9F54CB9F7501}"/>
                </c:ext>
              </c:extLst>
            </c:dLbl>
            <c:dLbl>
              <c:idx val="16"/>
              <c:delete val="1"/>
              <c:extLst>
                <c:ext xmlns:c15="http://schemas.microsoft.com/office/drawing/2012/chart" uri="{CE6537A1-D6FC-4f65-9D91-7224C49458BB}"/>
                <c:ext xmlns:c16="http://schemas.microsoft.com/office/drawing/2014/chart" uri="{C3380CC4-5D6E-409C-BE32-E72D297353CC}">
                  <c16:uniqueId val="{00000006-06E9-4860-ADA7-9F54CB9F7501}"/>
                </c:ext>
              </c:extLst>
            </c:dLbl>
            <c:dLbl>
              <c:idx val="17"/>
              <c:delete val="1"/>
              <c:extLst>
                <c:ext xmlns:c15="http://schemas.microsoft.com/office/drawing/2012/chart" uri="{CE6537A1-D6FC-4f65-9D91-7224C49458BB}"/>
                <c:ext xmlns:c16="http://schemas.microsoft.com/office/drawing/2014/chart" uri="{C3380CC4-5D6E-409C-BE32-E72D297353CC}">
                  <c16:uniqueId val="{00000007-06E9-4860-ADA7-9F54CB9F7501}"/>
                </c:ext>
              </c:extLst>
            </c:dLbl>
            <c:dLbl>
              <c:idx val="18"/>
              <c:delete val="1"/>
              <c:extLst>
                <c:ext xmlns:c15="http://schemas.microsoft.com/office/drawing/2012/chart" uri="{CE6537A1-D6FC-4f65-9D91-7224C49458BB}"/>
                <c:ext xmlns:c16="http://schemas.microsoft.com/office/drawing/2014/chart" uri="{C3380CC4-5D6E-409C-BE32-E72D297353CC}">
                  <c16:uniqueId val="{00000008-06E9-4860-ADA7-9F54CB9F7501}"/>
                </c:ext>
              </c:extLst>
            </c:dLbl>
            <c:dLbl>
              <c:idx val="19"/>
              <c:delete val="1"/>
              <c:extLst>
                <c:ext xmlns:c15="http://schemas.microsoft.com/office/drawing/2012/chart" uri="{CE6537A1-D6FC-4f65-9D91-7224C49458BB}"/>
                <c:ext xmlns:c16="http://schemas.microsoft.com/office/drawing/2014/chart" uri="{C3380CC4-5D6E-409C-BE32-E72D297353CC}">
                  <c16:uniqueId val="{00000009-06E9-4860-ADA7-9F54CB9F7501}"/>
                </c:ext>
              </c:extLst>
            </c:dLbl>
            <c:dLbl>
              <c:idx val="20"/>
              <c:delete val="1"/>
              <c:extLst>
                <c:ext xmlns:c15="http://schemas.microsoft.com/office/drawing/2012/chart" uri="{CE6537A1-D6FC-4f65-9D91-7224C49458BB}"/>
                <c:ext xmlns:c16="http://schemas.microsoft.com/office/drawing/2014/chart" uri="{C3380CC4-5D6E-409C-BE32-E72D297353CC}">
                  <c16:uniqueId val="{0000000A-06E9-4860-ADA7-9F54CB9F7501}"/>
                </c:ext>
              </c:extLst>
            </c:dLbl>
            <c:dLbl>
              <c:idx val="21"/>
              <c:delete val="1"/>
              <c:extLst>
                <c:ext xmlns:c15="http://schemas.microsoft.com/office/drawing/2012/chart" uri="{CE6537A1-D6FC-4f65-9D91-7224C49458BB}"/>
                <c:ext xmlns:c16="http://schemas.microsoft.com/office/drawing/2014/chart" uri="{C3380CC4-5D6E-409C-BE32-E72D297353CC}">
                  <c16:uniqueId val="{0000000B-06E9-4860-ADA7-9F54CB9F7501}"/>
                </c:ext>
              </c:extLst>
            </c:dLbl>
            <c:dLbl>
              <c:idx val="22"/>
              <c:delete val="1"/>
              <c:extLst>
                <c:ext xmlns:c15="http://schemas.microsoft.com/office/drawing/2012/chart" uri="{CE6537A1-D6FC-4f65-9D91-7224C49458BB}"/>
                <c:ext xmlns:c16="http://schemas.microsoft.com/office/drawing/2014/chart" uri="{C3380CC4-5D6E-409C-BE32-E72D297353CC}">
                  <c16:uniqueId val="{0000000C-06E9-4860-ADA7-9F54CB9F7501}"/>
                </c:ext>
              </c:extLst>
            </c:dLbl>
            <c:dLbl>
              <c:idx val="23"/>
              <c:delete val="1"/>
              <c:extLst>
                <c:ext xmlns:c15="http://schemas.microsoft.com/office/drawing/2012/chart" uri="{CE6537A1-D6FC-4f65-9D91-7224C49458BB}"/>
                <c:ext xmlns:c16="http://schemas.microsoft.com/office/drawing/2014/chart" uri="{C3380CC4-5D6E-409C-BE32-E72D297353CC}">
                  <c16:uniqueId val="{0000000D-06E9-4860-ADA7-9F54CB9F7501}"/>
                </c:ext>
              </c:extLst>
            </c:dLbl>
            <c:dLbl>
              <c:idx val="24"/>
              <c:delete val="1"/>
              <c:extLst>
                <c:ext xmlns:c15="http://schemas.microsoft.com/office/drawing/2012/chart" uri="{CE6537A1-D6FC-4f65-9D91-7224C49458BB}"/>
                <c:ext xmlns:c16="http://schemas.microsoft.com/office/drawing/2014/chart" uri="{C3380CC4-5D6E-409C-BE32-E72D297353CC}">
                  <c16:uniqueId val="{0000000E-06E9-4860-ADA7-9F54CB9F7501}"/>
                </c:ext>
              </c:extLst>
            </c:dLbl>
            <c:dLbl>
              <c:idx val="25"/>
              <c:delete val="1"/>
              <c:extLst>
                <c:ext xmlns:c15="http://schemas.microsoft.com/office/drawing/2012/chart" uri="{CE6537A1-D6FC-4f65-9D91-7224C49458BB}"/>
                <c:ext xmlns:c16="http://schemas.microsoft.com/office/drawing/2014/chart" uri="{C3380CC4-5D6E-409C-BE32-E72D297353CC}">
                  <c16:uniqueId val="{0000000F-06E9-4860-ADA7-9F54CB9F7501}"/>
                </c:ext>
              </c:extLst>
            </c:dLbl>
            <c:dLbl>
              <c:idx val="26"/>
              <c:delete val="1"/>
              <c:extLst>
                <c:ext xmlns:c15="http://schemas.microsoft.com/office/drawing/2012/chart" uri="{CE6537A1-D6FC-4f65-9D91-7224C49458BB}"/>
                <c:ext xmlns:c16="http://schemas.microsoft.com/office/drawing/2014/chart" uri="{C3380CC4-5D6E-409C-BE32-E72D297353CC}">
                  <c16:uniqueId val="{00000010-06E9-4860-ADA7-9F54CB9F7501}"/>
                </c:ext>
              </c:extLst>
            </c:dLbl>
            <c:dLbl>
              <c:idx val="27"/>
              <c:delete val="1"/>
              <c:extLst>
                <c:ext xmlns:c15="http://schemas.microsoft.com/office/drawing/2012/chart" uri="{CE6537A1-D6FC-4f65-9D91-7224C49458BB}"/>
                <c:ext xmlns:c16="http://schemas.microsoft.com/office/drawing/2014/chart" uri="{C3380CC4-5D6E-409C-BE32-E72D297353CC}">
                  <c16:uniqueId val="{00000011-06E9-4860-ADA7-9F54CB9F7501}"/>
                </c:ext>
              </c:extLst>
            </c:dLbl>
            <c:dLbl>
              <c:idx val="28"/>
              <c:delete val="1"/>
              <c:extLst>
                <c:ext xmlns:c15="http://schemas.microsoft.com/office/drawing/2012/chart" uri="{CE6537A1-D6FC-4f65-9D91-7224C49458BB}"/>
                <c:ext xmlns:c16="http://schemas.microsoft.com/office/drawing/2014/chart" uri="{C3380CC4-5D6E-409C-BE32-E72D297353CC}">
                  <c16:uniqueId val="{00000012-06E9-4860-ADA7-9F54CB9F7501}"/>
                </c:ext>
              </c:extLst>
            </c:dLbl>
            <c:dLbl>
              <c:idx val="29"/>
              <c:delete val="1"/>
              <c:extLst>
                <c:ext xmlns:c15="http://schemas.microsoft.com/office/drawing/2012/chart" uri="{CE6537A1-D6FC-4f65-9D91-7224C49458BB}"/>
                <c:ext xmlns:c16="http://schemas.microsoft.com/office/drawing/2014/chart" uri="{C3380CC4-5D6E-409C-BE32-E72D297353CC}">
                  <c16:uniqueId val="{00000013-06E9-4860-ADA7-9F54CB9F750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'G4_Workoff Burden'!$C$7:$DB$7</c:f>
              <c:numCache>
                <c:formatCode>mmm\-yy</c:formatCode>
                <c:ptCount val="30"/>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pt idx="25">
                  <c:v>46113</c:v>
                </c:pt>
                <c:pt idx="26">
                  <c:v>46143</c:v>
                </c:pt>
                <c:pt idx="27">
                  <c:v>46174</c:v>
                </c:pt>
                <c:pt idx="28">
                  <c:v>46204</c:v>
                </c:pt>
                <c:pt idx="29">
                  <c:v>46235</c:v>
                </c:pt>
              </c:numCache>
            </c:numRef>
          </c:cat>
          <c:val>
            <c:numRef>
              <c:f>'G4_Workoff Burden'!$C$16:$DB$16</c:f>
              <c:numCache>
                <c:formatCode>General</c:formatCode>
                <c:ptCount val="30"/>
                <c:pt idx="0">
                  <c:v>37</c:v>
                </c:pt>
                <c:pt idx="1">
                  <c:v>34</c:v>
                </c:pt>
                <c:pt idx="2">
                  <c:v>21</c:v>
                </c:pt>
                <c:pt idx="3">
                  <c:v>31</c:v>
                </c:pt>
                <c:pt idx="4">
                  <c:v>31</c:v>
                </c:pt>
                <c:pt idx="5">
                  <c:v>41</c:v>
                </c:pt>
                <c:pt idx="6">
                  <c:v>28</c:v>
                </c:pt>
                <c:pt idx="7">
                  <c:v>27</c:v>
                </c:pt>
                <c:pt idx="8">
                  <c:v>29</c:v>
                </c:pt>
                <c:pt idx="9">
                  <c:v>59</c:v>
                </c:pt>
                <c:pt idx="10">
                  <c:v>46</c:v>
                </c:pt>
                <c:pt idx="11">
                  <c:v>30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14-06E9-4860-ADA7-9F54CB9F7501}"/>
            </c:ext>
          </c:extLst>
        </c:ser>
        <c:ser>
          <c:idx val="9"/>
          <c:order val="9"/>
          <c:tx>
            <c:strRef>
              <c:f>'G4_Workoff Burden'!$B$17</c:f>
              <c:strCache>
                <c:ptCount val="1"/>
                <c:pt idx="0">
                  <c:v>Past Baseline to Finish &amp; Not Finished (Workoff Burden)</c:v>
                </c:pt>
              </c:strCache>
            </c:strRef>
          </c:tx>
          <c:spPr>
            <a:solidFill>
              <a:schemeClr val="accent4"/>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15-06E9-4860-ADA7-9F54CB9F7501}"/>
                </c:ext>
              </c:extLst>
            </c:dLbl>
            <c:dLbl>
              <c:idx val="1"/>
              <c:delete val="1"/>
              <c:extLst>
                <c:ext xmlns:c15="http://schemas.microsoft.com/office/drawing/2012/chart" uri="{CE6537A1-D6FC-4f65-9D91-7224C49458BB}"/>
                <c:ext xmlns:c16="http://schemas.microsoft.com/office/drawing/2014/chart" uri="{C3380CC4-5D6E-409C-BE32-E72D297353CC}">
                  <c16:uniqueId val="{00000016-06E9-4860-ADA7-9F54CB9F7501}"/>
                </c:ext>
              </c:extLst>
            </c:dLbl>
            <c:dLbl>
              <c:idx val="2"/>
              <c:delete val="1"/>
              <c:extLst>
                <c:ext xmlns:c15="http://schemas.microsoft.com/office/drawing/2012/chart" uri="{CE6537A1-D6FC-4f65-9D91-7224C49458BB}"/>
                <c:ext xmlns:c16="http://schemas.microsoft.com/office/drawing/2014/chart" uri="{C3380CC4-5D6E-409C-BE32-E72D297353CC}">
                  <c16:uniqueId val="{00000017-06E9-4860-ADA7-9F54CB9F7501}"/>
                </c:ext>
              </c:extLst>
            </c:dLbl>
            <c:dLbl>
              <c:idx val="3"/>
              <c:delete val="1"/>
              <c:extLst>
                <c:ext xmlns:c15="http://schemas.microsoft.com/office/drawing/2012/chart" uri="{CE6537A1-D6FC-4f65-9D91-7224C49458BB}"/>
                <c:ext xmlns:c16="http://schemas.microsoft.com/office/drawing/2014/chart" uri="{C3380CC4-5D6E-409C-BE32-E72D297353CC}">
                  <c16:uniqueId val="{00000018-06E9-4860-ADA7-9F54CB9F7501}"/>
                </c:ext>
              </c:extLst>
            </c:dLbl>
            <c:dLbl>
              <c:idx val="4"/>
              <c:delete val="1"/>
              <c:extLst>
                <c:ext xmlns:c15="http://schemas.microsoft.com/office/drawing/2012/chart" uri="{CE6537A1-D6FC-4f65-9D91-7224C49458BB}"/>
                <c:ext xmlns:c16="http://schemas.microsoft.com/office/drawing/2014/chart" uri="{C3380CC4-5D6E-409C-BE32-E72D297353CC}">
                  <c16:uniqueId val="{00000019-06E9-4860-ADA7-9F54CB9F7501}"/>
                </c:ext>
              </c:extLst>
            </c:dLbl>
            <c:dLbl>
              <c:idx val="5"/>
              <c:delete val="1"/>
              <c:extLst>
                <c:ext xmlns:c15="http://schemas.microsoft.com/office/drawing/2012/chart" uri="{CE6537A1-D6FC-4f65-9D91-7224C49458BB}"/>
                <c:ext xmlns:c16="http://schemas.microsoft.com/office/drawing/2014/chart" uri="{C3380CC4-5D6E-409C-BE32-E72D297353CC}">
                  <c16:uniqueId val="{0000001A-06E9-4860-ADA7-9F54CB9F7501}"/>
                </c:ext>
              </c:extLst>
            </c:dLbl>
            <c:dLbl>
              <c:idx val="6"/>
              <c:delete val="1"/>
              <c:extLst>
                <c:ext xmlns:c15="http://schemas.microsoft.com/office/drawing/2012/chart" uri="{CE6537A1-D6FC-4f65-9D91-7224C49458BB}"/>
                <c:ext xmlns:c16="http://schemas.microsoft.com/office/drawing/2014/chart" uri="{C3380CC4-5D6E-409C-BE32-E72D297353CC}">
                  <c16:uniqueId val="{0000001B-06E9-4860-ADA7-9F54CB9F7501}"/>
                </c:ext>
              </c:extLst>
            </c:dLbl>
            <c:dLbl>
              <c:idx val="7"/>
              <c:delete val="1"/>
              <c:extLst>
                <c:ext xmlns:c15="http://schemas.microsoft.com/office/drawing/2012/chart" uri="{CE6537A1-D6FC-4f65-9D91-7224C49458BB}"/>
                <c:ext xmlns:c16="http://schemas.microsoft.com/office/drawing/2014/chart" uri="{C3380CC4-5D6E-409C-BE32-E72D297353CC}">
                  <c16:uniqueId val="{0000001C-06E9-4860-ADA7-9F54CB9F7501}"/>
                </c:ext>
              </c:extLst>
            </c:dLbl>
            <c:dLbl>
              <c:idx val="8"/>
              <c:delete val="1"/>
              <c:extLst>
                <c:ext xmlns:c15="http://schemas.microsoft.com/office/drawing/2012/chart" uri="{CE6537A1-D6FC-4f65-9D91-7224C49458BB}"/>
                <c:ext xmlns:c16="http://schemas.microsoft.com/office/drawing/2014/chart" uri="{C3380CC4-5D6E-409C-BE32-E72D297353CC}">
                  <c16:uniqueId val="{0000001D-06E9-4860-ADA7-9F54CB9F7501}"/>
                </c:ext>
              </c:extLst>
            </c:dLbl>
            <c:dLbl>
              <c:idx val="9"/>
              <c:delete val="1"/>
              <c:extLst>
                <c:ext xmlns:c15="http://schemas.microsoft.com/office/drawing/2012/chart" uri="{CE6537A1-D6FC-4f65-9D91-7224C49458BB}"/>
                <c:ext xmlns:c16="http://schemas.microsoft.com/office/drawing/2014/chart" uri="{C3380CC4-5D6E-409C-BE32-E72D297353CC}">
                  <c16:uniqueId val="{0000001E-06E9-4860-ADA7-9F54CB9F7501}"/>
                </c:ext>
              </c:extLst>
            </c:dLbl>
            <c:dLbl>
              <c:idx val="10"/>
              <c:delete val="1"/>
              <c:extLst>
                <c:ext xmlns:c15="http://schemas.microsoft.com/office/drawing/2012/chart" uri="{CE6537A1-D6FC-4f65-9D91-7224C49458BB}"/>
                <c:ext xmlns:c16="http://schemas.microsoft.com/office/drawing/2014/chart" uri="{C3380CC4-5D6E-409C-BE32-E72D297353CC}">
                  <c16:uniqueId val="{0000001F-06E9-4860-ADA7-9F54CB9F7501}"/>
                </c:ext>
              </c:extLst>
            </c:dLbl>
            <c:dLbl>
              <c:idx val="25"/>
              <c:delete val="1"/>
              <c:extLst>
                <c:ext xmlns:c15="http://schemas.microsoft.com/office/drawing/2012/chart" uri="{CE6537A1-D6FC-4f65-9D91-7224C49458BB}"/>
                <c:ext xmlns:c16="http://schemas.microsoft.com/office/drawing/2014/chart" uri="{C3380CC4-5D6E-409C-BE32-E72D297353CC}">
                  <c16:uniqueId val="{00000020-06E9-4860-ADA7-9F54CB9F7501}"/>
                </c:ext>
              </c:extLst>
            </c:dLbl>
            <c:dLbl>
              <c:idx val="27"/>
              <c:delete val="1"/>
              <c:extLst>
                <c:ext xmlns:c15="http://schemas.microsoft.com/office/drawing/2012/chart" uri="{CE6537A1-D6FC-4f65-9D91-7224C49458BB}"/>
                <c:ext xmlns:c16="http://schemas.microsoft.com/office/drawing/2014/chart" uri="{C3380CC4-5D6E-409C-BE32-E72D297353CC}">
                  <c16:uniqueId val="{00000021-06E9-4860-ADA7-9F54CB9F7501}"/>
                </c:ext>
              </c:extLst>
            </c:dLbl>
            <c:dLbl>
              <c:idx val="28"/>
              <c:delete val="1"/>
              <c:extLst>
                <c:ext xmlns:c15="http://schemas.microsoft.com/office/drawing/2012/chart" uri="{CE6537A1-D6FC-4f65-9D91-7224C49458BB}"/>
                <c:ext xmlns:c16="http://schemas.microsoft.com/office/drawing/2014/chart" uri="{C3380CC4-5D6E-409C-BE32-E72D297353CC}">
                  <c16:uniqueId val="{00000022-06E9-4860-ADA7-9F54CB9F7501}"/>
                </c:ext>
              </c:extLst>
            </c:dLbl>
            <c:dLbl>
              <c:idx val="29"/>
              <c:delete val="1"/>
              <c:extLst>
                <c:ext xmlns:c15="http://schemas.microsoft.com/office/drawing/2012/chart" uri="{CE6537A1-D6FC-4f65-9D91-7224C49458BB}"/>
                <c:ext xmlns:c16="http://schemas.microsoft.com/office/drawing/2014/chart" uri="{C3380CC4-5D6E-409C-BE32-E72D297353CC}">
                  <c16:uniqueId val="{00000023-06E9-4860-ADA7-9F54CB9F750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'G4_Workoff Burden'!$C$7:$DB$7</c:f>
              <c:numCache>
                <c:formatCode>mmm\-yy</c:formatCode>
                <c:ptCount val="30"/>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pt idx="25">
                  <c:v>46113</c:v>
                </c:pt>
                <c:pt idx="26">
                  <c:v>46143</c:v>
                </c:pt>
                <c:pt idx="27">
                  <c:v>46174</c:v>
                </c:pt>
                <c:pt idx="28">
                  <c:v>46204</c:v>
                </c:pt>
                <c:pt idx="29">
                  <c:v>46235</c:v>
                </c:pt>
              </c:numCache>
            </c:numRef>
          </c:cat>
          <c:val>
            <c:numRef>
              <c:f>'G4_Workoff Burden'!$C$17:$DB$17</c:f>
              <c:numCache>
                <c:formatCode>General</c:formatCode>
                <c:ptCount val="30"/>
                <c:pt idx="0">
                  <c:v>0</c:v>
                </c:pt>
                <c:pt idx="1">
                  <c:v>0</c:v>
                </c:pt>
                <c:pt idx="2">
                  <c:v>0</c:v>
                </c:pt>
                <c:pt idx="3">
                  <c:v>0</c:v>
                </c:pt>
                <c:pt idx="4">
                  <c:v>0</c:v>
                </c:pt>
                <c:pt idx="5">
                  <c:v>0</c:v>
                </c:pt>
                <c:pt idx="6">
                  <c:v>0</c:v>
                </c:pt>
                <c:pt idx="7">
                  <c:v>0</c:v>
                </c:pt>
                <c:pt idx="8">
                  <c:v>0</c:v>
                </c:pt>
                <c:pt idx="9">
                  <c:v>0</c:v>
                </c:pt>
                <c:pt idx="10">
                  <c:v>0</c:v>
                </c:pt>
                <c:pt idx="11">
                  <c:v>17</c:v>
                </c:pt>
                <c:pt idx="12">
                  <c:v>78</c:v>
                </c:pt>
                <c:pt idx="13">
                  <c:v>65</c:v>
                </c:pt>
                <c:pt idx="14">
                  <c:v>48</c:v>
                </c:pt>
                <c:pt idx="15">
                  <c:v>51</c:v>
                </c:pt>
                <c:pt idx="16">
                  <c:v>44</c:v>
                </c:pt>
                <c:pt idx="17">
                  <c:v>21</c:v>
                </c:pt>
                <c:pt idx="18">
                  <c:v>15</c:v>
                </c:pt>
                <c:pt idx="19">
                  <c:v>9</c:v>
                </c:pt>
                <c:pt idx="20">
                  <c:v>20</c:v>
                </c:pt>
                <c:pt idx="21">
                  <c:v>15</c:v>
                </c:pt>
                <c:pt idx="22">
                  <c:v>7</c:v>
                </c:pt>
                <c:pt idx="23">
                  <c:v>3</c:v>
                </c:pt>
                <c:pt idx="24">
                  <c:v>1</c:v>
                </c:pt>
                <c:pt idx="25">
                  <c:v>0</c:v>
                </c:pt>
                <c:pt idx="26">
                  <c:v>1</c:v>
                </c:pt>
                <c:pt idx="27">
                  <c:v>0</c:v>
                </c:pt>
                <c:pt idx="28">
                  <c:v>0</c:v>
                </c:pt>
                <c:pt idx="29">
                  <c:v>0</c:v>
                </c:pt>
              </c:numCache>
            </c:numRef>
          </c:val>
          <c:extLst>
            <c:ext xmlns:c16="http://schemas.microsoft.com/office/drawing/2014/chart" uri="{C3380CC4-5D6E-409C-BE32-E72D297353CC}">
              <c16:uniqueId val="{00000024-06E9-4860-ADA7-9F54CB9F7501}"/>
            </c:ext>
          </c:extLst>
        </c:ser>
        <c:ser>
          <c:idx val="10"/>
          <c:order val="10"/>
          <c:tx>
            <c:strRef>
              <c:f>'G4_Workoff Burden'!$B$18</c:f>
              <c:strCache>
                <c:ptCount val="1"/>
                <c:pt idx="0">
                  <c:v>Future Baseline to Finish &amp; Delayed (Workoff Burden)</c:v>
                </c:pt>
              </c:strCache>
            </c:strRef>
          </c:tx>
          <c:spPr>
            <a:solidFill>
              <a:schemeClr val="accent4">
                <a:lumMod val="40000"/>
                <a:lumOff val="60000"/>
              </a:schemeClr>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25-06E9-4860-ADA7-9F54CB9F7501}"/>
                </c:ext>
              </c:extLst>
            </c:dLbl>
            <c:dLbl>
              <c:idx val="1"/>
              <c:delete val="1"/>
              <c:extLst>
                <c:ext xmlns:c15="http://schemas.microsoft.com/office/drawing/2012/chart" uri="{CE6537A1-D6FC-4f65-9D91-7224C49458BB}"/>
                <c:ext xmlns:c16="http://schemas.microsoft.com/office/drawing/2014/chart" uri="{C3380CC4-5D6E-409C-BE32-E72D297353CC}">
                  <c16:uniqueId val="{00000026-06E9-4860-ADA7-9F54CB9F7501}"/>
                </c:ext>
              </c:extLst>
            </c:dLbl>
            <c:dLbl>
              <c:idx val="2"/>
              <c:delete val="1"/>
              <c:extLst>
                <c:ext xmlns:c15="http://schemas.microsoft.com/office/drawing/2012/chart" uri="{CE6537A1-D6FC-4f65-9D91-7224C49458BB}"/>
                <c:ext xmlns:c16="http://schemas.microsoft.com/office/drawing/2014/chart" uri="{C3380CC4-5D6E-409C-BE32-E72D297353CC}">
                  <c16:uniqueId val="{00000027-06E9-4860-ADA7-9F54CB9F7501}"/>
                </c:ext>
              </c:extLst>
            </c:dLbl>
            <c:dLbl>
              <c:idx val="3"/>
              <c:delete val="1"/>
              <c:extLst>
                <c:ext xmlns:c15="http://schemas.microsoft.com/office/drawing/2012/chart" uri="{CE6537A1-D6FC-4f65-9D91-7224C49458BB}"/>
                <c:ext xmlns:c16="http://schemas.microsoft.com/office/drawing/2014/chart" uri="{C3380CC4-5D6E-409C-BE32-E72D297353CC}">
                  <c16:uniqueId val="{00000028-06E9-4860-ADA7-9F54CB9F7501}"/>
                </c:ext>
              </c:extLst>
            </c:dLbl>
            <c:dLbl>
              <c:idx val="4"/>
              <c:delete val="1"/>
              <c:extLst>
                <c:ext xmlns:c15="http://schemas.microsoft.com/office/drawing/2012/chart" uri="{CE6537A1-D6FC-4f65-9D91-7224C49458BB}"/>
                <c:ext xmlns:c16="http://schemas.microsoft.com/office/drawing/2014/chart" uri="{C3380CC4-5D6E-409C-BE32-E72D297353CC}">
                  <c16:uniqueId val="{00000029-06E9-4860-ADA7-9F54CB9F7501}"/>
                </c:ext>
              </c:extLst>
            </c:dLbl>
            <c:dLbl>
              <c:idx val="5"/>
              <c:delete val="1"/>
              <c:extLst>
                <c:ext xmlns:c15="http://schemas.microsoft.com/office/drawing/2012/chart" uri="{CE6537A1-D6FC-4f65-9D91-7224C49458BB}"/>
                <c:ext xmlns:c16="http://schemas.microsoft.com/office/drawing/2014/chart" uri="{C3380CC4-5D6E-409C-BE32-E72D297353CC}">
                  <c16:uniqueId val="{0000002A-06E9-4860-ADA7-9F54CB9F7501}"/>
                </c:ext>
              </c:extLst>
            </c:dLbl>
            <c:dLbl>
              <c:idx val="6"/>
              <c:delete val="1"/>
              <c:extLst>
                <c:ext xmlns:c15="http://schemas.microsoft.com/office/drawing/2012/chart" uri="{CE6537A1-D6FC-4f65-9D91-7224C49458BB}"/>
                <c:ext xmlns:c16="http://schemas.microsoft.com/office/drawing/2014/chart" uri="{C3380CC4-5D6E-409C-BE32-E72D297353CC}">
                  <c16:uniqueId val="{0000002B-06E9-4860-ADA7-9F54CB9F7501}"/>
                </c:ext>
              </c:extLst>
            </c:dLbl>
            <c:dLbl>
              <c:idx val="7"/>
              <c:delete val="1"/>
              <c:extLst>
                <c:ext xmlns:c15="http://schemas.microsoft.com/office/drawing/2012/chart" uri="{CE6537A1-D6FC-4f65-9D91-7224C49458BB}"/>
                <c:ext xmlns:c16="http://schemas.microsoft.com/office/drawing/2014/chart" uri="{C3380CC4-5D6E-409C-BE32-E72D297353CC}">
                  <c16:uniqueId val="{0000002C-06E9-4860-ADA7-9F54CB9F7501}"/>
                </c:ext>
              </c:extLst>
            </c:dLbl>
            <c:dLbl>
              <c:idx val="8"/>
              <c:delete val="1"/>
              <c:extLst>
                <c:ext xmlns:c15="http://schemas.microsoft.com/office/drawing/2012/chart" uri="{CE6537A1-D6FC-4f65-9D91-7224C49458BB}"/>
                <c:ext xmlns:c16="http://schemas.microsoft.com/office/drawing/2014/chart" uri="{C3380CC4-5D6E-409C-BE32-E72D297353CC}">
                  <c16:uniqueId val="{0000002D-06E9-4860-ADA7-9F54CB9F7501}"/>
                </c:ext>
              </c:extLst>
            </c:dLbl>
            <c:dLbl>
              <c:idx val="9"/>
              <c:delete val="1"/>
              <c:extLst>
                <c:ext xmlns:c15="http://schemas.microsoft.com/office/drawing/2012/chart" uri="{CE6537A1-D6FC-4f65-9D91-7224C49458BB}"/>
                <c:ext xmlns:c16="http://schemas.microsoft.com/office/drawing/2014/chart" uri="{C3380CC4-5D6E-409C-BE32-E72D297353CC}">
                  <c16:uniqueId val="{0000002E-06E9-4860-ADA7-9F54CB9F7501}"/>
                </c:ext>
              </c:extLst>
            </c:dLbl>
            <c:dLbl>
              <c:idx val="10"/>
              <c:delete val="1"/>
              <c:extLst>
                <c:ext xmlns:c15="http://schemas.microsoft.com/office/drawing/2012/chart" uri="{CE6537A1-D6FC-4f65-9D91-7224C49458BB}"/>
                <c:ext xmlns:c16="http://schemas.microsoft.com/office/drawing/2014/chart" uri="{C3380CC4-5D6E-409C-BE32-E72D297353CC}">
                  <c16:uniqueId val="{0000002F-06E9-4860-ADA7-9F54CB9F7501}"/>
                </c:ext>
              </c:extLst>
            </c:dLbl>
            <c:dLbl>
              <c:idx val="11"/>
              <c:delete val="1"/>
              <c:extLst>
                <c:ext xmlns:c15="http://schemas.microsoft.com/office/drawing/2012/chart" uri="{CE6537A1-D6FC-4f65-9D91-7224C49458BB}"/>
                <c:ext xmlns:c16="http://schemas.microsoft.com/office/drawing/2014/chart" uri="{C3380CC4-5D6E-409C-BE32-E72D297353CC}">
                  <c16:uniqueId val="{00000030-06E9-4860-ADA7-9F54CB9F7501}"/>
                </c:ext>
              </c:extLst>
            </c:dLbl>
            <c:dLbl>
              <c:idx val="26"/>
              <c:delete val="1"/>
              <c:extLst>
                <c:ext xmlns:c15="http://schemas.microsoft.com/office/drawing/2012/chart" uri="{CE6537A1-D6FC-4f65-9D91-7224C49458BB}"/>
                <c:ext xmlns:c16="http://schemas.microsoft.com/office/drawing/2014/chart" uri="{C3380CC4-5D6E-409C-BE32-E72D297353CC}">
                  <c16:uniqueId val="{00000031-06E9-4860-ADA7-9F54CB9F7501}"/>
                </c:ext>
              </c:extLst>
            </c:dLbl>
            <c:dLbl>
              <c:idx val="27"/>
              <c:delete val="1"/>
              <c:extLst>
                <c:ext xmlns:c15="http://schemas.microsoft.com/office/drawing/2012/chart" uri="{CE6537A1-D6FC-4f65-9D91-7224C49458BB}"/>
                <c:ext xmlns:c16="http://schemas.microsoft.com/office/drawing/2014/chart" uri="{C3380CC4-5D6E-409C-BE32-E72D297353CC}">
                  <c16:uniqueId val="{00000032-06E9-4860-ADA7-9F54CB9F750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'G4_Workoff Burden'!$C$7:$DB$7</c:f>
              <c:numCache>
                <c:formatCode>mmm\-yy</c:formatCode>
                <c:ptCount val="30"/>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pt idx="25">
                  <c:v>46113</c:v>
                </c:pt>
                <c:pt idx="26">
                  <c:v>46143</c:v>
                </c:pt>
                <c:pt idx="27">
                  <c:v>46174</c:v>
                </c:pt>
                <c:pt idx="28">
                  <c:v>46204</c:v>
                </c:pt>
                <c:pt idx="29">
                  <c:v>46235</c:v>
                </c:pt>
              </c:numCache>
            </c:numRef>
          </c:cat>
          <c:val>
            <c:numRef>
              <c:f>'G4_Workoff Burden'!$C$18:$DB$18</c:f>
              <c:numCache>
                <c:formatCode>General</c:formatCode>
                <c:ptCount val="30"/>
                <c:pt idx="0">
                  <c:v>0</c:v>
                </c:pt>
                <c:pt idx="1">
                  <c:v>0</c:v>
                </c:pt>
                <c:pt idx="2">
                  <c:v>0</c:v>
                </c:pt>
                <c:pt idx="3">
                  <c:v>0</c:v>
                </c:pt>
                <c:pt idx="4">
                  <c:v>0</c:v>
                </c:pt>
                <c:pt idx="5">
                  <c:v>0</c:v>
                </c:pt>
                <c:pt idx="6">
                  <c:v>0</c:v>
                </c:pt>
                <c:pt idx="7">
                  <c:v>0</c:v>
                </c:pt>
                <c:pt idx="8">
                  <c:v>0</c:v>
                </c:pt>
                <c:pt idx="9">
                  <c:v>0</c:v>
                </c:pt>
                <c:pt idx="10">
                  <c:v>0</c:v>
                </c:pt>
                <c:pt idx="11">
                  <c:v>0</c:v>
                </c:pt>
                <c:pt idx="12">
                  <c:v>2</c:v>
                </c:pt>
                <c:pt idx="13">
                  <c:v>1</c:v>
                </c:pt>
                <c:pt idx="14">
                  <c:v>2</c:v>
                </c:pt>
                <c:pt idx="15">
                  <c:v>8</c:v>
                </c:pt>
                <c:pt idx="16">
                  <c:v>18</c:v>
                </c:pt>
                <c:pt idx="17">
                  <c:v>5</c:v>
                </c:pt>
                <c:pt idx="18">
                  <c:v>6</c:v>
                </c:pt>
                <c:pt idx="19">
                  <c:v>15</c:v>
                </c:pt>
                <c:pt idx="20">
                  <c:v>7</c:v>
                </c:pt>
                <c:pt idx="21">
                  <c:v>5</c:v>
                </c:pt>
                <c:pt idx="22">
                  <c:v>10</c:v>
                </c:pt>
                <c:pt idx="23">
                  <c:v>6</c:v>
                </c:pt>
                <c:pt idx="24">
                  <c:v>1</c:v>
                </c:pt>
                <c:pt idx="25">
                  <c:v>5</c:v>
                </c:pt>
                <c:pt idx="26">
                  <c:v>0</c:v>
                </c:pt>
                <c:pt idx="27">
                  <c:v>0</c:v>
                </c:pt>
                <c:pt idx="28">
                  <c:v>2</c:v>
                </c:pt>
                <c:pt idx="29">
                  <c:v>1</c:v>
                </c:pt>
              </c:numCache>
            </c:numRef>
          </c:val>
          <c:extLst>
            <c:ext xmlns:c16="http://schemas.microsoft.com/office/drawing/2014/chart" uri="{C3380CC4-5D6E-409C-BE32-E72D297353CC}">
              <c16:uniqueId val="{00000033-06E9-4860-ADA7-9F54CB9F7501}"/>
            </c:ext>
          </c:extLst>
        </c:ser>
        <c:ser>
          <c:idx val="13"/>
          <c:order val="11"/>
          <c:tx>
            <c:strRef>
              <c:f>'G4_Workoff Burden'!$B$21</c:f>
              <c:strCache>
                <c:ptCount val="1"/>
                <c:pt idx="0">
                  <c:v>Current Baseline to Finish &amp; Not Finished (Incompletes)</c:v>
                </c:pt>
              </c:strCache>
            </c:strRef>
          </c:tx>
          <c:spPr>
            <a:noFill/>
            <a:ln>
              <a:solidFill>
                <a:schemeClr val="accent1">
                  <a:lumMod val="50000"/>
                </a:schemeClr>
              </a:solidFill>
              <a:prstDash val="dash"/>
            </a:ln>
            <a:effectLst/>
          </c:spPr>
          <c:invertIfNegative val="0"/>
          <c:cat>
            <c:numRef>
              <c:f>'G4_Workoff Burden'!$C$7:$DB$7</c:f>
              <c:numCache>
                <c:formatCode>mmm\-yy</c:formatCode>
                <c:ptCount val="30"/>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pt idx="25">
                  <c:v>46113</c:v>
                </c:pt>
                <c:pt idx="26">
                  <c:v>46143</c:v>
                </c:pt>
                <c:pt idx="27">
                  <c:v>46174</c:v>
                </c:pt>
                <c:pt idx="28">
                  <c:v>46204</c:v>
                </c:pt>
                <c:pt idx="29">
                  <c:v>46235</c:v>
                </c:pt>
              </c:numCache>
            </c:numRef>
          </c:cat>
          <c:val>
            <c:numRef>
              <c:f>'G4_Workoff Burden'!$C$21:$DB$21</c:f>
              <c:numCache>
                <c:formatCode>General</c:formatCode>
                <c:ptCount val="30"/>
                <c:pt idx="0">
                  <c:v>-13</c:v>
                </c:pt>
                <c:pt idx="1">
                  <c:v>-11</c:v>
                </c:pt>
                <c:pt idx="2">
                  <c:v>-9</c:v>
                </c:pt>
                <c:pt idx="3">
                  <c:v>-19</c:v>
                </c:pt>
                <c:pt idx="4">
                  <c:v>-28</c:v>
                </c:pt>
                <c:pt idx="5">
                  <c:v>-31</c:v>
                </c:pt>
                <c:pt idx="6">
                  <c:v>-27</c:v>
                </c:pt>
                <c:pt idx="7">
                  <c:v>-71</c:v>
                </c:pt>
                <c:pt idx="8">
                  <c:v>-38</c:v>
                </c:pt>
                <c:pt idx="9">
                  <c:v>-43</c:v>
                </c:pt>
                <c:pt idx="10">
                  <c:v>-36</c:v>
                </c:pt>
                <c:pt idx="11">
                  <c:v>-16</c:v>
                </c:pt>
                <c:pt idx="12">
                  <c:v>-29</c:v>
                </c:pt>
                <c:pt idx="13">
                  <c:v>-25</c:v>
                </c:pt>
                <c:pt idx="14">
                  <c:v>-12</c:v>
                </c:pt>
                <c:pt idx="15">
                  <c:v>-8</c:v>
                </c:pt>
                <c:pt idx="16">
                  <c:v>-2</c:v>
                </c:pt>
                <c:pt idx="17">
                  <c:v>-1</c:v>
                </c:pt>
                <c:pt idx="18">
                  <c:v>-2</c:v>
                </c:pt>
                <c:pt idx="19">
                  <c:v>-1</c:v>
                </c:pt>
                <c:pt idx="20">
                  <c:v>-2</c:v>
                </c:pt>
                <c:pt idx="21">
                  <c:v>-5</c:v>
                </c:pt>
                <c:pt idx="22">
                  <c:v>-3</c:v>
                </c:pt>
                <c:pt idx="23">
                  <c:v>-1</c:v>
                </c:pt>
                <c:pt idx="24">
                  <c:v>0</c:v>
                </c:pt>
                <c:pt idx="25">
                  <c:v>0</c:v>
                </c:pt>
                <c:pt idx="26">
                  <c:v>0</c:v>
                </c:pt>
                <c:pt idx="27">
                  <c:v>0</c:v>
                </c:pt>
                <c:pt idx="28">
                  <c:v>0</c:v>
                </c:pt>
                <c:pt idx="29">
                  <c:v>0</c:v>
                </c:pt>
              </c:numCache>
            </c:numRef>
          </c:val>
          <c:extLst>
            <c:ext xmlns:c16="http://schemas.microsoft.com/office/drawing/2014/chart" uri="{C3380CC4-5D6E-409C-BE32-E72D297353CC}">
              <c16:uniqueId val="{00000034-06E9-4860-ADA7-9F54CB9F7501}"/>
            </c:ext>
          </c:extLst>
        </c:ser>
        <c:dLbls>
          <c:showLegendKey val="0"/>
          <c:showVal val="0"/>
          <c:showCatName val="0"/>
          <c:showSerName val="0"/>
          <c:showPercent val="0"/>
          <c:showBubbleSize val="0"/>
        </c:dLbls>
        <c:gapWidth val="150"/>
        <c:overlap val="100"/>
        <c:axId val="317562112"/>
        <c:axId val="317548672"/>
        <c:extLst>
          <c:ext xmlns:c15="http://schemas.microsoft.com/office/drawing/2012/chart" uri="{02D57815-91ED-43cb-92C2-25804820EDAC}">
            <c15:filteredBarSeries>
              <c15:ser>
                <c:idx val="0"/>
                <c:order val="0"/>
                <c:tx>
                  <c:strRef>
                    <c:extLst>
                      <c:ext uri="{02D57815-91ED-43cb-92C2-25804820EDAC}">
                        <c15:formulaRef>
                          <c15:sqref>'G4_Workoff Burden'!$B$8</c15:sqref>
                        </c15:formulaRef>
                      </c:ext>
                    </c:extLst>
                    <c:strCache>
                      <c:ptCount val="1"/>
                      <c:pt idx="0">
                        <c:v>Current Baseline to Start &amp; Started (BL Plan)</c:v>
                      </c:pt>
                    </c:strCache>
                  </c:strRef>
                </c:tx>
                <c:spPr>
                  <a:solidFill>
                    <a:schemeClr val="accent1"/>
                  </a:solidFill>
                  <a:ln>
                    <a:noFill/>
                  </a:ln>
                  <a:effectLst/>
                </c:spPr>
                <c:invertIfNegative val="0"/>
                <c:cat>
                  <c:numRef>
                    <c:extLst>
                      <c:ext uri="{02D57815-91ED-43cb-92C2-25804820EDAC}">
                        <c15:formulaRef>
                          <c15:sqref>'G4_Workoff Burden'!$C$7:$DB$7</c15:sqref>
                        </c15:formulaRef>
                      </c:ext>
                    </c:extLst>
                    <c:numCache>
                      <c:formatCode>mmm\-yy</c:formatCode>
                      <c:ptCount val="30"/>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pt idx="25">
                        <c:v>46113</c:v>
                      </c:pt>
                      <c:pt idx="26">
                        <c:v>46143</c:v>
                      </c:pt>
                      <c:pt idx="27">
                        <c:v>46174</c:v>
                      </c:pt>
                      <c:pt idx="28">
                        <c:v>46204</c:v>
                      </c:pt>
                      <c:pt idx="29">
                        <c:v>46235</c:v>
                      </c:pt>
                    </c:numCache>
                  </c:numRef>
                </c:cat>
                <c:val>
                  <c:numRef>
                    <c:extLst>
                      <c:ext uri="{02D57815-91ED-43cb-92C2-25804820EDAC}">
                        <c15:formulaRef>
                          <c15:sqref>'G4_Workoff Burden'!$C$8:$DB$8</c15:sqref>
                        </c15:formulaRef>
                      </c:ext>
                    </c:extLst>
                    <c:numCache>
                      <c:formatCode>General</c:formatCode>
                      <c:ptCount val="30"/>
                      <c:pt idx="0">
                        <c:v>26</c:v>
                      </c:pt>
                      <c:pt idx="1">
                        <c:v>12</c:v>
                      </c:pt>
                      <c:pt idx="2">
                        <c:v>18</c:v>
                      </c:pt>
                      <c:pt idx="3">
                        <c:v>14</c:v>
                      </c:pt>
                      <c:pt idx="4">
                        <c:v>10</c:v>
                      </c:pt>
                      <c:pt idx="5">
                        <c:v>13</c:v>
                      </c:pt>
                      <c:pt idx="6">
                        <c:v>2</c:v>
                      </c:pt>
                      <c:pt idx="7">
                        <c:v>4</c:v>
                      </c:pt>
                      <c:pt idx="8">
                        <c:v>1</c:v>
                      </c:pt>
                      <c:pt idx="9">
                        <c:v>2</c:v>
                      </c:pt>
                      <c:pt idx="10">
                        <c:v>1</c:v>
                      </c:pt>
                      <c:pt idx="11">
                        <c:v>1</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35-06E9-4860-ADA7-9F54CB9F7501}"/>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'G4_Workoff Burden'!$B$9</c15:sqref>
                        </c15:formulaRef>
                      </c:ext>
                    </c:extLst>
                    <c:strCache>
                      <c:ptCount val="1"/>
                      <c:pt idx="0">
                        <c:v>Future Baseline to Start &amp; Started (Early Starts)</c:v>
                      </c:pt>
                    </c:strCache>
                  </c:strRef>
                </c:tx>
                <c:spPr>
                  <a:solidFill>
                    <a:schemeClr val="accent6"/>
                  </a:solidFill>
                  <a:ln>
                    <a:noFill/>
                  </a:ln>
                  <a:effectLst/>
                </c:spPr>
                <c:invertIfNegative val="0"/>
                <c:cat>
                  <c:numRef>
                    <c:extLst xmlns:c15="http://schemas.microsoft.com/office/drawing/2012/chart">
                      <c:ext xmlns:c15="http://schemas.microsoft.com/office/drawing/2012/chart" uri="{02D57815-91ED-43cb-92C2-25804820EDAC}">
                        <c15:formulaRef>
                          <c15:sqref>'G4_Workoff Burden'!$C$7:$DB$7</c15:sqref>
                        </c15:formulaRef>
                      </c:ext>
                    </c:extLst>
                    <c:numCache>
                      <c:formatCode>mmm\-yy</c:formatCode>
                      <c:ptCount val="30"/>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pt idx="25">
                        <c:v>46113</c:v>
                      </c:pt>
                      <c:pt idx="26">
                        <c:v>46143</c:v>
                      </c:pt>
                      <c:pt idx="27">
                        <c:v>46174</c:v>
                      </c:pt>
                      <c:pt idx="28">
                        <c:v>46204</c:v>
                      </c:pt>
                      <c:pt idx="29">
                        <c:v>46235</c:v>
                      </c:pt>
                    </c:numCache>
                  </c:numRef>
                </c:cat>
                <c:val>
                  <c:numRef>
                    <c:extLst xmlns:c15="http://schemas.microsoft.com/office/drawing/2012/chart">
                      <c:ext xmlns:c15="http://schemas.microsoft.com/office/drawing/2012/chart" uri="{02D57815-91ED-43cb-92C2-25804820EDAC}">
                        <c15:formulaRef>
                          <c15:sqref>'G4_Workoff Burden'!$C$9:$DB$9</c15:sqref>
                        </c15:formulaRef>
                      </c:ext>
                    </c:extLst>
                    <c:numCache>
                      <c:formatCode>General</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xmlns:c15="http://schemas.microsoft.com/office/drawing/2012/chart">
                  <c:ext xmlns:c16="http://schemas.microsoft.com/office/drawing/2014/chart" uri="{C3380CC4-5D6E-409C-BE32-E72D297353CC}">
                    <c16:uniqueId val="{00000036-06E9-4860-ADA7-9F54CB9F7501}"/>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'G4_Workoff Burden'!$B$10</c15:sqref>
                        </c15:formulaRef>
                      </c:ext>
                    </c:extLst>
                    <c:strCache>
                      <c:ptCount val="1"/>
                      <c:pt idx="0">
                        <c:v>Past Baseline to Start &amp; Started (Workoff Burden)</c:v>
                      </c:pt>
                    </c:strCache>
                  </c:strRef>
                </c:tx>
                <c:spPr>
                  <a:solidFill>
                    <a:srgbClr val="E26714"/>
                  </a:solidFill>
                  <a:ln>
                    <a:noFill/>
                  </a:ln>
                  <a:effectLst/>
                </c:spPr>
                <c:invertIfNegative val="0"/>
                <c:cat>
                  <c:numRef>
                    <c:extLst xmlns:c15="http://schemas.microsoft.com/office/drawing/2012/chart">
                      <c:ext xmlns:c15="http://schemas.microsoft.com/office/drawing/2012/chart" uri="{02D57815-91ED-43cb-92C2-25804820EDAC}">
                        <c15:formulaRef>
                          <c15:sqref>'G4_Workoff Burden'!$C$7:$DB$7</c15:sqref>
                        </c15:formulaRef>
                      </c:ext>
                    </c:extLst>
                    <c:numCache>
                      <c:formatCode>mmm\-yy</c:formatCode>
                      <c:ptCount val="30"/>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pt idx="25">
                        <c:v>46113</c:v>
                      </c:pt>
                      <c:pt idx="26">
                        <c:v>46143</c:v>
                      </c:pt>
                      <c:pt idx="27">
                        <c:v>46174</c:v>
                      </c:pt>
                      <c:pt idx="28">
                        <c:v>46204</c:v>
                      </c:pt>
                      <c:pt idx="29">
                        <c:v>46235</c:v>
                      </c:pt>
                    </c:numCache>
                  </c:numRef>
                </c:cat>
                <c:val>
                  <c:numRef>
                    <c:extLst xmlns:c15="http://schemas.microsoft.com/office/drawing/2012/chart">
                      <c:ext xmlns:c15="http://schemas.microsoft.com/office/drawing/2012/chart" uri="{02D57815-91ED-43cb-92C2-25804820EDAC}">
                        <c15:formulaRef>
                          <c15:sqref>'G4_Workoff Burden'!$C$10:$DB$10</c15:sqref>
                        </c15:formulaRef>
                      </c:ext>
                    </c:extLst>
                    <c:numCache>
                      <c:formatCode>General</c:formatCode>
                      <c:ptCount val="30"/>
                      <c:pt idx="0">
                        <c:v>28</c:v>
                      </c:pt>
                      <c:pt idx="1">
                        <c:v>39</c:v>
                      </c:pt>
                      <c:pt idx="2">
                        <c:v>18</c:v>
                      </c:pt>
                      <c:pt idx="3">
                        <c:v>33</c:v>
                      </c:pt>
                      <c:pt idx="4">
                        <c:v>38</c:v>
                      </c:pt>
                      <c:pt idx="5">
                        <c:v>24</c:v>
                      </c:pt>
                      <c:pt idx="6">
                        <c:v>20</c:v>
                      </c:pt>
                      <c:pt idx="7">
                        <c:v>37</c:v>
                      </c:pt>
                      <c:pt idx="8">
                        <c:v>31</c:v>
                      </c:pt>
                      <c:pt idx="9">
                        <c:v>54</c:v>
                      </c:pt>
                      <c:pt idx="10">
                        <c:v>41</c:v>
                      </c:pt>
                      <c:pt idx="11">
                        <c:v>23</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xmlns:c15="http://schemas.microsoft.com/office/drawing/2012/chart">
                  <c:ext xmlns:c16="http://schemas.microsoft.com/office/drawing/2014/chart" uri="{C3380CC4-5D6E-409C-BE32-E72D297353CC}">
                    <c16:uniqueId val="{00000037-06E9-4860-ADA7-9F54CB9F7501}"/>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'G4_Workoff Burden'!$B$11</c15:sqref>
                        </c15:formulaRef>
                      </c:ext>
                    </c:extLst>
                    <c:strCache>
                      <c:ptCount val="1"/>
                      <c:pt idx="0">
                        <c:v>Past Baseline to Start &amp; Not Started (Workoff Burden)</c:v>
                      </c:pt>
                    </c:strCache>
                  </c:strRef>
                </c:tx>
                <c:spPr>
                  <a:solidFill>
                    <a:schemeClr val="accent4"/>
                  </a:solidFill>
                  <a:ln>
                    <a:noFill/>
                  </a:ln>
                  <a:effectLst/>
                </c:spPr>
                <c:invertIfNegative val="0"/>
                <c:cat>
                  <c:numRef>
                    <c:extLst xmlns:c15="http://schemas.microsoft.com/office/drawing/2012/chart">
                      <c:ext xmlns:c15="http://schemas.microsoft.com/office/drawing/2012/chart" uri="{02D57815-91ED-43cb-92C2-25804820EDAC}">
                        <c15:formulaRef>
                          <c15:sqref>'G4_Workoff Burden'!$C$7:$DB$7</c15:sqref>
                        </c15:formulaRef>
                      </c:ext>
                    </c:extLst>
                    <c:numCache>
                      <c:formatCode>mmm\-yy</c:formatCode>
                      <c:ptCount val="30"/>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pt idx="25">
                        <c:v>46113</c:v>
                      </c:pt>
                      <c:pt idx="26">
                        <c:v>46143</c:v>
                      </c:pt>
                      <c:pt idx="27">
                        <c:v>46174</c:v>
                      </c:pt>
                      <c:pt idx="28">
                        <c:v>46204</c:v>
                      </c:pt>
                      <c:pt idx="29">
                        <c:v>46235</c:v>
                      </c:pt>
                    </c:numCache>
                  </c:numRef>
                </c:cat>
                <c:val>
                  <c:numRef>
                    <c:extLst xmlns:c15="http://schemas.microsoft.com/office/drawing/2012/chart">
                      <c:ext xmlns:c15="http://schemas.microsoft.com/office/drawing/2012/chart" uri="{02D57815-91ED-43cb-92C2-25804820EDAC}">
                        <c15:formulaRef>
                          <c15:sqref>'G4_Workoff Burden'!$C$11:$DB$11</c15:sqref>
                        </c15:formulaRef>
                      </c:ext>
                    </c:extLst>
                    <c:numCache>
                      <c:formatCode>General</c:formatCode>
                      <c:ptCount val="30"/>
                      <c:pt idx="0">
                        <c:v>0</c:v>
                      </c:pt>
                      <c:pt idx="1">
                        <c:v>0</c:v>
                      </c:pt>
                      <c:pt idx="2">
                        <c:v>0</c:v>
                      </c:pt>
                      <c:pt idx="3">
                        <c:v>0</c:v>
                      </c:pt>
                      <c:pt idx="4">
                        <c:v>0</c:v>
                      </c:pt>
                      <c:pt idx="5">
                        <c:v>0</c:v>
                      </c:pt>
                      <c:pt idx="6">
                        <c:v>0</c:v>
                      </c:pt>
                      <c:pt idx="7">
                        <c:v>0</c:v>
                      </c:pt>
                      <c:pt idx="8">
                        <c:v>0</c:v>
                      </c:pt>
                      <c:pt idx="9">
                        <c:v>0</c:v>
                      </c:pt>
                      <c:pt idx="10">
                        <c:v>0</c:v>
                      </c:pt>
                      <c:pt idx="11">
                        <c:v>18</c:v>
                      </c:pt>
                      <c:pt idx="12">
                        <c:v>67</c:v>
                      </c:pt>
                      <c:pt idx="13">
                        <c:v>59</c:v>
                      </c:pt>
                      <c:pt idx="14">
                        <c:v>50</c:v>
                      </c:pt>
                      <c:pt idx="15">
                        <c:v>42</c:v>
                      </c:pt>
                      <c:pt idx="16">
                        <c:v>42</c:v>
                      </c:pt>
                      <c:pt idx="17">
                        <c:v>17</c:v>
                      </c:pt>
                      <c:pt idx="18">
                        <c:v>11</c:v>
                      </c:pt>
                      <c:pt idx="19">
                        <c:v>6</c:v>
                      </c:pt>
                      <c:pt idx="20">
                        <c:v>22</c:v>
                      </c:pt>
                      <c:pt idx="21">
                        <c:v>16</c:v>
                      </c:pt>
                      <c:pt idx="22">
                        <c:v>5</c:v>
                      </c:pt>
                      <c:pt idx="23">
                        <c:v>3</c:v>
                      </c:pt>
                      <c:pt idx="24">
                        <c:v>0</c:v>
                      </c:pt>
                      <c:pt idx="25">
                        <c:v>1</c:v>
                      </c:pt>
                      <c:pt idx="26">
                        <c:v>0</c:v>
                      </c:pt>
                      <c:pt idx="27">
                        <c:v>0</c:v>
                      </c:pt>
                      <c:pt idx="28">
                        <c:v>0</c:v>
                      </c:pt>
                      <c:pt idx="29">
                        <c:v>0</c:v>
                      </c:pt>
                    </c:numCache>
                  </c:numRef>
                </c:val>
                <c:extLst xmlns:c15="http://schemas.microsoft.com/office/drawing/2012/chart">
                  <c:ext xmlns:c16="http://schemas.microsoft.com/office/drawing/2014/chart" uri="{C3380CC4-5D6E-409C-BE32-E72D297353CC}">
                    <c16:uniqueId val="{00000038-06E9-4860-ADA7-9F54CB9F7501}"/>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'G4_Workoff Burden'!$B$12</c15:sqref>
                        </c15:formulaRef>
                      </c:ext>
                    </c:extLst>
                    <c:strCache>
                      <c:ptCount val="1"/>
                      <c:pt idx="0">
                        <c:v>Future Baseline to Start &amp; Delayed (Workoff Burden)</c:v>
                      </c:pt>
                    </c:strCache>
                  </c:strRef>
                </c:tx>
                <c:spPr>
                  <a:solidFill>
                    <a:schemeClr val="accent4">
                      <a:lumMod val="40000"/>
                      <a:lumOff val="60000"/>
                    </a:schemeClr>
                  </a:solidFill>
                  <a:ln>
                    <a:noFill/>
                  </a:ln>
                  <a:effectLst/>
                </c:spPr>
                <c:invertIfNegative val="0"/>
                <c:cat>
                  <c:numRef>
                    <c:extLst xmlns:c15="http://schemas.microsoft.com/office/drawing/2012/chart">
                      <c:ext xmlns:c15="http://schemas.microsoft.com/office/drawing/2012/chart" uri="{02D57815-91ED-43cb-92C2-25804820EDAC}">
                        <c15:formulaRef>
                          <c15:sqref>'G4_Workoff Burden'!$C$7:$DB$7</c15:sqref>
                        </c15:formulaRef>
                      </c:ext>
                    </c:extLst>
                    <c:numCache>
                      <c:formatCode>mmm\-yy</c:formatCode>
                      <c:ptCount val="30"/>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pt idx="25">
                        <c:v>46113</c:v>
                      </c:pt>
                      <c:pt idx="26">
                        <c:v>46143</c:v>
                      </c:pt>
                      <c:pt idx="27">
                        <c:v>46174</c:v>
                      </c:pt>
                      <c:pt idx="28">
                        <c:v>46204</c:v>
                      </c:pt>
                      <c:pt idx="29">
                        <c:v>46235</c:v>
                      </c:pt>
                    </c:numCache>
                  </c:numRef>
                </c:cat>
                <c:val>
                  <c:numRef>
                    <c:extLst xmlns:c15="http://schemas.microsoft.com/office/drawing/2012/chart">
                      <c:ext xmlns:c15="http://schemas.microsoft.com/office/drawing/2012/chart" uri="{02D57815-91ED-43cb-92C2-25804820EDAC}">
                        <c15:formulaRef>
                          <c15:sqref>'G4_Workoff Burden'!$C$12:$DB$12</c15:sqref>
                        </c15:formulaRef>
                      </c:ext>
                    </c:extLst>
                    <c:numCache>
                      <c:formatCode>General</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1</c:v>
                      </c:pt>
                      <c:pt idx="14">
                        <c:v>5</c:v>
                      </c:pt>
                      <c:pt idx="15">
                        <c:v>5</c:v>
                      </c:pt>
                      <c:pt idx="16">
                        <c:v>19</c:v>
                      </c:pt>
                      <c:pt idx="17">
                        <c:v>3</c:v>
                      </c:pt>
                      <c:pt idx="18">
                        <c:v>5</c:v>
                      </c:pt>
                      <c:pt idx="19">
                        <c:v>14</c:v>
                      </c:pt>
                      <c:pt idx="20">
                        <c:v>9</c:v>
                      </c:pt>
                      <c:pt idx="21">
                        <c:v>6</c:v>
                      </c:pt>
                      <c:pt idx="22">
                        <c:v>9</c:v>
                      </c:pt>
                      <c:pt idx="23">
                        <c:v>4</c:v>
                      </c:pt>
                      <c:pt idx="24">
                        <c:v>5</c:v>
                      </c:pt>
                      <c:pt idx="25">
                        <c:v>1</c:v>
                      </c:pt>
                      <c:pt idx="26">
                        <c:v>1</c:v>
                      </c:pt>
                      <c:pt idx="27">
                        <c:v>0</c:v>
                      </c:pt>
                      <c:pt idx="28">
                        <c:v>2</c:v>
                      </c:pt>
                      <c:pt idx="29">
                        <c:v>0</c:v>
                      </c:pt>
                    </c:numCache>
                  </c:numRef>
                </c:val>
                <c:extLst xmlns:c15="http://schemas.microsoft.com/office/drawing/2012/chart">
                  <c:ext xmlns:c16="http://schemas.microsoft.com/office/drawing/2014/chart" uri="{C3380CC4-5D6E-409C-BE32-E72D297353CC}">
                    <c16:uniqueId val="{00000039-06E9-4860-ADA7-9F54CB9F7501}"/>
                  </c:ext>
                </c:extLst>
              </c15:ser>
            </c15:filteredBarSeries>
            <c15:filteredBarSeries>
              <c15:ser>
                <c:idx val="12"/>
                <c:order val="5"/>
                <c:tx>
                  <c:strRef>
                    <c:extLst xmlns:c15="http://schemas.microsoft.com/office/drawing/2012/chart">
                      <c:ext xmlns:c15="http://schemas.microsoft.com/office/drawing/2012/chart" uri="{02D57815-91ED-43cb-92C2-25804820EDAC}">
                        <c15:formulaRef>
                          <c15:sqref>'G4_Workoff Burden'!$B$20</c15:sqref>
                        </c15:formulaRef>
                      </c:ext>
                    </c:extLst>
                    <c:strCache>
                      <c:ptCount val="1"/>
                      <c:pt idx="0">
                        <c:v>Current Baseline to Start &amp; Not Started (Incompletes)</c:v>
                      </c:pt>
                    </c:strCache>
                  </c:strRef>
                </c:tx>
                <c:spPr>
                  <a:noFill/>
                  <a:ln>
                    <a:solidFill>
                      <a:schemeClr val="accent1">
                        <a:lumMod val="50000"/>
                      </a:schemeClr>
                    </a:solidFill>
                    <a:prstDash val="dash"/>
                  </a:ln>
                  <a:effectLst/>
                </c:spPr>
                <c:invertIfNegative val="0"/>
                <c:cat>
                  <c:numRef>
                    <c:extLst xmlns:c15="http://schemas.microsoft.com/office/drawing/2012/chart">
                      <c:ext xmlns:c15="http://schemas.microsoft.com/office/drawing/2012/chart" uri="{02D57815-91ED-43cb-92C2-25804820EDAC}">
                        <c15:formulaRef>
                          <c15:sqref>'G4_Workoff Burden'!$C$7:$DB$7</c15:sqref>
                        </c15:formulaRef>
                      </c:ext>
                    </c:extLst>
                    <c:numCache>
                      <c:formatCode>mmm\-yy</c:formatCode>
                      <c:ptCount val="30"/>
                      <c:pt idx="0">
                        <c:v>45352</c:v>
                      </c:pt>
                      <c:pt idx="1">
                        <c:v>45383</c:v>
                      </c:pt>
                      <c:pt idx="2">
                        <c:v>45413</c:v>
                      </c:pt>
                      <c:pt idx="3">
                        <c:v>45444</c:v>
                      </c:pt>
                      <c:pt idx="4">
                        <c:v>45474</c:v>
                      </c:pt>
                      <c:pt idx="5">
                        <c:v>45505</c:v>
                      </c:pt>
                      <c:pt idx="6">
                        <c:v>45536</c:v>
                      </c:pt>
                      <c:pt idx="7">
                        <c:v>45566</c:v>
                      </c:pt>
                      <c:pt idx="8">
                        <c:v>45597</c:v>
                      </c:pt>
                      <c:pt idx="9">
                        <c:v>45627</c:v>
                      </c:pt>
                      <c:pt idx="10">
                        <c:v>45658</c:v>
                      </c:pt>
                      <c:pt idx="11">
                        <c:v>45689</c:v>
                      </c:pt>
                      <c:pt idx="12">
                        <c:v>45717</c:v>
                      </c:pt>
                      <c:pt idx="13">
                        <c:v>45748</c:v>
                      </c:pt>
                      <c:pt idx="14">
                        <c:v>45778</c:v>
                      </c:pt>
                      <c:pt idx="15">
                        <c:v>45809</c:v>
                      </c:pt>
                      <c:pt idx="16">
                        <c:v>45839</c:v>
                      </c:pt>
                      <c:pt idx="17">
                        <c:v>45870</c:v>
                      </c:pt>
                      <c:pt idx="18">
                        <c:v>45901</c:v>
                      </c:pt>
                      <c:pt idx="19">
                        <c:v>45931</c:v>
                      </c:pt>
                      <c:pt idx="20">
                        <c:v>45962</c:v>
                      </c:pt>
                      <c:pt idx="21">
                        <c:v>45992</c:v>
                      </c:pt>
                      <c:pt idx="22">
                        <c:v>46023</c:v>
                      </c:pt>
                      <c:pt idx="23">
                        <c:v>46054</c:v>
                      </c:pt>
                      <c:pt idx="24">
                        <c:v>46082</c:v>
                      </c:pt>
                      <c:pt idx="25">
                        <c:v>46113</c:v>
                      </c:pt>
                      <c:pt idx="26">
                        <c:v>46143</c:v>
                      </c:pt>
                      <c:pt idx="27">
                        <c:v>46174</c:v>
                      </c:pt>
                      <c:pt idx="28">
                        <c:v>46204</c:v>
                      </c:pt>
                      <c:pt idx="29">
                        <c:v>46235</c:v>
                      </c:pt>
                    </c:numCache>
                  </c:numRef>
                </c:cat>
                <c:val>
                  <c:numRef>
                    <c:extLst xmlns:c15="http://schemas.microsoft.com/office/drawing/2012/chart">
                      <c:ext xmlns:c15="http://schemas.microsoft.com/office/drawing/2012/chart" uri="{02D57815-91ED-43cb-92C2-25804820EDAC}">
                        <c15:formulaRef>
                          <c15:sqref>'G4_Workoff Burden'!$C$20:$DB$20</c15:sqref>
                        </c15:formulaRef>
                      </c:ext>
                    </c:extLst>
                    <c:numCache>
                      <c:formatCode>General</c:formatCode>
                      <c:ptCount val="30"/>
                      <c:pt idx="0">
                        <c:v>-15</c:v>
                      </c:pt>
                      <c:pt idx="1">
                        <c:v>-9</c:v>
                      </c:pt>
                      <c:pt idx="2">
                        <c:v>-7</c:v>
                      </c:pt>
                      <c:pt idx="3">
                        <c:v>-11</c:v>
                      </c:pt>
                      <c:pt idx="4">
                        <c:v>-24</c:v>
                      </c:pt>
                      <c:pt idx="5">
                        <c:v>-31</c:v>
                      </c:pt>
                      <c:pt idx="6">
                        <c:v>-18</c:v>
                      </c:pt>
                      <c:pt idx="7">
                        <c:v>-66</c:v>
                      </c:pt>
                      <c:pt idx="8">
                        <c:v>-45</c:v>
                      </c:pt>
                      <c:pt idx="9">
                        <c:v>-47</c:v>
                      </c:pt>
                      <c:pt idx="10">
                        <c:v>-32</c:v>
                      </c:pt>
                      <c:pt idx="11">
                        <c:v>-9</c:v>
                      </c:pt>
                      <c:pt idx="12">
                        <c:v>-29</c:v>
                      </c:pt>
                      <c:pt idx="13">
                        <c:v>-26</c:v>
                      </c:pt>
                      <c:pt idx="14">
                        <c:v>-8</c:v>
                      </c:pt>
                      <c:pt idx="15">
                        <c:v>-7</c:v>
                      </c:pt>
                      <c:pt idx="16">
                        <c:v>-1</c:v>
                      </c:pt>
                      <c:pt idx="17">
                        <c:v>-1</c:v>
                      </c:pt>
                      <c:pt idx="18">
                        <c:v>-1</c:v>
                      </c:pt>
                      <c:pt idx="19">
                        <c:v>-1</c:v>
                      </c:pt>
                      <c:pt idx="20">
                        <c:v>-4</c:v>
                      </c:pt>
                      <c:pt idx="21">
                        <c:v>-5</c:v>
                      </c:pt>
                      <c:pt idx="22">
                        <c:v>-1</c:v>
                      </c:pt>
                      <c:pt idx="23">
                        <c:v>-1</c:v>
                      </c:pt>
                      <c:pt idx="24">
                        <c:v>0</c:v>
                      </c:pt>
                      <c:pt idx="25">
                        <c:v>0</c:v>
                      </c:pt>
                      <c:pt idx="26">
                        <c:v>0</c:v>
                      </c:pt>
                      <c:pt idx="27">
                        <c:v>0</c:v>
                      </c:pt>
                      <c:pt idx="28">
                        <c:v>0</c:v>
                      </c:pt>
                      <c:pt idx="29">
                        <c:v>0</c:v>
                      </c:pt>
                    </c:numCache>
                  </c:numRef>
                </c:val>
                <c:extLst xmlns:c15="http://schemas.microsoft.com/office/drawing/2012/chart">
                  <c:ext xmlns:c16="http://schemas.microsoft.com/office/drawing/2014/chart" uri="{C3380CC4-5D6E-409C-BE32-E72D297353CC}">
                    <c16:uniqueId val="{0000003A-06E9-4860-ADA7-9F54CB9F7501}"/>
                  </c:ext>
                </c:extLst>
              </c15:ser>
            </c15:filteredBarSeries>
          </c:ext>
        </c:extLst>
      </c:barChart>
      <c:dateAx>
        <c:axId val="317562112"/>
        <c:scaling>
          <c:orientation val="minMax"/>
        </c:scaling>
        <c:delete val="0"/>
        <c:axPos val="b"/>
        <c:numFmt formatCode="mmm\-yy"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548672"/>
        <c:crosses val="autoZero"/>
        <c:auto val="1"/>
        <c:lblOffset val="100"/>
        <c:baseTimeUnit val="months"/>
      </c:dateAx>
      <c:valAx>
        <c:axId val="317548672"/>
        <c:scaling>
          <c:orientation val="minMax"/>
          <c:max val="125"/>
          <c:min val="-7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562112"/>
        <c:crosses val="autoZero"/>
        <c:crossBetween val="between"/>
        <c:majorUnit val="2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Duration Ratio (Actual Duration/Baseline</a:t>
            </a:r>
            <a:r>
              <a:rPr lang="en-US" b="1" baseline="0"/>
              <a:t> Duration</a:t>
            </a:r>
            <a:r>
              <a:rPr lang="en-US" b="1"/>
              <a:t>),</a:t>
            </a:r>
            <a:r>
              <a:rPr lang="en-US" b="1" baseline="0"/>
              <a:t> </a:t>
            </a:r>
            <a:r>
              <a:rPr lang="en-US" b="1"/>
              <a:t>n=1945</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'G5_DurationRatioS Curve_2025MAR'!$G$6:$G$1950</c:f>
              <c:numCache>
                <c:formatCode>0.00</c:formatCode>
                <c:ptCount val="1945"/>
                <c:pt idx="0">
                  <c:v>7.5757575757575803E-3</c:v>
                </c:pt>
                <c:pt idx="1">
                  <c:v>1.2500000000000001E-2</c:v>
                </c:pt>
                <c:pt idx="2">
                  <c:v>1.6666666666666701E-2</c:v>
                </c:pt>
                <c:pt idx="3">
                  <c:v>1.6666666666666701E-2</c:v>
                </c:pt>
                <c:pt idx="4">
                  <c:v>2.5000000000000001E-2</c:v>
                </c:pt>
                <c:pt idx="5">
                  <c:v>2.6315789473684199E-2</c:v>
                </c:pt>
                <c:pt idx="6">
                  <c:v>3.3333333333333298E-2</c:v>
                </c:pt>
                <c:pt idx="7">
                  <c:v>5.5555555555555601E-2</c:v>
                </c:pt>
                <c:pt idx="8">
                  <c:v>5.5555555555555601E-2</c:v>
                </c:pt>
                <c:pt idx="9">
                  <c:v>6.1643835616438401E-2</c:v>
                </c:pt>
                <c:pt idx="10">
                  <c:v>6.6666666666666693E-2</c:v>
                </c:pt>
                <c:pt idx="11">
                  <c:v>6.6666666666666693E-2</c:v>
                </c:pt>
                <c:pt idx="12">
                  <c:v>6.6666666666666693E-2</c:v>
                </c:pt>
                <c:pt idx="13">
                  <c:v>6.6666666666666693E-2</c:v>
                </c:pt>
                <c:pt idx="14">
                  <c:v>6.6666666666666693E-2</c:v>
                </c:pt>
                <c:pt idx="15">
                  <c:v>6.6666666666666693E-2</c:v>
                </c:pt>
                <c:pt idx="16">
                  <c:v>6.6666666666666693E-2</c:v>
                </c:pt>
                <c:pt idx="17">
                  <c:v>6.6666666666666693E-2</c:v>
                </c:pt>
                <c:pt idx="18">
                  <c:v>7.69230769230769E-2</c:v>
                </c:pt>
                <c:pt idx="19">
                  <c:v>8.6956521739130405E-2</c:v>
                </c:pt>
                <c:pt idx="20">
                  <c:v>0.1</c:v>
                </c:pt>
                <c:pt idx="21">
                  <c:v>0.1</c:v>
                </c:pt>
                <c:pt idx="22">
                  <c:v>0.1</c:v>
                </c:pt>
                <c:pt idx="23">
                  <c:v>0.1</c:v>
                </c:pt>
                <c:pt idx="24">
                  <c:v>0.1</c:v>
                </c:pt>
                <c:pt idx="25">
                  <c:v>0.11111111111111099</c:v>
                </c:pt>
                <c:pt idx="26">
                  <c:v>0.11111111111111099</c:v>
                </c:pt>
                <c:pt idx="27">
                  <c:v>0.11111111111111099</c:v>
                </c:pt>
                <c:pt idx="28">
                  <c:v>0.112</c:v>
                </c:pt>
                <c:pt idx="29">
                  <c:v>0.125</c:v>
                </c:pt>
                <c:pt idx="30">
                  <c:v>0.125</c:v>
                </c:pt>
                <c:pt idx="31">
                  <c:v>0.125</c:v>
                </c:pt>
                <c:pt idx="32">
                  <c:v>0.133333333333333</c:v>
                </c:pt>
                <c:pt idx="33">
                  <c:v>0.133333333333333</c:v>
                </c:pt>
                <c:pt idx="34">
                  <c:v>0.133333333333333</c:v>
                </c:pt>
                <c:pt idx="35">
                  <c:v>0.135135135135135</c:v>
                </c:pt>
                <c:pt idx="36">
                  <c:v>0.138461538461538</c:v>
                </c:pt>
                <c:pt idx="37">
                  <c:v>0.16470588235294101</c:v>
                </c:pt>
                <c:pt idx="38">
                  <c:v>0.2</c:v>
                </c:pt>
                <c:pt idx="39">
                  <c:v>0.2</c:v>
                </c:pt>
                <c:pt idx="40">
                  <c:v>0.2</c:v>
                </c:pt>
                <c:pt idx="41">
                  <c:v>0.2</c:v>
                </c:pt>
                <c:pt idx="42">
                  <c:v>0.2</c:v>
                </c:pt>
                <c:pt idx="43">
                  <c:v>0.2</c:v>
                </c:pt>
                <c:pt idx="44">
                  <c:v>0.2</c:v>
                </c:pt>
                <c:pt idx="45">
                  <c:v>0.2</c:v>
                </c:pt>
                <c:pt idx="46">
                  <c:v>0.2</c:v>
                </c:pt>
                <c:pt idx="47">
                  <c:v>0.2</c:v>
                </c:pt>
                <c:pt idx="48">
                  <c:v>0.2</c:v>
                </c:pt>
                <c:pt idx="49">
                  <c:v>0.2</c:v>
                </c:pt>
                <c:pt idx="50">
                  <c:v>0.2</c:v>
                </c:pt>
                <c:pt idx="51">
                  <c:v>0.2</c:v>
                </c:pt>
                <c:pt idx="52">
                  <c:v>0.2</c:v>
                </c:pt>
                <c:pt idx="53">
                  <c:v>0.2</c:v>
                </c:pt>
                <c:pt idx="54">
                  <c:v>0.2</c:v>
                </c:pt>
                <c:pt idx="55">
                  <c:v>0.2</c:v>
                </c:pt>
                <c:pt idx="56">
                  <c:v>0.2</c:v>
                </c:pt>
                <c:pt idx="57">
                  <c:v>0.2</c:v>
                </c:pt>
                <c:pt idx="58">
                  <c:v>0.2</c:v>
                </c:pt>
                <c:pt idx="59">
                  <c:v>0.2</c:v>
                </c:pt>
                <c:pt idx="60">
                  <c:v>0.2</c:v>
                </c:pt>
                <c:pt idx="61">
                  <c:v>0.2</c:v>
                </c:pt>
                <c:pt idx="62">
                  <c:v>0.2</c:v>
                </c:pt>
                <c:pt idx="63">
                  <c:v>0.2</c:v>
                </c:pt>
                <c:pt idx="64">
                  <c:v>0.2</c:v>
                </c:pt>
                <c:pt idx="65">
                  <c:v>0.2</c:v>
                </c:pt>
                <c:pt idx="66">
                  <c:v>0.2</c:v>
                </c:pt>
                <c:pt idx="67">
                  <c:v>0.2</c:v>
                </c:pt>
                <c:pt idx="68">
                  <c:v>0.2</c:v>
                </c:pt>
                <c:pt idx="69">
                  <c:v>0.2</c:v>
                </c:pt>
                <c:pt idx="70">
                  <c:v>0.2</c:v>
                </c:pt>
                <c:pt idx="71">
                  <c:v>0.2</c:v>
                </c:pt>
                <c:pt idx="72">
                  <c:v>0.2</c:v>
                </c:pt>
                <c:pt idx="73">
                  <c:v>0.2</c:v>
                </c:pt>
                <c:pt idx="74">
                  <c:v>0.2</c:v>
                </c:pt>
                <c:pt idx="75">
                  <c:v>0.2</c:v>
                </c:pt>
                <c:pt idx="76">
                  <c:v>0.2</c:v>
                </c:pt>
                <c:pt idx="77">
                  <c:v>0.2</c:v>
                </c:pt>
                <c:pt idx="78">
                  <c:v>0.21621621621621601</c:v>
                </c:pt>
                <c:pt idx="79">
                  <c:v>0.223423423423423</c:v>
                </c:pt>
                <c:pt idx="80">
                  <c:v>0.22500000000000001</c:v>
                </c:pt>
                <c:pt idx="81">
                  <c:v>0.22500000000000001</c:v>
                </c:pt>
                <c:pt idx="82">
                  <c:v>0.230769230769231</c:v>
                </c:pt>
                <c:pt idx="83">
                  <c:v>0.230769230769231</c:v>
                </c:pt>
                <c:pt idx="84">
                  <c:v>0.233333333333333</c:v>
                </c:pt>
                <c:pt idx="85">
                  <c:v>0.25</c:v>
                </c:pt>
                <c:pt idx="86">
                  <c:v>0.25</c:v>
                </c:pt>
                <c:pt idx="87">
                  <c:v>0.25</c:v>
                </c:pt>
                <c:pt idx="88">
                  <c:v>0.25</c:v>
                </c:pt>
                <c:pt idx="89">
                  <c:v>0.25</c:v>
                </c:pt>
                <c:pt idx="90">
                  <c:v>0.25</c:v>
                </c:pt>
                <c:pt idx="91">
                  <c:v>0.25</c:v>
                </c:pt>
                <c:pt idx="92">
                  <c:v>0.266666666666667</c:v>
                </c:pt>
                <c:pt idx="93">
                  <c:v>0.28000000000000003</c:v>
                </c:pt>
                <c:pt idx="94">
                  <c:v>0.28000000000000003</c:v>
                </c:pt>
                <c:pt idx="95">
                  <c:v>0.28571428571428598</c:v>
                </c:pt>
                <c:pt idx="96">
                  <c:v>0.29729729729729698</c:v>
                </c:pt>
                <c:pt idx="97">
                  <c:v>0.3</c:v>
                </c:pt>
                <c:pt idx="98">
                  <c:v>0.3</c:v>
                </c:pt>
                <c:pt idx="99">
                  <c:v>0.3</c:v>
                </c:pt>
                <c:pt idx="100">
                  <c:v>0.3</c:v>
                </c:pt>
                <c:pt idx="101">
                  <c:v>0.30769230769230799</c:v>
                </c:pt>
                <c:pt idx="102">
                  <c:v>0.31111111111111101</c:v>
                </c:pt>
                <c:pt idx="103">
                  <c:v>0.3125</c:v>
                </c:pt>
                <c:pt idx="104">
                  <c:v>0.3125</c:v>
                </c:pt>
                <c:pt idx="105">
                  <c:v>0.3125</c:v>
                </c:pt>
                <c:pt idx="106">
                  <c:v>0.3125</c:v>
                </c:pt>
                <c:pt idx="107">
                  <c:v>0.32432432432432401</c:v>
                </c:pt>
                <c:pt idx="108">
                  <c:v>0.33333333333333298</c:v>
                </c:pt>
                <c:pt idx="109">
                  <c:v>0.33333333333333298</c:v>
                </c:pt>
                <c:pt idx="110">
                  <c:v>0.33333333333333298</c:v>
                </c:pt>
                <c:pt idx="111">
                  <c:v>0.33333333333333298</c:v>
                </c:pt>
                <c:pt idx="112">
                  <c:v>0.33333333333333298</c:v>
                </c:pt>
                <c:pt idx="113">
                  <c:v>0.33333333333333298</c:v>
                </c:pt>
                <c:pt idx="114">
                  <c:v>0.33333333333333298</c:v>
                </c:pt>
                <c:pt idx="115">
                  <c:v>0.33333333333333298</c:v>
                </c:pt>
                <c:pt idx="116">
                  <c:v>0.33333333333333298</c:v>
                </c:pt>
                <c:pt idx="117">
                  <c:v>0.33333333333333298</c:v>
                </c:pt>
                <c:pt idx="118">
                  <c:v>0.33333333333333298</c:v>
                </c:pt>
                <c:pt idx="119">
                  <c:v>0.33333333333333298</c:v>
                </c:pt>
                <c:pt idx="120">
                  <c:v>0.33333333333333298</c:v>
                </c:pt>
                <c:pt idx="121">
                  <c:v>0.33333333333333298</c:v>
                </c:pt>
                <c:pt idx="122">
                  <c:v>0.34090909090909099</c:v>
                </c:pt>
                <c:pt idx="123">
                  <c:v>0.34146341463414598</c:v>
                </c:pt>
                <c:pt idx="124">
                  <c:v>0.35135135135135098</c:v>
                </c:pt>
                <c:pt idx="125">
                  <c:v>0.35714285714285698</c:v>
                </c:pt>
                <c:pt idx="126">
                  <c:v>0.36842105263157898</c:v>
                </c:pt>
                <c:pt idx="127">
                  <c:v>0.375</c:v>
                </c:pt>
                <c:pt idx="128">
                  <c:v>0.38888888888888901</c:v>
                </c:pt>
                <c:pt idx="129">
                  <c:v>0.4</c:v>
                </c:pt>
                <c:pt idx="130">
                  <c:v>0.4</c:v>
                </c:pt>
                <c:pt idx="131">
                  <c:v>0.4</c:v>
                </c:pt>
                <c:pt idx="132">
                  <c:v>0.4</c:v>
                </c:pt>
                <c:pt idx="133">
                  <c:v>0.4</c:v>
                </c:pt>
                <c:pt idx="134">
                  <c:v>0.4</c:v>
                </c:pt>
                <c:pt idx="135">
                  <c:v>0.4</c:v>
                </c:pt>
                <c:pt idx="136">
                  <c:v>0.4</c:v>
                </c:pt>
                <c:pt idx="137">
                  <c:v>0.4</c:v>
                </c:pt>
                <c:pt idx="138">
                  <c:v>0.4</c:v>
                </c:pt>
                <c:pt idx="139">
                  <c:v>0.4</c:v>
                </c:pt>
                <c:pt idx="140">
                  <c:v>0.4</c:v>
                </c:pt>
                <c:pt idx="141">
                  <c:v>0.4</c:v>
                </c:pt>
                <c:pt idx="142">
                  <c:v>0.4</c:v>
                </c:pt>
                <c:pt idx="143">
                  <c:v>0.4</c:v>
                </c:pt>
                <c:pt idx="144">
                  <c:v>0.4</c:v>
                </c:pt>
                <c:pt idx="145">
                  <c:v>0.4</c:v>
                </c:pt>
                <c:pt idx="146">
                  <c:v>0.4</c:v>
                </c:pt>
                <c:pt idx="147">
                  <c:v>0.4</c:v>
                </c:pt>
                <c:pt idx="148">
                  <c:v>0.4</c:v>
                </c:pt>
                <c:pt idx="149">
                  <c:v>0.4</c:v>
                </c:pt>
                <c:pt idx="150">
                  <c:v>0.4</c:v>
                </c:pt>
                <c:pt idx="151">
                  <c:v>0.4</c:v>
                </c:pt>
                <c:pt idx="152">
                  <c:v>0.4</c:v>
                </c:pt>
                <c:pt idx="153">
                  <c:v>0.434782608695652</c:v>
                </c:pt>
                <c:pt idx="154">
                  <c:v>0.434782608695652</c:v>
                </c:pt>
                <c:pt idx="155">
                  <c:v>0.4375</c:v>
                </c:pt>
                <c:pt idx="156">
                  <c:v>0.44444444444444398</c:v>
                </c:pt>
                <c:pt idx="157">
                  <c:v>0.45</c:v>
                </c:pt>
                <c:pt idx="158">
                  <c:v>0.45454545454545497</c:v>
                </c:pt>
                <c:pt idx="159">
                  <c:v>0.46666666666666701</c:v>
                </c:pt>
                <c:pt idx="160">
                  <c:v>0.46666666666666701</c:v>
                </c:pt>
                <c:pt idx="161">
                  <c:v>0.46666666666666701</c:v>
                </c:pt>
                <c:pt idx="162">
                  <c:v>0.47058823529411797</c:v>
                </c:pt>
                <c:pt idx="163">
                  <c:v>0.5</c:v>
                </c:pt>
                <c:pt idx="164">
                  <c:v>0.5</c:v>
                </c:pt>
                <c:pt idx="165">
                  <c:v>0.5</c:v>
                </c:pt>
                <c:pt idx="166">
                  <c:v>0.5</c:v>
                </c:pt>
                <c:pt idx="167">
                  <c:v>0.5</c:v>
                </c:pt>
                <c:pt idx="168">
                  <c:v>0.5</c:v>
                </c:pt>
                <c:pt idx="169">
                  <c:v>0.5</c:v>
                </c:pt>
                <c:pt idx="170">
                  <c:v>0.5</c:v>
                </c:pt>
                <c:pt idx="171">
                  <c:v>0.5</c:v>
                </c:pt>
                <c:pt idx="172">
                  <c:v>0.5</c:v>
                </c:pt>
                <c:pt idx="173">
                  <c:v>0.5</c:v>
                </c:pt>
                <c:pt idx="174">
                  <c:v>0.5</c:v>
                </c:pt>
                <c:pt idx="175">
                  <c:v>0.5</c:v>
                </c:pt>
                <c:pt idx="176">
                  <c:v>0.5</c:v>
                </c:pt>
                <c:pt idx="177">
                  <c:v>0.5</c:v>
                </c:pt>
                <c:pt idx="178">
                  <c:v>0.5</c:v>
                </c:pt>
                <c:pt idx="179">
                  <c:v>0.5</c:v>
                </c:pt>
                <c:pt idx="180">
                  <c:v>0.5</c:v>
                </c:pt>
                <c:pt idx="181">
                  <c:v>0.5</c:v>
                </c:pt>
                <c:pt idx="182">
                  <c:v>0.5</c:v>
                </c:pt>
                <c:pt idx="183">
                  <c:v>0.5</c:v>
                </c:pt>
                <c:pt idx="184">
                  <c:v>0.5</c:v>
                </c:pt>
                <c:pt idx="185">
                  <c:v>0.5</c:v>
                </c:pt>
                <c:pt idx="186">
                  <c:v>0.5</c:v>
                </c:pt>
                <c:pt idx="187">
                  <c:v>0.5</c:v>
                </c:pt>
                <c:pt idx="188">
                  <c:v>0.5</c:v>
                </c:pt>
                <c:pt idx="189">
                  <c:v>0.5</c:v>
                </c:pt>
                <c:pt idx="190">
                  <c:v>0.5</c:v>
                </c:pt>
                <c:pt idx="191">
                  <c:v>0.5</c:v>
                </c:pt>
                <c:pt idx="192">
                  <c:v>0.5</c:v>
                </c:pt>
                <c:pt idx="193">
                  <c:v>0.5</c:v>
                </c:pt>
                <c:pt idx="194">
                  <c:v>0.5</c:v>
                </c:pt>
                <c:pt idx="195">
                  <c:v>0.5</c:v>
                </c:pt>
                <c:pt idx="196">
                  <c:v>0.5</c:v>
                </c:pt>
                <c:pt idx="197">
                  <c:v>0.5</c:v>
                </c:pt>
                <c:pt idx="198">
                  <c:v>0.5</c:v>
                </c:pt>
                <c:pt idx="199">
                  <c:v>0.5</c:v>
                </c:pt>
                <c:pt idx="200">
                  <c:v>0.5</c:v>
                </c:pt>
                <c:pt idx="201">
                  <c:v>0.5</c:v>
                </c:pt>
                <c:pt idx="202">
                  <c:v>0.5</c:v>
                </c:pt>
                <c:pt idx="203">
                  <c:v>0.5</c:v>
                </c:pt>
                <c:pt idx="204">
                  <c:v>0.5</c:v>
                </c:pt>
                <c:pt idx="205">
                  <c:v>0.5</c:v>
                </c:pt>
                <c:pt idx="206">
                  <c:v>0.5</c:v>
                </c:pt>
                <c:pt idx="207">
                  <c:v>0.52500000000000002</c:v>
                </c:pt>
                <c:pt idx="208">
                  <c:v>0.52500000000000002</c:v>
                </c:pt>
                <c:pt idx="209">
                  <c:v>0.52500000000000002</c:v>
                </c:pt>
                <c:pt idx="210">
                  <c:v>0.53333333333333299</c:v>
                </c:pt>
                <c:pt idx="211">
                  <c:v>0.53333333333333299</c:v>
                </c:pt>
                <c:pt idx="212">
                  <c:v>0.53333333333333299</c:v>
                </c:pt>
                <c:pt idx="213">
                  <c:v>0.53333333333333299</c:v>
                </c:pt>
                <c:pt idx="214">
                  <c:v>0.53846153846153799</c:v>
                </c:pt>
                <c:pt idx="215">
                  <c:v>0.54</c:v>
                </c:pt>
                <c:pt idx="216">
                  <c:v>0.55555555555555602</c:v>
                </c:pt>
                <c:pt idx="217">
                  <c:v>0.55555555555555602</c:v>
                </c:pt>
                <c:pt idx="218">
                  <c:v>0.56666666666666698</c:v>
                </c:pt>
                <c:pt idx="219">
                  <c:v>0.58620689655172398</c:v>
                </c:pt>
                <c:pt idx="220">
                  <c:v>0.58823529411764697</c:v>
                </c:pt>
                <c:pt idx="221">
                  <c:v>0.6</c:v>
                </c:pt>
                <c:pt idx="222">
                  <c:v>0.6</c:v>
                </c:pt>
                <c:pt idx="223">
                  <c:v>0.6</c:v>
                </c:pt>
                <c:pt idx="224">
                  <c:v>0.6</c:v>
                </c:pt>
                <c:pt idx="225">
                  <c:v>0.6</c:v>
                </c:pt>
                <c:pt idx="226">
                  <c:v>0.6</c:v>
                </c:pt>
                <c:pt idx="227">
                  <c:v>0.6</c:v>
                </c:pt>
                <c:pt idx="228">
                  <c:v>0.6</c:v>
                </c:pt>
                <c:pt idx="229">
                  <c:v>0.6</c:v>
                </c:pt>
                <c:pt idx="230">
                  <c:v>0.6</c:v>
                </c:pt>
                <c:pt idx="231">
                  <c:v>0.6</c:v>
                </c:pt>
                <c:pt idx="232">
                  <c:v>0.6</c:v>
                </c:pt>
                <c:pt idx="233">
                  <c:v>0.6</c:v>
                </c:pt>
                <c:pt idx="234">
                  <c:v>0.6</c:v>
                </c:pt>
                <c:pt idx="235">
                  <c:v>0.6</c:v>
                </c:pt>
                <c:pt idx="236">
                  <c:v>0.6</c:v>
                </c:pt>
                <c:pt idx="237">
                  <c:v>0.6</c:v>
                </c:pt>
                <c:pt idx="238">
                  <c:v>0.6</c:v>
                </c:pt>
                <c:pt idx="239">
                  <c:v>0.6</c:v>
                </c:pt>
                <c:pt idx="240">
                  <c:v>0.6</c:v>
                </c:pt>
                <c:pt idx="241">
                  <c:v>0.6</c:v>
                </c:pt>
                <c:pt idx="242">
                  <c:v>0.6</c:v>
                </c:pt>
                <c:pt idx="243">
                  <c:v>0.60869565217391297</c:v>
                </c:pt>
                <c:pt idx="244">
                  <c:v>0.61728395061728403</c:v>
                </c:pt>
                <c:pt idx="245">
                  <c:v>0.61904761904761896</c:v>
                </c:pt>
                <c:pt idx="246">
                  <c:v>0.62068965517241403</c:v>
                </c:pt>
                <c:pt idx="247">
                  <c:v>0.625</c:v>
                </c:pt>
                <c:pt idx="248">
                  <c:v>0.625</c:v>
                </c:pt>
                <c:pt idx="249">
                  <c:v>0.625</c:v>
                </c:pt>
                <c:pt idx="250">
                  <c:v>0.625</c:v>
                </c:pt>
                <c:pt idx="251">
                  <c:v>0.625</c:v>
                </c:pt>
                <c:pt idx="252">
                  <c:v>0.625</c:v>
                </c:pt>
                <c:pt idx="253">
                  <c:v>0.628571428571429</c:v>
                </c:pt>
                <c:pt idx="254">
                  <c:v>0.64285714285714302</c:v>
                </c:pt>
                <c:pt idx="255">
                  <c:v>0.64772727272727304</c:v>
                </c:pt>
                <c:pt idx="256">
                  <c:v>0.66666666666666696</c:v>
                </c:pt>
                <c:pt idx="257">
                  <c:v>0.66666666666666696</c:v>
                </c:pt>
                <c:pt idx="258">
                  <c:v>0.66666666666666696</c:v>
                </c:pt>
                <c:pt idx="259">
                  <c:v>0.66666666666666696</c:v>
                </c:pt>
                <c:pt idx="260">
                  <c:v>0.66666666666666696</c:v>
                </c:pt>
                <c:pt idx="261">
                  <c:v>0.66666666666666696</c:v>
                </c:pt>
                <c:pt idx="262">
                  <c:v>0.66666666666666696</c:v>
                </c:pt>
                <c:pt idx="263">
                  <c:v>0.66666666666666696</c:v>
                </c:pt>
                <c:pt idx="264">
                  <c:v>0.66666666666666696</c:v>
                </c:pt>
                <c:pt idx="265">
                  <c:v>0.66666666666666696</c:v>
                </c:pt>
                <c:pt idx="266">
                  <c:v>0.66666666666666696</c:v>
                </c:pt>
                <c:pt idx="267">
                  <c:v>0.67567567567567599</c:v>
                </c:pt>
                <c:pt idx="268">
                  <c:v>0.67567567567567599</c:v>
                </c:pt>
                <c:pt idx="269">
                  <c:v>0.67567567567567599</c:v>
                </c:pt>
                <c:pt idx="270">
                  <c:v>0.67567567567567599</c:v>
                </c:pt>
                <c:pt idx="271">
                  <c:v>0.67857142857142905</c:v>
                </c:pt>
                <c:pt idx="272">
                  <c:v>0.67857142857142905</c:v>
                </c:pt>
                <c:pt idx="273">
                  <c:v>0.68571428571428605</c:v>
                </c:pt>
                <c:pt idx="274">
                  <c:v>0.68965517241379304</c:v>
                </c:pt>
                <c:pt idx="275">
                  <c:v>0.7</c:v>
                </c:pt>
                <c:pt idx="276">
                  <c:v>0.7</c:v>
                </c:pt>
                <c:pt idx="277">
                  <c:v>0.7</c:v>
                </c:pt>
                <c:pt idx="278">
                  <c:v>0.7</c:v>
                </c:pt>
                <c:pt idx="279">
                  <c:v>0.7</c:v>
                </c:pt>
                <c:pt idx="280">
                  <c:v>0.7</c:v>
                </c:pt>
                <c:pt idx="281">
                  <c:v>0.71428571428571397</c:v>
                </c:pt>
                <c:pt idx="282">
                  <c:v>0.73333333333333295</c:v>
                </c:pt>
                <c:pt idx="283">
                  <c:v>0.73333333333333295</c:v>
                </c:pt>
                <c:pt idx="284">
                  <c:v>0.73333333333333295</c:v>
                </c:pt>
                <c:pt idx="285">
                  <c:v>0.74074074074074103</c:v>
                </c:pt>
                <c:pt idx="286">
                  <c:v>0.75</c:v>
                </c:pt>
                <c:pt idx="287">
                  <c:v>0.75</c:v>
                </c:pt>
                <c:pt idx="288">
                  <c:v>0.75</c:v>
                </c:pt>
                <c:pt idx="289">
                  <c:v>0.75</c:v>
                </c:pt>
                <c:pt idx="290">
                  <c:v>0.75</c:v>
                </c:pt>
                <c:pt idx="291">
                  <c:v>0.75</c:v>
                </c:pt>
                <c:pt idx="292">
                  <c:v>0.75</c:v>
                </c:pt>
                <c:pt idx="293">
                  <c:v>0.76666666666666705</c:v>
                </c:pt>
                <c:pt idx="294">
                  <c:v>0.77142857142857102</c:v>
                </c:pt>
                <c:pt idx="295">
                  <c:v>0.77142857142857102</c:v>
                </c:pt>
                <c:pt idx="296">
                  <c:v>0.77777777777777801</c:v>
                </c:pt>
                <c:pt idx="297">
                  <c:v>0.77777777777777801</c:v>
                </c:pt>
                <c:pt idx="298">
                  <c:v>0.78571428571428603</c:v>
                </c:pt>
                <c:pt idx="299">
                  <c:v>0.8</c:v>
                </c:pt>
                <c:pt idx="300">
                  <c:v>0.8</c:v>
                </c:pt>
                <c:pt idx="301">
                  <c:v>0.8</c:v>
                </c:pt>
                <c:pt idx="302">
                  <c:v>0.8</c:v>
                </c:pt>
                <c:pt idx="303">
                  <c:v>0.8</c:v>
                </c:pt>
                <c:pt idx="304">
                  <c:v>0.8</c:v>
                </c:pt>
                <c:pt idx="305">
                  <c:v>0.8</c:v>
                </c:pt>
                <c:pt idx="306">
                  <c:v>0.8</c:v>
                </c:pt>
                <c:pt idx="307">
                  <c:v>0.8</c:v>
                </c:pt>
                <c:pt idx="308">
                  <c:v>0.8</c:v>
                </c:pt>
                <c:pt idx="309">
                  <c:v>0.8</c:v>
                </c:pt>
                <c:pt idx="310">
                  <c:v>0.8</c:v>
                </c:pt>
                <c:pt idx="311">
                  <c:v>0.8</c:v>
                </c:pt>
                <c:pt idx="312">
                  <c:v>0.8</c:v>
                </c:pt>
                <c:pt idx="313">
                  <c:v>0.83333333333333304</c:v>
                </c:pt>
                <c:pt idx="314">
                  <c:v>0.83333333333333304</c:v>
                </c:pt>
                <c:pt idx="315">
                  <c:v>0.83333333333333304</c:v>
                </c:pt>
                <c:pt idx="316">
                  <c:v>0.84</c:v>
                </c:pt>
                <c:pt idx="317">
                  <c:v>0.84049079754601197</c:v>
                </c:pt>
                <c:pt idx="318">
                  <c:v>0.85</c:v>
                </c:pt>
                <c:pt idx="319">
                  <c:v>0.85714285714285698</c:v>
                </c:pt>
                <c:pt idx="320">
                  <c:v>0.86666666666666703</c:v>
                </c:pt>
                <c:pt idx="321">
                  <c:v>0.86666666666666703</c:v>
                </c:pt>
                <c:pt idx="322">
                  <c:v>0.86666666666666703</c:v>
                </c:pt>
                <c:pt idx="323">
                  <c:v>0.86666666666666703</c:v>
                </c:pt>
                <c:pt idx="324">
                  <c:v>0.86666666666666703</c:v>
                </c:pt>
                <c:pt idx="325">
                  <c:v>0.86666666666666703</c:v>
                </c:pt>
                <c:pt idx="326">
                  <c:v>0.86666666666666703</c:v>
                </c:pt>
                <c:pt idx="327">
                  <c:v>0.87307692307692297</c:v>
                </c:pt>
                <c:pt idx="328">
                  <c:v>0.875</c:v>
                </c:pt>
                <c:pt idx="329">
                  <c:v>0.875</c:v>
                </c:pt>
                <c:pt idx="330">
                  <c:v>0.875</c:v>
                </c:pt>
                <c:pt idx="331">
                  <c:v>0.9</c:v>
                </c:pt>
                <c:pt idx="332">
                  <c:v>0.9</c:v>
                </c:pt>
                <c:pt idx="333">
                  <c:v>0.9</c:v>
                </c:pt>
                <c:pt idx="334">
                  <c:v>0.9</c:v>
                </c:pt>
                <c:pt idx="335">
                  <c:v>0.9</c:v>
                </c:pt>
                <c:pt idx="336">
                  <c:v>0.9</c:v>
                </c:pt>
                <c:pt idx="337">
                  <c:v>0.90909090909090895</c:v>
                </c:pt>
                <c:pt idx="338">
                  <c:v>0.90909090909090895</c:v>
                </c:pt>
                <c:pt idx="339">
                  <c:v>0.90909090909090895</c:v>
                </c:pt>
                <c:pt idx="340">
                  <c:v>0.90909090909090895</c:v>
                </c:pt>
                <c:pt idx="341">
                  <c:v>0.92</c:v>
                </c:pt>
                <c:pt idx="342">
                  <c:v>0.93333333333333302</c:v>
                </c:pt>
                <c:pt idx="343">
                  <c:v>0.93333333333333302</c:v>
                </c:pt>
                <c:pt idx="344">
                  <c:v>0.93333333333333302</c:v>
                </c:pt>
                <c:pt idx="345">
                  <c:v>0.93333333333333302</c:v>
                </c:pt>
                <c:pt idx="346">
                  <c:v>0.93333333333333302</c:v>
                </c:pt>
                <c:pt idx="347">
                  <c:v>0.93333333333333302</c:v>
                </c:pt>
                <c:pt idx="348">
                  <c:v>0.93333333333333302</c:v>
                </c:pt>
                <c:pt idx="349">
                  <c:v>0.9375</c:v>
                </c:pt>
                <c:pt idx="350">
                  <c:v>0.9375</c:v>
                </c:pt>
                <c:pt idx="351">
                  <c:v>0.9375</c:v>
                </c:pt>
                <c:pt idx="352">
                  <c:v>0.9375</c:v>
                </c:pt>
                <c:pt idx="353">
                  <c:v>0.9375</c:v>
                </c:pt>
                <c:pt idx="354">
                  <c:v>0.9375</c:v>
                </c:pt>
                <c:pt idx="355">
                  <c:v>0.9375</c:v>
                </c:pt>
                <c:pt idx="356">
                  <c:v>0.9375</c:v>
                </c:pt>
                <c:pt idx="357">
                  <c:v>0.9375</c:v>
                </c:pt>
                <c:pt idx="358">
                  <c:v>0.9375</c:v>
                </c:pt>
                <c:pt idx="359">
                  <c:v>0.9375</c:v>
                </c:pt>
                <c:pt idx="360">
                  <c:v>0.9375</c:v>
                </c:pt>
                <c:pt idx="361">
                  <c:v>0.9375</c:v>
                </c:pt>
                <c:pt idx="362">
                  <c:v>0.9375</c:v>
                </c:pt>
                <c:pt idx="363">
                  <c:v>0.9375</c:v>
                </c:pt>
                <c:pt idx="364">
                  <c:v>0.9375</c:v>
                </c:pt>
                <c:pt idx="365">
                  <c:v>0.9375</c:v>
                </c:pt>
                <c:pt idx="366">
                  <c:v>0.94444444444444398</c:v>
                </c:pt>
                <c:pt idx="367">
                  <c:v>0.94545454545454499</c:v>
                </c:pt>
                <c:pt idx="368">
                  <c:v>0.95</c:v>
                </c:pt>
                <c:pt idx="369">
                  <c:v>0.95</c:v>
                </c:pt>
                <c:pt idx="370">
                  <c:v>0.95</c:v>
                </c:pt>
                <c:pt idx="371">
                  <c:v>0.95</c:v>
                </c:pt>
                <c:pt idx="372">
                  <c:v>0.95833333333333304</c:v>
                </c:pt>
                <c:pt idx="373">
                  <c:v>0.95833333333333304</c:v>
                </c:pt>
                <c:pt idx="374">
                  <c:v>0.97142857142857097</c:v>
                </c:pt>
                <c:pt idx="375">
                  <c:v>0.97222222222222199</c:v>
                </c:pt>
                <c:pt idx="376">
                  <c:v>0.97222222222222199</c:v>
                </c:pt>
                <c:pt idx="377">
                  <c:v>0.97499999999999998</c:v>
                </c:pt>
                <c:pt idx="378">
                  <c:v>0.97727272727272696</c:v>
                </c:pt>
                <c:pt idx="379">
                  <c:v>0.97740112994350303</c:v>
                </c:pt>
                <c:pt idx="380">
                  <c:v>0.987179487179487</c:v>
                </c:pt>
                <c:pt idx="381">
                  <c:v>0.98765432098765404</c:v>
                </c:pt>
                <c:pt idx="382">
                  <c:v>0.98876404494381998</c:v>
                </c:pt>
                <c:pt idx="383">
                  <c:v>1</c:v>
                </c:pt>
                <c:pt idx="384">
                  <c:v>1</c:v>
                </c:pt>
                <c:pt idx="385">
                  <c:v>1</c:v>
                </c:pt>
                <c:pt idx="386">
                  <c:v>1</c:v>
                </c:pt>
                <c:pt idx="387">
                  <c:v>1</c:v>
                </c:pt>
                <c:pt idx="388">
                  <c:v>1</c:v>
                </c:pt>
                <c:pt idx="389">
                  <c:v>1</c:v>
                </c:pt>
                <c:pt idx="390">
                  <c:v>1</c:v>
                </c:pt>
                <c:pt idx="391">
                  <c:v>1</c:v>
                </c:pt>
                <c:pt idx="392">
                  <c:v>1</c:v>
                </c:pt>
                <c:pt idx="393">
                  <c:v>1</c:v>
                </c:pt>
                <c:pt idx="394">
                  <c:v>1</c:v>
                </c:pt>
                <c:pt idx="395">
                  <c:v>1</c:v>
                </c:pt>
                <c:pt idx="396">
                  <c:v>1</c:v>
                </c:pt>
                <c:pt idx="397">
                  <c:v>1</c:v>
                </c:pt>
                <c:pt idx="398">
                  <c:v>1</c:v>
                </c:pt>
                <c:pt idx="399">
                  <c:v>1</c:v>
                </c:pt>
                <c:pt idx="400">
                  <c:v>1</c:v>
                </c:pt>
                <c:pt idx="401">
                  <c:v>1</c:v>
                </c:pt>
                <c:pt idx="402">
                  <c:v>1</c:v>
                </c:pt>
                <c:pt idx="403">
                  <c:v>1</c:v>
                </c:pt>
                <c:pt idx="404">
                  <c:v>1</c:v>
                </c:pt>
                <c:pt idx="405">
                  <c:v>1</c:v>
                </c:pt>
                <c:pt idx="406">
                  <c:v>1</c:v>
                </c:pt>
                <c:pt idx="407">
                  <c:v>1</c:v>
                </c:pt>
                <c:pt idx="408">
                  <c:v>1</c:v>
                </c:pt>
                <c:pt idx="409">
                  <c:v>1</c:v>
                </c:pt>
                <c:pt idx="410">
                  <c:v>1</c:v>
                </c:pt>
                <c:pt idx="411">
                  <c:v>1</c:v>
                </c:pt>
                <c:pt idx="412">
                  <c:v>1</c:v>
                </c:pt>
                <c:pt idx="413">
                  <c:v>1</c:v>
                </c:pt>
                <c:pt idx="414">
                  <c:v>1</c:v>
                </c:pt>
                <c:pt idx="415">
                  <c:v>1</c:v>
                </c:pt>
                <c:pt idx="416">
                  <c:v>1</c:v>
                </c:pt>
                <c:pt idx="417">
                  <c:v>1</c:v>
                </c:pt>
                <c:pt idx="418">
                  <c:v>1</c:v>
                </c:pt>
                <c:pt idx="419">
                  <c:v>1</c:v>
                </c:pt>
                <c:pt idx="420">
                  <c:v>1</c:v>
                </c:pt>
                <c:pt idx="421">
                  <c:v>1</c:v>
                </c:pt>
                <c:pt idx="422">
                  <c:v>1</c:v>
                </c:pt>
                <c:pt idx="423">
                  <c:v>1</c:v>
                </c:pt>
                <c:pt idx="424">
                  <c:v>1</c:v>
                </c:pt>
                <c:pt idx="425">
                  <c:v>1</c:v>
                </c:pt>
                <c:pt idx="426">
                  <c:v>1</c:v>
                </c:pt>
                <c:pt idx="427">
                  <c:v>1</c:v>
                </c:pt>
                <c:pt idx="428">
                  <c:v>1</c:v>
                </c:pt>
                <c:pt idx="429">
                  <c:v>1</c:v>
                </c:pt>
                <c:pt idx="430">
                  <c:v>1</c:v>
                </c:pt>
                <c:pt idx="431">
                  <c:v>1</c:v>
                </c:pt>
                <c:pt idx="432">
                  <c:v>1</c:v>
                </c:pt>
                <c:pt idx="433">
                  <c:v>1</c:v>
                </c:pt>
                <c:pt idx="434">
                  <c:v>1</c:v>
                </c:pt>
                <c:pt idx="435">
                  <c:v>1</c:v>
                </c:pt>
                <c:pt idx="436">
                  <c:v>1</c:v>
                </c:pt>
                <c:pt idx="437">
                  <c:v>1</c:v>
                </c:pt>
                <c:pt idx="438">
                  <c:v>1</c:v>
                </c:pt>
                <c:pt idx="439">
                  <c:v>1</c:v>
                </c:pt>
                <c:pt idx="440">
                  <c:v>1</c:v>
                </c:pt>
                <c:pt idx="441">
                  <c:v>1</c:v>
                </c:pt>
                <c:pt idx="442">
                  <c:v>1</c:v>
                </c:pt>
                <c:pt idx="443">
                  <c:v>1</c:v>
                </c:pt>
                <c:pt idx="444">
                  <c:v>1</c:v>
                </c:pt>
                <c:pt idx="445">
                  <c:v>1</c:v>
                </c:pt>
                <c:pt idx="446">
                  <c:v>1</c:v>
                </c:pt>
                <c:pt idx="447">
                  <c:v>1</c:v>
                </c:pt>
                <c:pt idx="448">
                  <c:v>1</c:v>
                </c:pt>
                <c:pt idx="449">
                  <c:v>1</c:v>
                </c:pt>
                <c:pt idx="450">
                  <c:v>1</c:v>
                </c:pt>
                <c:pt idx="451">
                  <c:v>1</c:v>
                </c:pt>
                <c:pt idx="452">
                  <c:v>1</c:v>
                </c:pt>
                <c:pt idx="453">
                  <c:v>1</c:v>
                </c:pt>
                <c:pt idx="454">
                  <c:v>1</c:v>
                </c:pt>
                <c:pt idx="455">
                  <c:v>1</c:v>
                </c:pt>
                <c:pt idx="456">
                  <c:v>1</c:v>
                </c:pt>
                <c:pt idx="457">
                  <c:v>1</c:v>
                </c:pt>
                <c:pt idx="458">
                  <c:v>1</c:v>
                </c:pt>
                <c:pt idx="459">
                  <c:v>1</c:v>
                </c:pt>
                <c:pt idx="460">
                  <c:v>1</c:v>
                </c:pt>
                <c:pt idx="461">
                  <c:v>1</c:v>
                </c:pt>
                <c:pt idx="462">
                  <c:v>1</c:v>
                </c:pt>
                <c:pt idx="463">
                  <c:v>1</c:v>
                </c:pt>
                <c:pt idx="464">
                  <c:v>1</c:v>
                </c:pt>
                <c:pt idx="465">
                  <c:v>1</c:v>
                </c:pt>
                <c:pt idx="466">
                  <c:v>1</c:v>
                </c:pt>
                <c:pt idx="467">
                  <c:v>1</c:v>
                </c:pt>
                <c:pt idx="468">
                  <c:v>1</c:v>
                </c:pt>
                <c:pt idx="469">
                  <c:v>1</c:v>
                </c:pt>
                <c:pt idx="470">
                  <c:v>1</c:v>
                </c:pt>
                <c:pt idx="471">
                  <c:v>1</c:v>
                </c:pt>
                <c:pt idx="472">
                  <c:v>1</c:v>
                </c:pt>
                <c:pt idx="473">
                  <c:v>1</c:v>
                </c:pt>
                <c:pt idx="474">
                  <c:v>1</c:v>
                </c:pt>
                <c:pt idx="475">
                  <c:v>1</c:v>
                </c:pt>
                <c:pt idx="476">
                  <c:v>1</c:v>
                </c:pt>
                <c:pt idx="477">
                  <c:v>1</c:v>
                </c:pt>
                <c:pt idx="478">
                  <c:v>1</c:v>
                </c:pt>
                <c:pt idx="479">
                  <c:v>1</c:v>
                </c:pt>
                <c:pt idx="480">
                  <c:v>1</c:v>
                </c:pt>
                <c:pt idx="481">
                  <c:v>1</c:v>
                </c:pt>
                <c:pt idx="482">
                  <c:v>1</c:v>
                </c:pt>
                <c:pt idx="483">
                  <c:v>1</c:v>
                </c:pt>
                <c:pt idx="484">
                  <c:v>1</c:v>
                </c:pt>
                <c:pt idx="485">
                  <c:v>1</c:v>
                </c:pt>
                <c:pt idx="486">
                  <c:v>1</c:v>
                </c:pt>
                <c:pt idx="487">
                  <c:v>1</c:v>
                </c:pt>
                <c:pt idx="488">
                  <c:v>1</c:v>
                </c:pt>
                <c:pt idx="489">
                  <c:v>1</c:v>
                </c:pt>
                <c:pt idx="490">
                  <c:v>1</c:v>
                </c:pt>
                <c:pt idx="491">
                  <c:v>1</c:v>
                </c:pt>
                <c:pt idx="492">
                  <c:v>1</c:v>
                </c:pt>
                <c:pt idx="493">
                  <c:v>1</c:v>
                </c:pt>
                <c:pt idx="494">
                  <c:v>1</c:v>
                </c:pt>
                <c:pt idx="495">
                  <c:v>1</c:v>
                </c:pt>
                <c:pt idx="496">
                  <c:v>1</c:v>
                </c:pt>
                <c:pt idx="497">
                  <c:v>1</c:v>
                </c:pt>
                <c:pt idx="498">
                  <c:v>1</c:v>
                </c:pt>
                <c:pt idx="499">
                  <c:v>1</c:v>
                </c:pt>
                <c:pt idx="500">
                  <c:v>1</c:v>
                </c:pt>
                <c:pt idx="501">
                  <c:v>1</c:v>
                </c:pt>
                <c:pt idx="502">
                  <c:v>1</c:v>
                </c:pt>
                <c:pt idx="503">
                  <c:v>1</c:v>
                </c:pt>
                <c:pt idx="504">
                  <c:v>1</c:v>
                </c:pt>
                <c:pt idx="505">
                  <c:v>1</c:v>
                </c:pt>
                <c:pt idx="506">
                  <c:v>1</c:v>
                </c:pt>
                <c:pt idx="507">
                  <c:v>1</c:v>
                </c:pt>
                <c:pt idx="508">
                  <c:v>1</c:v>
                </c:pt>
                <c:pt idx="509">
                  <c:v>1</c:v>
                </c:pt>
                <c:pt idx="510">
                  <c:v>1</c:v>
                </c:pt>
                <c:pt idx="511">
                  <c:v>1</c:v>
                </c:pt>
                <c:pt idx="512">
                  <c:v>1</c:v>
                </c:pt>
                <c:pt idx="513">
                  <c:v>1</c:v>
                </c:pt>
                <c:pt idx="514">
                  <c:v>1</c:v>
                </c:pt>
                <c:pt idx="515">
                  <c:v>1</c:v>
                </c:pt>
                <c:pt idx="516">
                  <c:v>1</c:v>
                </c:pt>
                <c:pt idx="517">
                  <c:v>1</c:v>
                </c:pt>
                <c:pt idx="518">
                  <c:v>1</c:v>
                </c:pt>
                <c:pt idx="519">
                  <c:v>1</c:v>
                </c:pt>
                <c:pt idx="520">
                  <c:v>1</c:v>
                </c:pt>
                <c:pt idx="521">
                  <c:v>1</c:v>
                </c:pt>
                <c:pt idx="522">
                  <c:v>1</c:v>
                </c:pt>
                <c:pt idx="523">
                  <c:v>1</c:v>
                </c:pt>
                <c:pt idx="524">
                  <c:v>1</c:v>
                </c:pt>
                <c:pt idx="525">
                  <c:v>1</c:v>
                </c:pt>
                <c:pt idx="526">
                  <c:v>1</c:v>
                </c:pt>
                <c:pt idx="527">
                  <c:v>1</c:v>
                </c:pt>
                <c:pt idx="528">
                  <c:v>1</c:v>
                </c:pt>
                <c:pt idx="529">
                  <c:v>1</c:v>
                </c:pt>
                <c:pt idx="530">
                  <c:v>1</c:v>
                </c:pt>
                <c:pt idx="531">
                  <c:v>1</c:v>
                </c:pt>
                <c:pt idx="532">
                  <c:v>1</c:v>
                </c:pt>
                <c:pt idx="533">
                  <c:v>1</c:v>
                </c:pt>
                <c:pt idx="534">
                  <c:v>1</c:v>
                </c:pt>
                <c:pt idx="535">
                  <c:v>1</c:v>
                </c:pt>
                <c:pt idx="536">
                  <c:v>1</c:v>
                </c:pt>
                <c:pt idx="537">
                  <c:v>1</c:v>
                </c:pt>
                <c:pt idx="538">
                  <c:v>1</c:v>
                </c:pt>
                <c:pt idx="539">
                  <c:v>1</c:v>
                </c:pt>
                <c:pt idx="540">
                  <c:v>1</c:v>
                </c:pt>
                <c:pt idx="541">
                  <c:v>1</c:v>
                </c:pt>
                <c:pt idx="542">
                  <c:v>1</c:v>
                </c:pt>
                <c:pt idx="543">
                  <c:v>1</c:v>
                </c:pt>
                <c:pt idx="544">
                  <c:v>1</c:v>
                </c:pt>
                <c:pt idx="545">
                  <c:v>1</c:v>
                </c:pt>
                <c:pt idx="546">
                  <c:v>1</c:v>
                </c:pt>
                <c:pt idx="547">
                  <c:v>1</c:v>
                </c:pt>
                <c:pt idx="548">
                  <c:v>1</c:v>
                </c:pt>
                <c:pt idx="549">
                  <c:v>1</c:v>
                </c:pt>
                <c:pt idx="550">
                  <c:v>1</c:v>
                </c:pt>
                <c:pt idx="551">
                  <c:v>1</c:v>
                </c:pt>
                <c:pt idx="552">
                  <c:v>1</c:v>
                </c:pt>
                <c:pt idx="553">
                  <c:v>1</c:v>
                </c:pt>
                <c:pt idx="554">
                  <c:v>1</c:v>
                </c:pt>
                <c:pt idx="555">
                  <c:v>1</c:v>
                </c:pt>
                <c:pt idx="556">
                  <c:v>1</c:v>
                </c:pt>
                <c:pt idx="557">
                  <c:v>1</c:v>
                </c:pt>
                <c:pt idx="558">
                  <c:v>1</c:v>
                </c:pt>
                <c:pt idx="559">
                  <c:v>1</c:v>
                </c:pt>
                <c:pt idx="560">
                  <c:v>1</c:v>
                </c:pt>
                <c:pt idx="561">
                  <c:v>1</c:v>
                </c:pt>
                <c:pt idx="562">
                  <c:v>1</c:v>
                </c:pt>
                <c:pt idx="563">
                  <c:v>1</c:v>
                </c:pt>
                <c:pt idx="564">
                  <c:v>1</c:v>
                </c:pt>
                <c:pt idx="565">
                  <c:v>1</c:v>
                </c:pt>
                <c:pt idx="566">
                  <c:v>1</c:v>
                </c:pt>
                <c:pt idx="567">
                  <c:v>1</c:v>
                </c:pt>
                <c:pt idx="568">
                  <c:v>1</c:v>
                </c:pt>
                <c:pt idx="569">
                  <c:v>1</c:v>
                </c:pt>
                <c:pt idx="570">
                  <c:v>1</c:v>
                </c:pt>
                <c:pt idx="571">
                  <c:v>1</c:v>
                </c:pt>
                <c:pt idx="572">
                  <c:v>1</c:v>
                </c:pt>
                <c:pt idx="573">
                  <c:v>1</c:v>
                </c:pt>
                <c:pt idx="574">
                  <c:v>1</c:v>
                </c:pt>
                <c:pt idx="575">
                  <c:v>1</c:v>
                </c:pt>
                <c:pt idx="576">
                  <c:v>1</c:v>
                </c:pt>
                <c:pt idx="577">
                  <c:v>1</c:v>
                </c:pt>
                <c:pt idx="578">
                  <c:v>1</c:v>
                </c:pt>
                <c:pt idx="579">
                  <c:v>1</c:v>
                </c:pt>
                <c:pt idx="580">
                  <c:v>1</c:v>
                </c:pt>
                <c:pt idx="581">
                  <c:v>1</c:v>
                </c:pt>
                <c:pt idx="582">
                  <c:v>1</c:v>
                </c:pt>
                <c:pt idx="583">
                  <c:v>1</c:v>
                </c:pt>
                <c:pt idx="584">
                  <c:v>1</c:v>
                </c:pt>
                <c:pt idx="585">
                  <c:v>1</c:v>
                </c:pt>
                <c:pt idx="586">
                  <c:v>1</c:v>
                </c:pt>
                <c:pt idx="587">
                  <c:v>1</c:v>
                </c:pt>
                <c:pt idx="588">
                  <c:v>1</c:v>
                </c:pt>
                <c:pt idx="589">
                  <c:v>1</c:v>
                </c:pt>
                <c:pt idx="590">
                  <c:v>1</c:v>
                </c:pt>
                <c:pt idx="591">
                  <c:v>1</c:v>
                </c:pt>
                <c:pt idx="592">
                  <c:v>1</c:v>
                </c:pt>
                <c:pt idx="593">
                  <c:v>1</c:v>
                </c:pt>
                <c:pt idx="594">
                  <c:v>1</c:v>
                </c:pt>
                <c:pt idx="595">
                  <c:v>1</c:v>
                </c:pt>
                <c:pt idx="596">
                  <c:v>1</c:v>
                </c:pt>
                <c:pt idx="597">
                  <c:v>1</c:v>
                </c:pt>
                <c:pt idx="598">
                  <c:v>1</c:v>
                </c:pt>
                <c:pt idx="599">
                  <c:v>1</c:v>
                </c:pt>
                <c:pt idx="600">
                  <c:v>1</c:v>
                </c:pt>
                <c:pt idx="601">
                  <c:v>1</c:v>
                </c:pt>
                <c:pt idx="602">
                  <c:v>1</c:v>
                </c:pt>
                <c:pt idx="603">
                  <c:v>1</c:v>
                </c:pt>
                <c:pt idx="604">
                  <c:v>1</c:v>
                </c:pt>
                <c:pt idx="605">
                  <c:v>1</c:v>
                </c:pt>
                <c:pt idx="606">
                  <c:v>1</c:v>
                </c:pt>
                <c:pt idx="607">
                  <c:v>1</c:v>
                </c:pt>
                <c:pt idx="608">
                  <c:v>1</c:v>
                </c:pt>
                <c:pt idx="609">
                  <c:v>1</c:v>
                </c:pt>
                <c:pt idx="610">
                  <c:v>1</c:v>
                </c:pt>
                <c:pt idx="611">
                  <c:v>1</c:v>
                </c:pt>
                <c:pt idx="612">
                  <c:v>1</c:v>
                </c:pt>
                <c:pt idx="613">
                  <c:v>1</c:v>
                </c:pt>
                <c:pt idx="614">
                  <c:v>1</c:v>
                </c:pt>
                <c:pt idx="615">
                  <c:v>1</c:v>
                </c:pt>
                <c:pt idx="616">
                  <c:v>1</c:v>
                </c:pt>
                <c:pt idx="617">
                  <c:v>1</c:v>
                </c:pt>
                <c:pt idx="618">
                  <c:v>1</c:v>
                </c:pt>
                <c:pt idx="619">
                  <c:v>1</c:v>
                </c:pt>
                <c:pt idx="620">
                  <c:v>1</c:v>
                </c:pt>
                <c:pt idx="621">
                  <c:v>1</c:v>
                </c:pt>
                <c:pt idx="622">
                  <c:v>1</c:v>
                </c:pt>
                <c:pt idx="623">
                  <c:v>1</c:v>
                </c:pt>
                <c:pt idx="624">
                  <c:v>1</c:v>
                </c:pt>
                <c:pt idx="625">
                  <c:v>1</c:v>
                </c:pt>
                <c:pt idx="626">
                  <c:v>1</c:v>
                </c:pt>
                <c:pt idx="627">
                  <c:v>1</c:v>
                </c:pt>
                <c:pt idx="628">
                  <c:v>1</c:v>
                </c:pt>
                <c:pt idx="629">
                  <c:v>1</c:v>
                </c:pt>
                <c:pt idx="630">
                  <c:v>1</c:v>
                </c:pt>
                <c:pt idx="631">
                  <c:v>1</c:v>
                </c:pt>
                <c:pt idx="632">
                  <c:v>1</c:v>
                </c:pt>
                <c:pt idx="633">
                  <c:v>1</c:v>
                </c:pt>
                <c:pt idx="634">
                  <c:v>1</c:v>
                </c:pt>
                <c:pt idx="635">
                  <c:v>1</c:v>
                </c:pt>
                <c:pt idx="636">
                  <c:v>1</c:v>
                </c:pt>
                <c:pt idx="637">
                  <c:v>1</c:v>
                </c:pt>
                <c:pt idx="638">
                  <c:v>1</c:v>
                </c:pt>
                <c:pt idx="639">
                  <c:v>1</c:v>
                </c:pt>
                <c:pt idx="640">
                  <c:v>1</c:v>
                </c:pt>
                <c:pt idx="641">
                  <c:v>1</c:v>
                </c:pt>
                <c:pt idx="642">
                  <c:v>1</c:v>
                </c:pt>
                <c:pt idx="643">
                  <c:v>1</c:v>
                </c:pt>
                <c:pt idx="644">
                  <c:v>1</c:v>
                </c:pt>
                <c:pt idx="645">
                  <c:v>1</c:v>
                </c:pt>
                <c:pt idx="646">
                  <c:v>1</c:v>
                </c:pt>
                <c:pt idx="647">
                  <c:v>1</c:v>
                </c:pt>
                <c:pt idx="648">
                  <c:v>1</c:v>
                </c:pt>
                <c:pt idx="649">
                  <c:v>1</c:v>
                </c:pt>
                <c:pt idx="650">
                  <c:v>1</c:v>
                </c:pt>
                <c:pt idx="651">
                  <c:v>1</c:v>
                </c:pt>
                <c:pt idx="652">
                  <c:v>1</c:v>
                </c:pt>
                <c:pt idx="653">
                  <c:v>1</c:v>
                </c:pt>
                <c:pt idx="654">
                  <c:v>1</c:v>
                </c:pt>
                <c:pt idx="655">
                  <c:v>1</c:v>
                </c:pt>
                <c:pt idx="656">
                  <c:v>1</c:v>
                </c:pt>
                <c:pt idx="657">
                  <c:v>1</c:v>
                </c:pt>
                <c:pt idx="658">
                  <c:v>1</c:v>
                </c:pt>
                <c:pt idx="659">
                  <c:v>1</c:v>
                </c:pt>
                <c:pt idx="660">
                  <c:v>1</c:v>
                </c:pt>
                <c:pt idx="661">
                  <c:v>1</c:v>
                </c:pt>
                <c:pt idx="662">
                  <c:v>1</c:v>
                </c:pt>
                <c:pt idx="663">
                  <c:v>1</c:v>
                </c:pt>
                <c:pt idx="664">
                  <c:v>1</c:v>
                </c:pt>
                <c:pt idx="665">
                  <c:v>1</c:v>
                </c:pt>
                <c:pt idx="666">
                  <c:v>1</c:v>
                </c:pt>
                <c:pt idx="667">
                  <c:v>1</c:v>
                </c:pt>
                <c:pt idx="668">
                  <c:v>1</c:v>
                </c:pt>
                <c:pt idx="669">
                  <c:v>1</c:v>
                </c:pt>
                <c:pt idx="670">
                  <c:v>1</c:v>
                </c:pt>
                <c:pt idx="671">
                  <c:v>1</c:v>
                </c:pt>
                <c:pt idx="672">
                  <c:v>1</c:v>
                </c:pt>
                <c:pt idx="673">
                  <c:v>1</c:v>
                </c:pt>
                <c:pt idx="674">
                  <c:v>1</c:v>
                </c:pt>
                <c:pt idx="675">
                  <c:v>1</c:v>
                </c:pt>
                <c:pt idx="676">
                  <c:v>1</c:v>
                </c:pt>
                <c:pt idx="677">
                  <c:v>1</c:v>
                </c:pt>
                <c:pt idx="678">
                  <c:v>1</c:v>
                </c:pt>
                <c:pt idx="679">
                  <c:v>1</c:v>
                </c:pt>
                <c:pt idx="680">
                  <c:v>1</c:v>
                </c:pt>
                <c:pt idx="681">
                  <c:v>1</c:v>
                </c:pt>
                <c:pt idx="682">
                  <c:v>1</c:v>
                </c:pt>
                <c:pt idx="683">
                  <c:v>1</c:v>
                </c:pt>
                <c:pt idx="684">
                  <c:v>1</c:v>
                </c:pt>
                <c:pt idx="685">
                  <c:v>1</c:v>
                </c:pt>
                <c:pt idx="686">
                  <c:v>1</c:v>
                </c:pt>
                <c:pt idx="687">
                  <c:v>1</c:v>
                </c:pt>
                <c:pt idx="688">
                  <c:v>1</c:v>
                </c:pt>
                <c:pt idx="689">
                  <c:v>1</c:v>
                </c:pt>
                <c:pt idx="690">
                  <c:v>1</c:v>
                </c:pt>
                <c:pt idx="691">
                  <c:v>1</c:v>
                </c:pt>
                <c:pt idx="692">
                  <c:v>1</c:v>
                </c:pt>
                <c:pt idx="693">
                  <c:v>1</c:v>
                </c:pt>
                <c:pt idx="694">
                  <c:v>1</c:v>
                </c:pt>
                <c:pt idx="695">
                  <c:v>1</c:v>
                </c:pt>
                <c:pt idx="696">
                  <c:v>1</c:v>
                </c:pt>
                <c:pt idx="697">
                  <c:v>1</c:v>
                </c:pt>
                <c:pt idx="698">
                  <c:v>1</c:v>
                </c:pt>
                <c:pt idx="699">
                  <c:v>1</c:v>
                </c:pt>
                <c:pt idx="700">
                  <c:v>1</c:v>
                </c:pt>
                <c:pt idx="701">
                  <c:v>1</c:v>
                </c:pt>
                <c:pt idx="702">
                  <c:v>1</c:v>
                </c:pt>
                <c:pt idx="703">
                  <c:v>1</c:v>
                </c:pt>
                <c:pt idx="704">
                  <c:v>1</c:v>
                </c:pt>
                <c:pt idx="705">
                  <c:v>1</c:v>
                </c:pt>
                <c:pt idx="706">
                  <c:v>1</c:v>
                </c:pt>
                <c:pt idx="707">
                  <c:v>1</c:v>
                </c:pt>
                <c:pt idx="708">
                  <c:v>1</c:v>
                </c:pt>
                <c:pt idx="709">
                  <c:v>1</c:v>
                </c:pt>
                <c:pt idx="710">
                  <c:v>1</c:v>
                </c:pt>
                <c:pt idx="711">
                  <c:v>1</c:v>
                </c:pt>
                <c:pt idx="712">
                  <c:v>1</c:v>
                </c:pt>
                <c:pt idx="713">
                  <c:v>1</c:v>
                </c:pt>
                <c:pt idx="714">
                  <c:v>1</c:v>
                </c:pt>
                <c:pt idx="715">
                  <c:v>1</c:v>
                </c:pt>
                <c:pt idx="716">
                  <c:v>1</c:v>
                </c:pt>
                <c:pt idx="717">
                  <c:v>1</c:v>
                </c:pt>
                <c:pt idx="718">
                  <c:v>1</c:v>
                </c:pt>
                <c:pt idx="719">
                  <c:v>1</c:v>
                </c:pt>
                <c:pt idx="720">
                  <c:v>1</c:v>
                </c:pt>
                <c:pt idx="721">
                  <c:v>1</c:v>
                </c:pt>
                <c:pt idx="722">
                  <c:v>1</c:v>
                </c:pt>
                <c:pt idx="723">
                  <c:v>1</c:v>
                </c:pt>
                <c:pt idx="724">
                  <c:v>1</c:v>
                </c:pt>
                <c:pt idx="725">
                  <c:v>1</c:v>
                </c:pt>
                <c:pt idx="726">
                  <c:v>1</c:v>
                </c:pt>
                <c:pt idx="727">
                  <c:v>1</c:v>
                </c:pt>
                <c:pt idx="728">
                  <c:v>1</c:v>
                </c:pt>
                <c:pt idx="729">
                  <c:v>1</c:v>
                </c:pt>
                <c:pt idx="730">
                  <c:v>1</c:v>
                </c:pt>
                <c:pt idx="731">
                  <c:v>1</c:v>
                </c:pt>
                <c:pt idx="732">
                  <c:v>1</c:v>
                </c:pt>
                <c:pt idx="733">
                  <c:v>1</c:v>
                </c:pt>
                <c:pt idx="734">
                  <c:v>1</c:v>
                </c:pt>
                <c:pt idx="735">
                  <c:v>1</c:v>
                </c:pt>
                <c:pt idx="736">
                  <c:v>1</c:v>
                </c:pt>
                <c:pt idx="737">
                  <c:v>1</c:v>
                </c:pt>
                <c:pt idx="738">
                  <c:v>1</c:v>
                </c:pt>
                <c:pt idx="739">
                  <c:v>1</c:v>
                </c:pt>
                <c:pt idx="740">
                  <c:v>1</c:v>
                </c:pt>
                <c:pt idx="741">
                  <c:v>1</c:v>
                </c:pt>
                <c:pt idx="742">
                  <c:v>1</c:v>
                </c:pt>
                <c:pt idx="743">
                  <c:v>1</c:v>
                </c:pt>
                <c:pt idx="744">
                  <c:v>1</c:v>
                </c:pt>
                <c:pt idx="745">
                  <c:v>1</c:v>
                </c:pt>
                <c:pt idx="746">
                  <c:v>1</c:v>
                </c:pt>
                <c:pt idx="747">
                  <c:v>1</c:v>
                </c:pt>
                <c:pt idx="748">
                  <c:v>1</c:v>
                </c:pt>
                <c:pt idx="749">
                  <c:v>1</c:v>
                </c:pt>
                <c:pt idx="750">
                  <c:v>1</c:v>
                </c:pt>
                <c:pt idx="751">
                  <c:v>1</c:v>
                </c:pt>
                <c:pt idx="752">
                  <c:v>1</c:v>
                </c:pt>
                <c:pt idx="753">
                  <c:v>1</c:v>
                </c:pt>
                <c:pt idx="754">
                  <c:v>1</c:v>
                </c:pt>
                <c:pt idx="755">
                  <c:v>1</c:v>
                </c:pt>
                <c:pt idx="756">
                  <c:v>1</c:v>
                </c:pt>
                <c:pt idx="757">
                  <c:v>1</c:v>
                </c:pt>
                <c:pt idx="758">
                  <c:v>1</c:v>
                </c:pt>
                <c:pt idx="759">
                  <c:v>1</c:v>
                </c:pt>
                <c:pt idx="760">
                  <c:v>1</c:v>
                </c:pt>
                <c:pt idx="761">
                  <c:v>1</c:v>
                </c:pt>
                <c:pt idx="762">
                  <c:v>1</c:v>
                </c:pt>
                <c:pt idx="763">
                  <c:v>1</c:v>
                </c:pt>
                <c:pt idx="764">
                  <c:v>1</c:v>
                </c:pt>
                <c:pt idx="765">
                  <c:v>1</c:v>
                </c:pt>
                <c:pt idx="766">
                  <c:v>1</c:v>
                </c:pt>
                <c:pt idx="767">
                  <c:v>1</c:v>
                </c:pt>
                <c:pt idx="768">
                  <c:v>1</c:v>
                </c:pt>
                <c:pt idx="769">
                  <c:v>1</c:v>
                </c:pt>
                <c:pt idx="770">
                  <c:v>1</c:v>
                </c:pt>
                <c:pt idx="771">
                  <c:v>1</c:v>
                </c:pt>
                <c:pt idx="772">
                  <c:v>1</c:v>
                </c:pt>
                <c:pt idx="773">
                  <c:v>1</c:v>
                </c:pt>
                <c:pt idx="774">
                  <c:v>1</c:v>
                </c:pt>
                <c:pt idx="775">
                  <c:v>1</c:v>
                </c:pt>
                <c:pt idx="776">
                  <c:v>1</c:v>
                </c:pt>
                <c:pt idx="777">
                  <c:v>1</c:v>
                </c:pt>
                <c:pt idx="778">
                  <c:v>1</c:v>
                </c:pt>
                <c:pt idx="779">
                  <c:v>1</c:v>
                </c:pt>
                <c:pt idx="780">
                  <c:v>1</c:v>
                </c:pt>
                <c:pt idx="781">
                  <c:v>1</c:v>
                </c:pt>
                <c:pt idx="782">
                  <c:v>1</c:v>
                </c:pt>
                <c:pt idx="783">
                  <c:v>1</c:v>
                </c:pt>
                <c:pt idx="784">
                  <c:v>1</c:v>
                </c:pt>
                <c:pt idx="785">
                  <c:v>1</c:v>
                </c:pt>
                <c:pt idx="786">
                  <c:v>1</c:v>
                </c:pt>
                <c:pt idx="787">
                  <c:v>1</c:v>
                </c:pt>
                <c:pt idx="788">
                  <c:v>1</c:v>
                </c:pt>
                <c:pt idx="789">
                  <c:v>1</c:v>
                </c:pt>
                <c:pt idx="790">
                  <c:v>1</c:v>
                </c:pt>
                <c:pt idx="791">
                  <c:v>1</c:v>
                </c:pt>
                <c:pt idx="792">
                  <c:v>1</c:v>
                </c:pt>
                <c:pt idx="793">
                  <c:v>1</c:v>
                </c:pt>
                <c:pt idx="794">
                  <c:v>1</c:v>
                </c:pt>
                <c:pt idx="795">
                  <c:v>1</c:v>
                </c:pt>
                <c:pt idx="796">
                  <c:v>1</c:v>
                </c:pt>
                <c:pt idx="797">
                  <c:v>1</c:v>
                </c:pt>
                <c:pt idx="798">
                  <c:v>1</c:v>
                </c:pt>
                <c:pt idx="799">
                  <c:v>1</c:v>
                </c:pt>
                <c:pt idx="800">
                  <c:v>1</c:v>
                </c:pt>
                <c:pt idx="801">
                  <c:v>1</c:v>
                </c:pt>
                <c:pt idx="802">
                  <c:v>1</c:v>
                </c:pt>
                <c:pt idx="803">
                  <c:v>1</c:v>
                </c:pt>
                <c:pt idx="804">
                  <c:v>1</c:v>
                </c:pt>
                <c:pt idx="805">
                  <c:v>1</c:v>
                </c:pt>
                <c:pt idx="806">
                  <c:v>1</c:v>
                </c:pt>
                <c:pt idx="807">
                  <c:v>1</c:v>
                </c:pt>
                <c:pt idx="808">
                  <c:v>1</c:v>
                </c:pt>
                <c:pt idx="809">
                  <c:v>1</c:v>
                </c:pt>
                <c:pt idx="810">
                  <c:v>1</c:v>
                </c:pt>
                <c:pt idx="811">
                  <c:v>1</c:v>
                </c:pt>
                <c:pt idx="812">
                  <c:v>1</c:v>
                </c:pt>
                <c:pt idx="813">
                  <c:v>1</c:v>
                </c:pt>
                <c:pt idx="814">
                  <c:v>1</c:v>
                </c:pt>
                <c:pt idx="815">
                  <c:v>1</c:v>
                </c:pt>
                <c:pt idx="816">
                  <c:v>1</c:v>
                </c:pt>
                <c:pt idx="817">
                  <c:v>1</c:v>
                </c:pt>
                <c:pt idx="818">
                  <c:v>1</c:v>
                </c:pt>
                <c:pt idx="819">
                  <c:v>1</c:v>
                </c:pt>
                <c:pt idx="820">
                  <c:v>1</c:v>
                </c:pt>
                <c:pt idx="821">
                  <c:v>1</c:v>
                </c:pt>
                <c:pt idx="822">
                  <c:v>1</c:v>
                </c:pt>
                <c:pt idx="823">
                  <c:v>1</c:v>
                </c:pt>
                <c:pt idx="824">
                  <c:v>1</c:v>
                </c:pt>
                <c:pt idx="825">
                  <c:v>1</c:v>
                </c:pt>
                <c:pt idx="826">
                  <c:v>1</c:v>
                </c:pt>
                <c:pt idx="827">
                  <c:v>1</c:v>
                </c:pt>
                <c:pt idx="828">
                  <c:v>1</c:v>
                </c:pt>
                <c:pt idx="829">
                  <c:v>1</c:v>
                </c:pt>
                <c:pt idx="830">
                  <c:v>1</c:v>
                </c:pt>
                <c:pt idx="831">
                  <c:v>1</c:v>
                </c:pt>
                <c:pt idx="832">
                  <c:v>1</c:v>
                </c:pt>
                <c:pt idx="833">
                  <c:v>1</c:v>
                </c:pt>
                <c:pt idx="834">
                  <c:v>1</c:v>
                </c:pt>
                <c:pt idx="835">
                  <c:v>1</c:v>
                </c:pt>
                <c:pt idx="836">
                  <c:v>1</c:v>
                </c:pt>
                <c:pt idx="837">
                  <c:v>1</c:v>
                </c:pt>
                <c:pt idx="838">
                  <c:v>1</c:v>
                </c:pt>
                <c:pt idx="839">
                  <c:v>1</c:v>
                </c:pt>
                <c:pt idx="840">
                  <c:v>1</c:v>
                </c:pt>
                <c:pt idx="841">
                  <c:v>1</c:v>
                </c:pt>
                <c:pt idx="842">
                  <c:v>1</c:v>
                </c:pt>
                <c:pt idx="843">
                  <c:v>1</c:v>
                </c:pt>
                <c:pt idx="844">
                  <c:v>1</c:v>
                </c:pt>
                <c:pt idx="845">
                  <c:v>1</c:v>
                </c:pt>
                <c:pt idx="846">
                  <c:v>1</c:v>
                </c:pt>
                <c:pt idx="847">
                  <c:v>1</c:v>
                </c:pt>
                <c:pt idx="848">
                  <c:v>1</c:v>
                </c:pt>
                <c:pt idx="849">
                  <c:v>1</c:v>
                </c:pt>
                <c:pt idx="850">
                  <c:v>1</c:v>
                </c:pt>
                <c:pt idx="851">
                  <c:v>1</c:v>
                </c:pt>
                <c:pt idx="852">
                  <c:v>1</c:v>
                </c:pt>
                <c:pt idx="853">
                  <c:v>1</c:v>
                </c:pt>
                <c:pt idx="854">
                  <c:v>1</c:v>
                </c:pt>
                <c:pt idx="855">
                  <c:v>1</c:v>
                </c:pt>
                <c:pt idx="856">
                  <c:v>1</c:v>
                </c:pt>
                <c:pt idx="857">
                  <c:v>1</c:v>
                </c:pt>
                <c:pt idx="858">
                  <c:v>1</c:v>
                </c:pt>
                <c:pt idx="859">
                  <c:v>1</c:v>
                </c:pt>
                <c:pt idx="860">
                  <c:v>1</c:v>
                </c:pt>
                <c:pt idx="861">
                  <c:v>1</c:v>
                </c:pt>
                <c:pt idx="862">
                  <c:v>1</c:v>
                </c:pt>
                <c:pt idx="863">
                  <c:v>1</c:v>
                </c:pt>
                <c:pt idx="864">
                  <c:v>1</c:v>
                </c:pt>
                <c:pt idx="865">
                  <c:v>1</c:v>
                </c:pt>
                <c:pt idx="866">
                  <c:v>1</c:v>
                </c:pt>
                <c:pt idx="867">
                  <c:v>1</c:v>
                </c:pt>
                <c:pt idx="868">
                  <c:v>1</c:v>
                </c:pt>
                <c:pt idx="869">
                  <c:v>1</c:v>
                </c:pt>
                <c:pt idx="870">
                  <c:v>1</c:v>
                </c:pt>
                <c:pt idx="871">
                  <c:v>1</c:v>
                </c:pt>
                <c:pt idx="872">
                  <c:v>1</c:v>
                </c:pt>
                <c:pt idx="873">
                  <c:v>1</c:v>
                </c:pt>
                <c:pt idx="874">
                  <c:v>1</c:v>
                </c:pt>
                <c:pt idx="875">
                  <c:v>1</c:v>
                </c:pt>
                <c:pt idx="876">
                  <c:v>1</c:v>
                </c:pt>
                <c:pt idx="877">
                  <c:v>1</c:v>
                </c:pt>
                <c:pt idx="878">
                  <c:v>1</c:v>
                </c:pt>
                <c:pt idx="879">
                  <c:v>1</c:v>
                </c:pt>
                <c:pt idx="880">
                  <c:v>1</c:v>
                </c:pt>
                <c:pt idx="881">
                  <c:v>1</c:v>
                </c:pt>
                <c:pt idx="882">
                  <c:v>1</c:v>
                </c:pt>
                <c:pt idx="883">
                  <c:v>1</c:v>
                </c:pt>
                <c:pt idx="884">
                  <c:v>1</c:v>
                </c:pt>
                <c:pt idx="885">
                  <c:v>1</c:v>
                </c:pt>
                <c:pt idx="886">
                  <c:v>1</c:v>
                </c:pt>
                <c:pt idx="887">
                  <c:v>1</c:v>
                </c:pt>
                <c:pt idx="888">
                  <c:v>1</c:v>
                </c:pt>
                <c:pt idx="889">
                  <c:v>1</c:v>
                </c:pt>
                <c:pt idx="890">
                  <c:v>1</c:v>
                </c:pt>
                <c:pt idx="891">
                  <c:v>1</c:v>
                </c:pt>
                <c:pt idx="892">
                  <c:v>1</c:v>
                </c:pt>
                <c:pt idx="893">
                  <c:v>1</c:v>
                </c:pt>
                <c:pt idx="894">
                  <c:v>1</c:v>
                </c:pt>
                <c:pt idx="895">
                  <c:v>1</c:v>
                </c:pt>
                <c:pt idx="896">
                  <c:v>1</c:v>
                </c:pt>
                <c:pt idx="897">
                  <c:v>1</c:v>
                </c:pt>
                <c:pt idx="898">
                  <c:v>1</c:v>
                </c:pt>
                <c:pt idx="899">
                  <c:v>1</c:v>
                </c:pt>
                <c:pt idx="900">
                  <c:v>1</c:v>
                </c:pt>
                <c:pt idx="901">
                  <c:v>1</c:v>
                </c:pt>
                <c:pt idx="902">
                  <c:v>1</c:v>
                </c:pt>
                <c:pt idx="903">
                  <c:v>1</c:v>
                </c:pt>
                <c:pt idx="904">
                  <c:v>1</c:v>
                </c:pt>
                <c:pt idx="905">
                  <c:v>1</c:v>
                </c:pt>
                <c:pt idx="906">
                  <c:v>1</c:v>
                </c:pt>
                <c:pt idx="907">
                  <c:v>1</c:v>
                </c:pt>
                <c:pt idx="908">
                  <c:v>1</c:v>
                </c:pt>
                <c:pt idx="909">
                  <c:v>1</c:v>
                </c:pt>
                <c:pt idx="910">
                  <c:v>1</c:v>
                </c:pt>
                <c:pt idx="911">
                  <c:v>1</c:v>
                </c:pt>
                <c:pt idx="912">
                  <c:v>1</c:v>
                </c:pt>
                <c:pt idx="913">
                  <c:v>1</c:v>
                </c:pt>
                <c:pt idx="914">
                  <c:v>1</c:v>
                </c:pt>
                <c:pt idx="915">
                  <c:v>1</c:v>
                </c:pt>
                <c:pt idx="916">
                  <c:v>1</c:v>
                </c:pt>
                <c:pt idx="917">
                  <c:v>1</c:v>
                </c:pt>
                <c:pt idx="918">
                  <c:v>1</c:v>
                </c:pt>
                <c:pt idx="919">
                  <c:v>1</c:v>
                </c:pt>
                <c:pt idx="920">
                  <c:v>1</c:v>
                </c:pt>
                <c:pt idx="921">
                  <c:v>1</c:v>
                </c:pt>
                <c:pt idx="922">
                  <c:v>1</c:v>
                </c:pt>
                <c:pt idx="923">
                  <c:v>1</c:v>
                </c:pt>
                <c:pt idx="924">
                  <c:v>1</c:v>
                </c:pt>
                <c:pt idx="925">
                  <c:v>1</c:v>
                </c:pt>
                <c:pt idx="926">
                  <c:v>1</c:v>
                </c:pt>
                <c:pt idx="927">
                  <c:v>1</c:v>
                </c:pt>
                <c:pt idx="928">
                  <c:v>1</c:v>
                </c:pt>
                <c:pt idx="929">
                  <c:v>1</c:v>
                </c:pt>
                <c:pt idx="930">
                  <c:v>1</c:v>
                </c:pt>
                <c:pt idx="931">
                  <c:v>1</c:v>
                </c:pt>
                <c:pt idx="932">
                  <c:v>1</c:v>
                </c:pt>
                <c:pt idx="933">
                  <c:v>1</c:v>
                </c:pt>
                <c:pt idx="934">
                  <c:v>1</c:v>
                </c:pt>
                <c:pt idx="935">
                  <c:v>1</c:v>
                </c:pt>
                <c:pt idx="936">
                  <c:v>1</c:v>
                </c:pt>
                <c:pt idx="937">
                  <c:v>1</c:v>
                </c:pt>
                <c:pt idx="938">
                  <c:v>1</c:v>
                </c:pt>
                <c:pt idx="939">
                  <c:v>1</c:v>
                </c:pt>
                <c:pt idx="940">
                  <c:v>1</c:v>
                </c:pt>
                <c:pt idx="941">
                  <c:v>1</c:v>
                </c:pt>
                <c:pt idx="942">
                  <c:v>1</c:v>
                </c:pt>
                <c:pt idx="943">
                  <c:v>1</c:v>
                </c:pt>
                <c:pt idx="944">
                  <c:v>1</c:v>
                </c:pt>
                <c:pt idx="945">
                  <c:v>1</c:v>
                </c:pt>
                <c:pt idx="946">
                  <c:v>1</c:v>
                </c:pt>
                <c:pt idx="947">
                  <c:v>1</c:v>
                </c:pt>
                <c:pt idx="948">
                  <c:v>1</c:v>
                </c:pt>
                <c:pt idx="949">
                  <c:v>1</c:v>
                </c:pt>
                <c:pt idx="950">
                  <c:v>1</c:v>
                </c:pt>
                <c:pt idx="951">
                  <c:v>1</c:v>
                </c:pt>
                <c:pt idx="952">
                  <c:v>1</c:v>
                </c:pt>
                <c:pt idx="953">
                  <c:v>1</c:v>
                </c:pt>
                <c:pt idx="954">
                  <c:v>1</c:v>
                </c:pt>
                <c:pt idx="955">
                  <c:v>1</c:v>
                </c:pt>
                <c:pt idx="956">
                  <c:v>1</c:v>
                </c:pt>
                <c:pt idx="957">
                  <c:v>1</c:v>
                </c:pt>
                <c:pt idx="958">
                  <c:v>1</c:v>
                </c:pt>
                <c:pt idx="959">
                  <c:v>1</c:v>
                </c:pt>
                <c:pt idx="960">
                  <c:v>1</c:v>
                </c:pt>
                <c:pt idx="961">
                  <c:v>1</c:v>
                </c:pt>
                <c:pt idx="962">
                  <c:v>1</c:v>
                </c:pt>
                <c:pt idx="963">
                  <c:v>1</c:v>
                </c:pt>
                <c:pt idx="964">
                  <c:v>1</c:v>
                </c:pt>
                <c:pt idx="965">
                  <c:v>1</c:v>
                </c:pt>
                <c:pt idx="966">
                  <c:v>1</c:v>
                </c:pt>
                <c:pt idx="967">
                  <c:v>1</c:v>
                </c:pt>
                <c:pt idx="968">
                  <c:v>1</c:v>
                </c:pt>
                <c:pt idx="969">
                  <c:v>1</c:v>
                </c:pt>
                <c:pt idx="970">
                  <c:v>1</c:v>
                </c:pt>
                <c:pt idx="971">
                  <c:v>1</c:v>
                </c:pt>
                <c:pt idx="972">
                  <c:v>1</c:v>
                </c:pt>
                <c:pt idx="973">
                  <c:v>1</c:v>
                </c:pt>
                <c:pt idx="974">
                  <c:v>1</c:v>
                </c:pt>
                <c:pt idx="975">
                  <c:v>1</c:v>
                </c:pt>
                <c:pt idx="976">
                  <c:v>1</c:v>
                </c:pt>
                <c:pt idx="977">
                  <c:v>1</c:v>
                </c:pt>
                <c:pt idx="978">
                  <c:v>1</c:v>
                </c:pt>
                <c:pt idx="979">
                  <c:v>1</c:v>
                </c:pt>
                <c:pt idx="980">
                  <c:v>1</c:v>
                </c:pt>
                <c:pt idx="981">
                  <c:v>1</c:v>
                </c:pt>
                <c:pt idx="982">
                  <c:v>1</c:v>
                </c:pt>
                <c:pt idx="983">
                  <c:v>1</c:v>
                </c:pt>
                <c:pt idx="984">
                  <c:v>1</c:v>
                </c:pt>
                <c:pt idx="985">
                  <c:v>1</c:v>
                </c:pt>
                <c:pt idx="986">
                  <c:v>1</c:v>
                </c:pt>
                <c:pt idx="987">
                  <c:v>1</c:v>
                </c:pt>
                <c:pt idx="988">
                  <c:v>1</c:v>
                </c:pt>
                <c:pt idx="989">
                  <c:v>1</c:v>
                </c:pt>
                <c:pt idx="990">
                  <c:v>1</c:v>
                </c:pt>
                <c:pt idx="991">
                  <c:v>1</c:v>
                </c:pt>
                <c:pt idx="992">
                  <c:v>1</c:v>
                </c:pt>
                <c:pt idx="993">
                  <c:v>1</c:v>
                </c:pt>
                <c:pt idx="994">
                  <c:v>1</c:v>
                </c:pt>
                <c:pt idx="995">
                  <c:v>1</c:v>
                </c:pt>
                <c:pt idx="996">
                  <c:v>1</c:v>
                </c:pt>
                <c:pt idx="997">
                  <c:v>1</c:v>
                </c:pt>
                <c:pt idx="998">
                  <c:v>1</c:v>
                </c:pt>
                <c:pt idx="999">
                  <c:v>1</c:v>
                </c:pt>
                <c:pt idx="1000">
                  <c:v>1</c:v>
                </c:pt>
                <c:pt idx="1001">
                  <c:v>1</c:v>
                </c:pt>
                <c:pt idx="1002">
                  <c:v>1</c:v>
                </c:pt>
                <c:pt idx="1003">
                  <c:v>1</c:v>
                </c:pt>
                <c:pt idx="1004">
                  <c:v>1</c:v>
                </c:pt>
                <c:pt idx="1005">
                  <c:v>1</c:v>
                </c:pt>
                <c:pt idx="1006">
                  <c:v>1</c:v>
                </c:pt>
                <c:pt idx="1007">
                  <c:v>1</c:v>
                </c:pt>
                <c:pt idx="1008">
                  <c:v>1</c:v>
                </c:pt>
                <c:pt idx="1009">
                  <c:v>1</c:v>
                </c:pt>
                <c:pt idx="1010">
                  <c:v>1</c:v>
                </c:pt>
                <c:pt idx="1011">
                  <c:v>1</c:v>
                </c:pt>
                <c:pt idx="1012">
                  <c:v>1</c:v>
                </c:pt>
                <c:pt idx="1013">
                  <c:v>1</c:v>
                </c:pt>
                <c:pt idx="1014">
                  <c:v>1</c:v>
                </c:pt>
                <c:pt idx="1015">
                  <c:v>1</c:v>
                </c:pt>
                <c:pt idx="1016">
                  <c:v>1</c:v>
                </c:pt>
                <c:pt idx="1017">
                  <c:v>1</c:v>
                </c:pt>
                <c:pt idx="1018">
                  <c:v>1</c:v>
                </c:pt>
                <c:pt idx="1019">
                  <c:v>1</c:v>
                </c:pt>
                <c:pt idx="1020">
                  <c:v>1</c:v>
                </c:pt>
                <c:pt idx="1021">
                  <c:v>1</c:v>
                </c:pt>
                <c:pt idx="1022">
                  <c:v>1</c:v>
                </c:pt>
                <c:pt idx="1023">
                  <c:v>1</c:v>
                </c:pt>
                <c:pt idx="1024">
                  <c:v>1</c:v>
                </c:pt>
                <c:pt idx="1025">
                  <c:v>1</c:v>
                </c:pt>
                <c:pt idx="1026">
                  <c:v>1</c:v>
                </c:pt>
                <c:pt idx="1027">
                  <c:v>1</c:v>
                </c:pt>
                <c:pt idx="1028">
                  <c:v>1</c:v>
                </c:pt>
                <c:pt idx="1029">
                  <c:v>1</c:v>
                </c:pt>
                <c:pt idx="1030">
                  <c:v>1</c:v>
                </c:pt>
                <c:pt idx="1031">
                  <c:v>1</c:v>
                </c:pt>
                <c:pt idx="1032">
                  <c:v>1</c:v>
                </c:pt>
                <c:pt idx="1033">
                  <c:v>1</c:v>
                </c:pt>
                <c:pt idx="1034">
                  <c:v>1</c:v>
                </c:pt>
                <c:pt idx="1035">
                  <c:v>1</c:v>
                </c:pt>
                <c:pt idx="1036">
                  <c:v>1</c:v>
                </c:pt>
                <c:pt idx="1037">
                  <c:v>1</c:v>
                </c:pt>
                <c:pt idx="1038">
                  <c:v>1</c:v>
                </c:pt>
                <c:pt idx="1039">
                  <c:v>1</c:v>
                </c:pt>
                <c:pt idx="1040">
                  <c:v>1</c:v>
                </c:pt>
                <c:pt idx="1041">
                  <c:v>1</c:v>
                </c:pt>
                <c:pt idx="1042">
                  <c:v>1</c:v>
                </c:pt>
                <c:pt idx="1043">
                  <c:v>1</c:v>
                </c:pt>
                <c:pt idx="1044">
                  <c:v>1</c:v>
                </c:pt>
                <c:pt idx="1045">
                  <c:v>1</c:v>
                </c:pt>
                <c:pt idx="1046">
                  <c:v>1</c:v>
                </c:pt>
                <c:pt idx="1047">
                  <c:v>1</c:v>
                </c:pt>
                <c:pt idx="1048">
                  <c:v>1</c:v>
                </c:pt>
                <c:pt idx="1049">
                  <c:v>1</c:v>
                </c:pt>
                <c:pt idx="1050">
                  <c:v>1</c:v>
                </c:pt>
                <c:pt idx="1051">
                  <c:v>1</c:v>
                </c:pt>
                <c:pt idx="1052">
                  <c:v>1</c:v>
                </c:pt>
                <c:pt idx="1053">
                  <c:v>1</c:v>
                </c:pt>
                <c:pt idx="1054">
                  <c:v>1</c:v>
                </c:pt>
                <c:pt idx="1055">
                  <c:v>1</c:v>
                </c:pt>
                <c:pt idx="1056">
                  <c:v>1</c:v>
                </c:pt>
                <c:pt idx="1057">
                  <c:v>1</c:v>
                </c:pt>
                <c:pt idx="1058">
                  <c:v>1</c:v>
                </c:pt>
                <c:pt idx="1059">
                  <c:v>1</c:v>
                </c:pt>
                <c:pt idx="1060">
                  <c:v>1</c:v>
                </c:pt>
                <c:pt idx="1061">
                  <c:v>1</c:v>
                </c:pt>
                <c:pt idx="1062">
                  <c:v>1</c:v>
                </c:pt>
                <c:pt idx="1063">
                  <c:v>1</c:v>
                </c:pt>
                <c:pt idx="1064">
                  <c:v>1</c:v>
                </c:pt>
                <c:pt idx="1065">
                  <c:v>1</c:v>
                </c:pt>
                <c:pt idx="1066">
                  <c:v>1</c:v>
                </c:pt>
                <c:pt idx="1067">
                  <c:v>1</c:v>
                </c:pt>
                <c:pt idx="1068">
                  <c:v>1</c:v>
                </c:pt>
                <c:pt idx="1069">
                  <c:v>1</c:v>
                </c:pt>
                <c:pt idx="1070">
                  <c:v>1</c:v>
                </c:pt>
                <c:pt idx="1071">
                  <c:v>1</c:v>
                </c:pt>
                <c:pt idx="1072">
                  <c:v>1</c:v>
                </c:pt>
                <c:pt idx="1073">
                  <c:v>1</c:v>
                </c:pt>
                <c:pt idx="1074">
                  <c:v>1</c:v>
                </c:pt>
                <c:pt idx="1075">
                  <c:v>1</c:v>
                </c:pt>
                <c:pt idx="1076">
                  <c:v>1</c:v>
                </c:pt>
                <c:pt idx="1077">
                  <c:v>1</c:v>
                </c:pt>
                <c:pt idx="1078">
                  <c:v>1</c:v>
                </c:pt>
                <c:pt idx="1079">
                  <c:v>1</c:v>
                </c:pt>
                <c:pt idx="1080">
                  <c:v>1</c:v>
                </c:pt>
                <c:pt idx="1081">
                  <c:v>1</c:v>
                </c:pt>
                <c:pt idx="1082">
                  <c:v>1</c:v>
                </c:pt>
                <c:pt idx="1083">
                  <c:v>1</c:v>
                </c:pt>
                <c:pt idx="1084">
                  <c:v>1</c:v>
                </c:pt>
                <c:pt idx="1085">
                  <c:v>1</c:v>
                </c:pt>
                <c:pt idx="1086">
                  <c:v>1</c:v>
                </c:pt>
                <c:pt idx="1087">
                  <c:v>1</c:v>
                </c:pt>
                <c:pt idx="1088">
                  <c:v>1</c:v>
                </c:pt>
                <c:pt idx="1089">
                  <c:v>1</c:v>
                </c:pt>
                <c:pt idx="1090">
                  <c:v>1</c:v>
                </c:pt>
                <c:pt idx="1091">
                  <c:v>1</c:v>
                </c:pt>
                <c:pt idx="1092">
                  <c:v>1</c:v>
                </c:pt>
                <c:pt idx="1093">
                  <c:v>1</c:v>
                </c:pt>
                <c:pt idx="1094">
                  <c:v>1</c:v>
                </c:pt>
                <c:pt idx="1095">
                  <c:v>1</c:v>
                </c:pt>
                <c:pt idx="1096">
                  <c:v>1</c:v>
                </c:pt>
                <c:pt idx="1097">
                  <c:v>1</c:v>
                </c:pt>
                <c:pt idx="1098">
                  <c:v>1</c:v>
                </c:pt>
                <c:pt idx="1099">
                  <c:v>1</c:v>
                </c:pt>
                <c:pt idx="1100">
                  <c:v>1</c:v>
                </c:pt>
                <c:pt idx="1101">
                  <c:v>1</c:v>
                </c:pt>
                <c:pt idx="1102">
                  <c:v>1</c:v>
                </c:pt>
                <c:pt idx="1103">
                  <c:v>1</c:v>
                </c:pt>
                <c:pt idx="1104">
                  <c:v>1</c:v>
                </c:pt>
                <c:pt idx="1105">
                  <c:v>1</c:v>
                </c:pt>
                <c:pt idx="1106">
                  <c:v>1</c:v>
                </c:pt>
                <c:pt idx="1107">
                  <c:v>1</c:v>
                </c:pt>
                <c:pt idx="1108">
                  <c:v>1</c:v>
                </c:pt>
                <c:pt idx="1109">
                  <c:v>1</c:v>
                </c:pt>
                <c:pt idx="1110">
                  <c:v>1</c:v>
                </c:pt>
                <c:pt idx="1111">
                  <c:v>1</c:v>
                </c:pt>
                <c:pt idx="1112">
                  <c:v>1</c:v>
                </c:pt>
                <c:pt idx="1113">
                  <c:v>1</c:v>
                </c:pt>
                <c:pt idx="1114">
                  <c:v>1</c:v>
                </c:pt>
                <c:pt idx="1115">
                  <c:v>1</c:v>
                </c:pt>
                <c:pt idx="1116">
                  <c:v>1</c:v>
                </c:pt>
                <c:pt idx="1117">
                  <c:v>1</c:v>
                </c:pt>
                <c:pt idx="1118">
                  <c:v>1</c:v>
                </c:pt>
                <c:pt idx="1119">
                  <c:v>1</c:v>
                </c:pt>
                <c:pt idx="1120">
                  <c:v>1</c:v>
                </c:pt>
                <c:pt idx="1121">
                  <c:v>1</c:v>
                </c:pt>
                <c:pt idx="1122">
                  <c:v>1</c:v>
                </c:pt>
                <c:pt idx="1123">
                  <c:v>1</c:v>
                </c:pt>
                <c:pt idx="1124">
                  <c:v>1</c:v>
                </c:pt>
                <c:pt idx="1125">
                  <c:v>1</c:v>
                </c:pt>
                <c:pt idx="1126">
                  <c:v>1</c:v>
                </c:pt>
                <c:pt idx="1127">
                  <c:v>1</c:v>
                </c:pt>
                <c:pt idx="1128">
                  <c:v>1</c:v>
                </c:pt>
                <c:pt idx="1129">
                  <c:v>1</c:v>
                </c:pt>
                <c:pt idx="1130">
                  <c:v>1</c:v>
                </c:pt>
                <c:pt idx="1131">
                  <c:v>1</c:v>
                </c:pt>
                <c:pt idx="1132">
                  <c:v>1</c:v>
                </c:pt>
                <c:pt idx="1133">
                  <c:v>1</c:v>
                </c:pt>
                <c:pt idx="1134">
                  <c:v>1</c:v>
                </c:pt>
                <c:pt idx="1135">
                  <c:v>1</c:v>
                </c:pt>
                <c:pt idx="1136">
                  <c:v>1</c:v>
                </c:pt>
                <c:pt idx="1137">
                  <c:v>1</c:v>
                </c:pt>
                <c:pt idx="1138">
                  <c:v>1</c:v>
                </c:pt>
                <c:pt idx="1139">
                  <c:v>1</c:v>
                </c:pt>
                <c:pt idx="1140">
                  <c:v>1</c:v>
                </c:pt>
                <c:pt idx="1141">
                  <c:v>1</c:v>
                </c:pt>
                <c:pt idx="1142">
                  <c:v>1</c:v>
                </c:pt>
                <c:pt idx="1143">
                  <c:v>1</c:v>
                </c:pt>
                <c:pt idx="1144">
                  <c:v>1</c:v>
                </c:pt>
                <c:pt idx="1145">
                  <c:v>1</c:v>
                </c:pt>
                <c:pt idx="1146">
                  <c:v>1</c:v>
                </c:pt>
                <c:pt idx="1147">
                  <c:v>1</c:v>
                </c:pt>
                <c:pt idx="1148">
                  <c:v>1</c:v>
                </c:pt>
                <c:pt idx="1149">
                  <c:v>1</c:v>
                </c:pt>
                <c:pt idx="1150">
                  <c:v>1</c:v>
                </c:pt>
                <c:pt idx="1151">
                  <c:v>1</c:v>
                </c:pt>
                <c:pt idx="1152">
                  <c:v>1</c:v>
                </c:pt>
                <c:pt idx="1153">
                  <c:v>1</c:v>
                </c:pt>
                <c:pt idx="1154">
                  <c:v>1</c:v>
                </c:pt>
                <c:pt idx="1155">
                  <c:v>1</c:v>
                </c:pt>
                <c:pt idx="1156">
                  <c:v>1</c:v>
                </c:pt>
                <c:pt idx="1157">
                  <c:v>1</c:v>
                </c:pt>
                <c:pt idx="1158">
                  <c:v>1</c:v>
                </c:pt>
                <c:pt idx="1159">
                  <c:v>1</c:v>
                </c:pt>
                <c:pt idx="1160">
                  <c:v>1</c:v>
                </c:pt>
                <c:pt idx="1161">
                  <c:v>1</c:v>
                </c:pt>
                <c:pt idx="1162">
                  <c:v>1</c:v>
                </c:pt>
                <c:pt idx="1163">
                  <c:v>1</c:v>
                </c:pt>
                <c:pt idx="1164">
                  <c:v>1</c:v>
                </c:pt>
                <c:pt idx="1165">
                  <c:v>1</c:v>
                </c:pt>
                <c:pt idx="1166">
                  <c:v>1</c:v>
                </c:pt>
                <c:pt idx="1167">
                  <c:v>1</c:v>
                </c:pt>
                <c:pt idx="1168">
                  <c:v>1</c:v>
                </c:pt>
                <c:pt idx="1169">
                  <c:v>1</c:v>
                </c:pt>
                <c:pt idx="1170">
                  <c:v>1</c:v>
                </c:pt>
                <c:pt idx="1171">
                  <c:v>1</c:v>
                </c:pt>
                <c:pt idx="1172">
                  <c:v>1</c:v>
                </c:pt>
                <c:pt idx="1173">
                  <c:v>1</c:v>
                </c:pt>
                <c:pt idx="1174">
                  <c:v>1</c:v>
                </c:pt>
                <c:pt idx="1175">
                  <c:v>1</c:v>
                </c:pt>
                <c:pt idx="1176">
                  <c:v>1</c:v>
                </c:pt>
                <c:pt idx="1177">
                  <c:v>1</c:v>
                </c:pt>
                <c:pt idx="1178">
                  <c:v>1</c:v>
                </c:pt>
                <c:pt idx="1179">
                  <c:v>1</c:v>
                </c:pt>
                <c:pt idx="1180">
                  <c:v>1</c:v>
                </c:pt>
                <c:pt idx="1181">
                  <c:v>1</c:v>
                </c:pt>
                <c:pt idx="1182">
                  <c:v>1</c:v>
                </c:pt>
                <c:pt idx="1183">
                  <c:v>1</c:v>
                </c:pt>
                <c:pt idx="1184">
                  <c:v>1</c:v>
                </c:pt>
                <c:pt idx="1185">
                  <c:v>1</c:v>
                </c:pt>
                <c:pt idx="1186">
                  <c:v>1</c:v>
                </c:pt>
                <c:pt idx="1187">
                  <c:v>1</c:v>
                </c:pt>
                <c:pt idx="1188">
                  <c:v>1</c:v>
                </c:pt>
                <c:pt idx="1189">
                  <c:v>1</c:v>
                </c:pt>
                <c:pt idx="1190">
                  <c:v>1</c:v>
                </c:pt>
                <c:pt idx="1191">
                  <c:v>1</c:v>
                </c:pt>
                <c:pt idx="1192">
                  <c:v>1</c:v>
                </c:pt>
                <c:pt idx="1193">
                  <c:v>1</c:v>
                </c:pt>
                <c:pt idx="1194">
                  <c:v>1</c:v>
                </c:pt>
                <c:pt idx="1195">
                  <c:v>1</c:v>
                </c:pt>
                <c:pt idx="1196">
                  <c:v>1</c:v>
                </c:pt>
                <c:pt idx="1197">
                  <c:v>1</c:v>
                </c:pt>
                <c:pt idx="1198">
                  <c:v>1</c:v>
                </c:pt>
                <c:pt idx="1199">
                  <c:v>1</c:v>
                </c:pt>
                <c:pt idx="1200">
                  <c:v>1</c:v>
                </c:pt>
                <c:pt idx="1201">
                  <c:v>1</c:v>
                </c:pt>
                <c:pt idx="1202">
                  <c:v>1</c:v>
                </c:pt>
                <c:pt idx="1203">
                  <c:v>1</c:v>
                </c:pt>
                <c:pt idx="1204">
                  <c:v>1</c:v>
                </c:pt>
                <c:pt idx="1205">
                  <c:v>1</c:v>
                </c:pt>
                <c:pt idx="1206">
                  <c:v>1</c:v>
                </c:pt>
                <c:pt idx="1207">
                  <c:v>1</c:v>
                </c:pt>
                <c:pt idx="1208">
                  <c:v>1</c:v>
                </c:pt>
                <c:pt idx="1209">
                  <c:v>1</c:v>
                </c:pt>
                <c:pt idx="1210">
                  <c:v>1</c:v>
                </c:pt>
                <c:pt idx="1211">
                  <c:v>1</c:v>
                </c:pt>
                <c:pt idx="1212">
                  <c:v>1</c:v>
                </c:pt>
                <c:pt idx="1213">
                  <c:v>1</c:v>
                </c:pt>
                <c:pt idx="1214">
                  <c:v>1</c:v>
                </c:pt>
                <c:pt idx="1215">
                  <c:v>1</c:v>
                </c:pt>
                <c:pt idx="1216">
                  <c:v>1</c:v>
                </c:pt>
                <c:pt idx="1217">
                  <c:v>1</c:v>
                </c:pt>
                <c:pt idx="1218">
                  <c:v>1</c:v>
                </c:pt>
                <c:pt idx="1219">
                  <c:v>1</c:v>
                </c:pt>
                <c:pt idx="1220">
                  <c:v>1</c:v>
                </c:pt>
                <c:pt idx="1221">
                  <c:v>1</c:v>
                </c:pt>
                <c:pt idx="1222">
                  <c:v>1</c:v>
                </c:pt>
                <c:pt idx="1223">
                  <c:v>1</c:v>
                </c:pt>
                <c:pt idx="1224">
                  <c:v>1</c:v>
                </c:pt>
                <c:pt idx="1225">
                  <c:v>1</c:v>
                </c:pt>
                <c:pt idx="1226">
                  <c:v>1</c:v>
                </c:pt>
                <c:pt idx="1227">
                  <c:v>1</c:v>
                </c:pt>
                <c:pt idx="1228">
                  <c:v>1</c:v>
                </c:pt>
                <c:pt idx="1229">
                  <c:v>1</c:v>
                </c:pt>
                <c:pt idx="1230">
                  <c:v>1</c:v>
                </c:pt>
                <c:pt idx="1231">
                  <c:v>1</c:v>
                </c:pt>
                <c:pt idx="1232">
                  <c:v>1</c:v>
                </c:pt>
                <c:pt idx="1233">
                  <c:v>1</c:v>
                </c:pt>
                <c:pt idx="1234">
                  <c:v>1</c:v>
                </c:pt>
                <c:pt idx="1235">
                  <c:v>1</c:v>
                </c:pt>
                <c:pt idx="1236">
                  <c:v>1</c:v>
                </c:pt>
                <c:pt idx="1237">
                  <c:v>1</c:v>
                </c:pt>
                <c:pt idx="1238">
                  <c:v>1</c:v>
                </c:pt>
                <c:pt idx="1239">
                  <c:v>1</c:v>
                </c:pt>
                <c:pt idx="1240">
                  <c:v>1</c:v>
                </c:pt>
                <c:pt idx="1241">
                  <c:v>1</c:v>
                </c:pt>
                <c:pt idx="1242">
                  <c:v>1</c:v>
                </c:pt>
                <c:pt idx="1243">
                  <c:v>1</c:v>
                </c:pt>
                <c:pt idx="1244">
                  <c:v>1</c:v>
                </c:pt>
                <c:pt idx="1245">
                  <c:v>1</c:v>
                </c:pt>
                <c:pt idx="1246">
                  <c:v>1</c:v>
                </c:pt>
                <c:pt idx="1247">
                  <c:v>1</c:v>
                </c:pt>
                <c:pt idx="1248">
                  <c:v>1</c:v>
                </c:pt>
                <c:pt idx="1249">
                  <c:v>1</c:v>
                </c:pt>
                <c:pt idx="1250">
                  <c:v>1</c:v>
                </c:pt>
                <c:pt idx="1251">
                  <c:v>1</c:v>
                </c:pt>
                <c:pt idx="1252">
                  <c:v>1</c:v>
                </c:pt>
                <c:pt idx="1253">
                  <c:v>1</c:v>
                </c:pt>
                <c:pt idx="1254">
                  <c:v>1</c:v>
                </c:pt>
                <c:pt idx="1255">
                  <c:v>1</c:v>
                </c:pt>
                <c:pt idx="1256">
                  <c:v>1</c:v>
                </c:pt>
                <c:pt idx="1257">
                  <c:v>1</c:v>
                </c:pt>
                <c:pt idx="1258">
                  <c:v>1</c:v>
                </c:pt>
                <c:pt idx="1259">
                  <c:v>1</c:v>
                </c:pt>
                <c:pt idx="1260">
                  <c:v>1</c:v>
                </c:pt>
                <c:pt idx="1261">
                  <c:v>1</c:v>
                </c:pt>
                <c:pt idx="1262">
                  <c:v>1</c:v>
                </c:pt>
                <c:pt idx="1263">
                  <c:v>1</c:v>
                </c:pt>
                <c:pt idx="1264">
                  <c:v>1</c:v>
                </c:pt>
                <c:pt idx="1265">
                  <c:v>1</c:v>
                </c:pt>
                <c:pt idx="1266">
                  <c:v>1</c:v>
                </c:pt>
                <c:pt idx="1267">
                  <c:v>1</c:v>
                </c:pt>
                <c:pt idx="1268">
                  <c:v>1</c:v>
                </c:pt>
                <c:pt idx="1269">
                  <c:v>1</c:v>
                </c:pt>
                <c:pt idx="1270">
                  <c:v>1</c:v>
                </c:pt>
                <c:pt idx="1271">
                  <c:v>1</c:v>
                </c:pt>
                <c:pt idx="1272">
                  <c:v>1</c:v>
                </c:pt>
                <c:pt idx="1273">
                  <c:v>1</c:v>
                </c:pt>
                <c:pt idx="1274">
                  <c:v>1</c:v>
                </c:pt>
                <c:pt idx="1275">
                  <c:v>1</c:v>
                </c:pt>
                <c:pt idx="1276">
                  <c:v>1</c:v>
                </c:pt>
                <c:pt idx="1277">
                  <c:v>1</c:v>
                </c:pt>
                <c:pt idx="1278">
                  <c:v>1</c:v>
                </c:pt>
                <c:pt idx="1279">
                  <c:v>1</c:v>
                </c:pt>
                <c:pt idx="1280">
                  <c:v>1</c:v>
                </c:pt>
                <c:pt idx="1281">
                  <c:v>1</c:v>
                </c:pt>
                <c:pt idx="1282">
                  <c:v>1</c:v>
                </c:pt>
                <c:pt idx="1283">
                  <c:v>1</c:v>
                </c:pt>
                <c:pt idx="1284">
                  <c:v>1</c:v>
                </c:pt>
                <c:pt idx="1285">
                  <c:v>1</c:v>
                </c:pt>
                <c:pt idx="1286">
                  <c:v>1</c:v>
                </c:pt>
                <c:pt idx="1287">
                  <c:v>1</c:v>
                </c:pt>
                <c:pt idx="1288">
                  <c:v>1</c:v>
                </c:pt>
                <c:pt idx="1289">
                  <c:v>1</c:v>
                </c:pt>
                <c:pt idx="1290">
                  <c:v>1</c:v>
                </c:pt>
                <c:pt idx="1291">
                  <c:v>1</c:v>
                </c:pt>
                <c:pt idx="1292">
                  <c:v>1</c:v>
                </c:pt>
                <c:pt idx="1293">
                  <c:v>1</c:v>
                </c:pt>
                <c:pt idx="1294">
                  <c:v>1</c:v>
                </c:pt>
                <c:pt idx="1295">
                  <c:v>1</c:v>
                </c:pt>
                <c:pt idx="1296">
                  <c:v>1</c:v>
                </c:pt>
                <c:pt idx="1297">
                  <c:v>1</c:v>
                </c:pt>
                <c:pt idx="1298">
                  <c:v>1</c:v>
                </c:pt>
                <c:pt idx="1299">
                  <c:v>1</c:v>
                </c:pt>
                <c:pt idx="1300">
                  <c:v>1</c:v>
                </c:pt>
                <c:pt idx="1301">
                  <c:v>1</c:v>
                </c:pt>
                <c:pt idx="1302">
                  <c:v>1</c:v>
                </c:pt>
                <c:pt idx="1303">
                  <c:v>1</c:v>
                </c:pt>
                <c:pt idx="1304">
                  <c:v>1</c:v>
                </c:pt>
                <c:pt idx="1305">
                  <c:v>1</c:v>
                </c:pt>
                <c:pt idx="1306">
                  <c:v>1</c:v>
                </c:pt>
                <c:pt idx="1307">
                  <c:v>1</c:v>
                </c:pt>
                <c:pt idx="1308">
                  <c:v>1</c:v>
                </c:pt>
                <c:pt idx="1309">
                  <c:v>1</c:v>
                </c:pt>
                <c:pt idx="1310">
                  <c:v>1</c:v>
                </c:pt>
                <c:pt idx="1311">
                  <c:v>1</c:v>
                </c:pt>
                <c:pt idx="1312">
                  <c:v>1</c:v>
                </c:pt>
                <c:pt idx="1313">
                  <c:v>1</c:v>
                </c:pt>
                <c:pt idx="1314">
                  <c:v>1</c:v>
                </c:pt>
                <c:pt idx="1315">
                  <c:v>1</c:v>
                </c:pt>
                <c:pt idx="1316">
                  <c:v>1</c:v>
                </c:pt>
                <c:pt idx="1317">
                  <c:v>1</c:v>
                </c:pt>
                <c:pt idx="1318">
                  <c:v>1</c:v>
                </c:pt>
                <c:pt idx="1319">
                  <c:v>1</c:v>
                </c:pt>
                <c:pt idx="1320">
                  <c:v>1</c:v>
                </c:pt>
                <c:pt idx="1321">
                  <c:v>1</c:v>
                </c:pt>
                <c:pt idx="1322">
                  <c:v>1</c:v>
                </c:pt>
                <c:pt idx="1323">
                  <c:v>1</c:v>
                </c:pt>
                <c:pt idx="1324">
                  <c:v>1</c:v>
                </c:pt>
                <c:pt idx="1325">
                  <c:v>1</c:v>
                </c:pt>
                <c:pt idx="1326">
                  <c:v>1</c:v>
                </c:pt>
                <c:pt idx="1327">
                  <c:v>1</c:v>
                </c:pt>
                <c:pt idx="1328">
                  <c:v>1</c:v>
                </c:pt>
                <c:pt idx="1329">
                  <c:v>1</c:v>
                </c:pt>
                <c:pt idx="1330">
                  <c:v>1</c:v>
                </c:pt>
                <c:pt idx="1331">
                  <c:v>1</c:v>
                </c:pt>
                <c:pt idx="1332">
                  <c:v>1</c:v>
                </c:pt>
                <c:pt idx="1333">
                  <c:v>1</c:v>
                </c:pt>
                <c:pt idx="1334">
                  <c:v>1</c:v>
                </c:pt>
                <c:pt idx="1335">
                  <c:v>1</c:v>
                </c:pt>
                <c:pt idx="1336">
                  <c:v>1</c:v>
                </c:pt>
                <c:pt idx="1337">
                  <c:v>1</c:v>
                </c:pt>
                <c:pt idx="1338">
                  <c:v>1</c:v>
                </c:pt>
                <c:pt idx="1339">
                  <c:v>1</c:v>
                </c:pt>
                <c:pt idx="1340">
                  <c:v>1</c:v>
                </c:pt>
                <c:pt idx="1341">
                  <c:v>1</c:v>
                </c:pt>
                <c:pt idx="1342">
                  <c:v>1</c:v>
                </c:pt>
                <c:pt idx="1343">
                  <c:v>1</c:v>
                </c:pt>
                <c:pt idx="1344">
                  <c:v>1</c:v>
                </c:pt>
                <c:pt idx="1345">
                  <c:v>1</c:v>
                </c:pt>
                <c:pt idx="1346">
                  <c:v>1</c:v>
                </c:pt>
                <c:pt idx="1347">
                  <c:v>1</c:v>
                </c:pt>
                <c:pt idx="1348">
                  <c:v>1</c:v>
                </c:pt>
                <c:pt idx="1349">
                  <c:v>1</c:v>
                </c:pt>
                <c:pt idx="1350">
                  <c:v>1</c:v>
                </c:pt>
                <c:pt idx="1351">
                  <c:v>1</c:v>
                </c:pt>
                <c:pt idx="1352">
                  <c:v>1</c:v>
                </c:pt>
                <c:pt idx="1353">
                  <c:v>1</c:v>
                </c:pt>
                <c:pt idx="1354">
                  <c:v>1.0263157894736801</c:v>
                </c:pt>
                <c:pt idx="1355">
                  <c:v>1.0277777777777799</c:v>
                </c:pt>
                <c:pt idx="1356">
                  <c:v>1.03157894736842</c:v>
                </c:pt>
                <c:pt idx="1357">
                  <c:v>1.0444444444444401</c:v>
                </c:pt>
                <c:pt idx="1358">
                  <c:v>1.05362776025237</c:v>
                </c:pt>
                <c:pt idx="1359">
                  <c:v>1.05714285714286</c:v>
                </c:pt>
                <c:pt idx="1360">
                  <c:v>1.06666666666667</c:v>
                </c:pt>
                <c:pt idx="1361">
                  <c:v>1.07407407407407</c:v>
                </c:pt>
                <c:pt idx="1362">
                  <c:v>1.07407407407407</c:v>
                </c:pt>
                <c:pt idx="1363">
                  <c:v>1.0828025477707</c:v>
                </c:pt>
                <c:pt idx="1364">
                  <c:v>1.0844155844155801</c:v>
                </c:pt>
                <c:pt idx="1365">
                  <c:v>1.1000000000000001</c:v>
                </c:pt>
                <c:pt idx="1366">
                  <c:v>1.1000000000000001</c:v>
                </c:pt>
                <c:pt idx="1367">
                  <c:v>1.1111111111111101</c:v>
                </c:pt>
                <c:pt idx="1368">
                  <c:v>1.1111111111111101</c:v>
                </c:pt>
                <c:pt idx="1369">
                  <c:v>1.1111111111111101</c:v>
                </c:pt>
                <c:pt idx="1370">
                  <c:v>1.1111111111111101</c:v>
                </c:pt>
                <c:pt idx="1371">
                  <c:v>1.1111111111111101</c:v>
                </c:pt>
                <c:pt idx="1372">
                  <c:v>1.1111111111111101</c:v>
                </c:pt>
                <c:pt idx="1373">
                  <c:v>1.1239669421487599</c:v>
                </c:pt>
                <c:pt idx="1374">
                  <c:v>1.125</c:v>
                </c:pt>
                <c:pt idx="1375">
                  <c:v>1.125</c:v>
                </c:pt>
                <c:pt idx="1376">
                  <c:v>1.13333333333333</c:v>
                </c:pt>
                <c:pt idx="1377">
                  <c:v>1.13333333333333</c:v>
                </c:pt>
                <c:pt idx="1378">
                  <c:v>1.1499999999999999</c:v>
                </c:pt>
                <c:pt idx="1379">
                  <c:v>1.1666666666666701</c:v>
                </c:pt>
                <c:pt idx="1380">
                  <c:v>1.1666666666666701</c:v>
                </c:pt>
                <c:pt idx="1381">
                  <c:v>1.1688311688311701</c:v>
                </c:pt>
                <c:pt idx="1382">
                  <c:v>1.1818181818181801</c:v>
                </c:pt>
                <c:pt idx="1383">
                  <c:v>1.1818181818181801</c:v>
                </c:pt>
                <c:pt idx="1384">
                  <c:v>1.1844660194174801</c:v>
                </c:pt>
                <c:pt idx="1385">
                  <c:v>1.1844660194174801</c:v>
                </c:pt>
                <c:pt idx="1386">
                  <c:v>1.18461538461538</c:v>
                </c:pt>
                <c:pt idx="1387">
                  <c:v>1.18461538461538</c:v>
                </c:pt>
                <c:pt idx="1388">
                  <c:v>1.1875</c:v>
                </c:pt>
                <c:pt idx="1389">
                  <c:v>1.1875</c:v>
                </c:pt>
                <c:pt idx="1390">
                  <c:v>1.19753086419753</c:v>
                </c:pt>
                <c:pt idx="1391">
                  <c:v>1.2</c:v>
                </c:pt>
                <c:pt idx="1392">
                  <c:v>1.2</c:v>
                </c:pt>
                <c:pt idx="1393">
                  <c:v>1.2</c:v>
                </c:pt>
                <c:pt idx="1394">
                  <c:v>1.2</c:v>
                </c:pt>
                <c:pt idx="1395">
                  <c:v>1.2</c:v>
                </c:pt>
                <c:pt idx="1396">
                  <c:v>1.20338983050847</c:v>
                </c:pt>
                <c:pt idx="1397">
                  <c:v>1.2076923076923101</c:v>
                </c:pt>
                <c:pt idx="1398">
                  <c:v>1.2095238095238099</c:v>
                </c:pt>
                <c:pt idx="1399">
                  <c:v>1.2121212121212099</c:v>
                </c:pt>
                <c:pt idx="1400">
                  <c:v>1.2121212121212099</c:v>
                </c:pt>
                <c:pt idx="1401">
                  <c:v>1.21428571428571</c:v>
                </c:pt>
                <c:pt idx="1402">
                  <c:v>1.2166666666666699</c:v>
                </c:pt>
                <c:pt idx="1403">
                  <c:v>1.2376237623762401</c:v>
                </c:pt>
                <c:pt idx="1404">
                  <c:v>1.24</c:v>
                </c:pt>
                <c:pt idx="1405">
                  <c:v>1.24347826086957</c:v>
                </c:pt>
                <c:pt idx="1406">
                  <c:v>1.24390243902439</c:v>
                </c:pt>
                <c:pt idx="1407">
                  <c:v>1.248</c:v>
                </c:pt>
                <c:pt idx="1408">
                  <c:v>1.25</c:v>
                </c:pt>
                <c:pt idx="1409">
                  <c:v>1.25</c:v>
                </c:pt>
                <c:pt idx="1410">
                  <c:v>1.25</c:v>
                </c:pt>
                <c:pt idx="1411">
                  <c:v>1.25</c:v>
                </c:pt>
                <c:pt idx="1412">
                  <c:v>1.25</c:v>
                </c:pt>
                <c:pt idx="1413">
                  <c:v>1.2542372881355901</c:v>
                </c:pt>
                <c:pt idx="1414">
                  <c:v>1.25714285714286</c:v>
                </c:pt>
                <c:pt idx="1415">
                  <c:v>1.25714285714286</c:v>
                </c:pt>
                <c:pt idx="1416">
                  <c:v>1.2666666666666699</c:v>
                </c:pt>
                <c:pt idx="1417">
                  <c:v>1.2749999999999999</c:v>
                </c:pt>
                <c:pt idx="1418">
                  <c:v>1.28</c:v>
                </c:pt>
                <c:pt idx="1419">
                  <c:v>1.28571428571429</c:v>
                </c:pt>
                <c:pt idx="1420">
                  <c:v>1.28571428571429</c:v>
                </c:pt>
                <c:pt idx="1421">
                  <c:v>1.2933333333333299</c:v>
                </c:pt>
                <c:pt idx="1422">
                  <c:v>1.29411764705882</c:v>
                </c:pt>
                <c:pt idx="1423">
                  <c:v>1.3</c:v>
                </c:pt>
                <c:pt idx="1424">
                  <c:v>1.3</c:v>
                </c:pt>
                <c:pt idx="1425">
                  <c:v>1.3</c:v>
                </c:pt>
                <c:pt idx="1426">
                  <c:v>1.3</c:v>
                </c:pt>
                <c:pt idx="1427">
                  <c:v>1.30921052631579</c:v>
                </c:pt>
                <c:pt idx="1428">
                  <c:v>1.31446540880503</c:v>
                </c:pt>
                <c:pt idx="1429">
                  <c:v>1.3333333333333299</c:v>
                </c:pt>
                <c:pt idx="1430">
                  <c:v>1.3333333333333299</c:v>
                </c:pt>
                <c:pt idx="1431">
                  <c:v>1.3333333333333299</c:v>
                </c:pt>
                <c:pt idx="1432">
                  <c:v>1.3333333333333299</c:v>
                </c:pt>
                <c:pt idx="1433">
                  <c:v>1.3333333333333299</c:v>
                </c:pt>
                <c:pt idx="1434">
                  <c:v>1.3333333333333299</c:v>
                </c:pt>
                <c:pt idx="1435">
                  <c:v>1.3333333333333299</c:v>
                </c:pt>
                <c:pt idx="1436">
                  <c:v>1.34883720930233</c:v>
                </c:pt>
                <c:pt idx="1437">
                  <c:v>1.34883720930233</c:v>
                </c:pt>
                <c:pt idx="1438">
                  <c:v>1.34883720930233</c:v>
                </c:pt>
                <c:pt idx="1439">
                  <c:v>1.3625</c:v>
                </c:pt>
                <c:pt idx="1440">
                  <c:v>1.36666666666667</c:v>
                </c:pt>
                <c:pt idx="1441">
                  <c:v>1.375</c:v>
                </c:pt>
                <c:pt idx="1442">
                  <c:v>1.38709677419355</c:v>
                </c:pt>
                <c:pt idx="1443">
                  <c:v>1.3875</c:v>
                </c:pt>
                <c:pt idx="1444">
                  <c:v>1.3875</c:v>
                </c:pt>
                <c:pt idx="1445">
                  <c:v>1.4</c:v>
                </c:pt>
                <c:pt idx="1446">
                  <c:v>1.4</c:v>
                </c:pt>
                <c:pt idx="1447">
                  <c:v>1.4</c:v>
                </c:pt>
                <c:pt idx="1448">
                  <c:v>1.4117647058823499</c:v>
                </c:pt>
                <c:pt idx="1449">
                  <c:v>1.4166666666666701</c:v>
                </c:pt>
                <c:pt idx="1450">
                  <c:v>1.41818181818182</c:v>
                </c:pt>
                <c:pt idx="1451">
                  <c:v>1.425</c:v>
                </c:pt>
                <c:pt idx="1452">
                  <c:v>1.4285714285714299</c:v>
                </c:pt>
                <c:pt idx="1453">
                  <c:v>1.43333333333333</c:v>
                </c:pt>
                <c:pt idx="1454">
                  <c:v>1.43333333333333</c:v>
                </c:pt>
                <c:pt idx="1455">
                  <c:v>1.44444444444444</c:v>
                </c:pt>
                <c:pt idx="1456">
                  <c:v>1.44444444444444</c:v>
                </c:pt>
                <c:pt idx="1457">
                  <c:v>1.45</c:v>
                </c:pt>
                <c:pt idx="1458">
                  <c:v>1.45</c:v>
                </c:pt>
                <c:pt idx="1459">
                  <c:v>1.45714285714286</c:v>
                </c:pt>
                <c:pt idx="1460">
                  <c:v>1.45714285714286</c:v>
                </c:pt>
                <c:pt idx="1461">
                  <c:v>1.4666666666666699</c:v>
                </c:pt>
                <c:pt idx="1462">
                  <c:v>1.4722222222222201</c:v>
                </c:pt>
                <c:pt idx="1463">
                  <c:v>1.4757281553398101</c:v>
                </c:pt>
                <c:pt idx="1464">
                  <c:v>1.48058252427184</c:v>
                </c:pt>
                <c:pt idx="1465">
                  <c:v>1.5</c:v>
                </c:pt>
                <c:pt idx="1466">
                  <c:v>1.5</c:v>
                </c:pt>
                <c:pt idx="1467">
                  <c:v>1.5</c:v>
                </c:pt>
                <c:pt idx="1468">
                  <c:v>1.5</c:v>
                </c:pt>
                <c:pt idx="1469">
                  <c:v>1.5</c:v>
                </c:pt>
                <c:pt idx="1470">
                  <c:v>1.5</c:v>
                </c:pt>
                <c:pt idx="1471">
                  <c:v>1.5</c:v>
                </c:pt>
                <c:pt idx="1472">
                  <c:v>1.5</c:v>
                </c:pt>
                <c:pt idx="1473">
                  <c:v>1.5</c:v>
                </c:pt>
                <c:pt idx="1474">
                  <c:v>1.5</c:v>
                </c:pt>
                <c:pt idx="1475">
                  <c:v>1.5</c:v>
                </c:pt>
                <c:pt idx="1476">
                  <c:v>1.5</c:v>
                </c:pt>
                <c:pt idx="1477">
                  <c:v>1.5</c:v>
                </c:pt>
                <c:pt idx="1478">
                  <c:v>1.5</c:v>
                </c:pt>
                <c:pt idx="1479">
                  <c:v>1.5</c:v>
                </c:pt>
                <c:pt idx="1480">
                  <c:v>1.5</c:v>
                </c:pt>
                <c:pt idx="1481">
                  <c:v>1.5</c:v>
                </c:pt>
                <c:pt idx="1482">
                  <c:v>1.5</c:v>
                </c:pt>
                <c:pt idx="1483">
                  <c:v>1.5</c:v>
                </c:pt>
                <c:pt idx="1484">
                  <c:v>1.5</c:v>
                </c:pt>
                <c:pt idx="1485">
                  <c:v>1.5</c:v>
                </c:pt>
                <c:pt idx="1486">
                  <c:v>1.5</c:v>
                </c:pt>
                <c:pt idx="1487">
                  <c:v>1.5</c:v>
                </c:pt>
                <c:pt idx="1488">
                  <c:v>1.5</c:v>
                </c:pt>
                <c:pt idx="1489">
                  <c:v>1.5</c:v>
                </c:pt>
                <c:pt idx="1490">
                  <c:v>1.50561797752809</c:v>
                </c:pt>
                <c:pt idx="1491">
                  <c:v>1.5249999999999999</c:v>
                </c:pt>
                <c:pt idx="1492">
                  <c:v>1.5259259259259299</c:v>
                </c:pt>
                <c:pt idx="1493">
                  <c:v>1.5333333333333301</c:v>
                </c:pt>
                <c:pt idx="1494">
                  <c:v>1.54285714285714</c:v>
                </c:pt>
                <c:pt idx="1495">
                  <c:v>1.54285714285714</c:v>
                </c:pt>
                <c:pt idx="1496">
                  <c:v>1.54838709677419</c:v>
                </c:pt>
                <c:pt idx="1497">
                  <c:v>1.55</c:v>
                </c:pt>
                <c:pt idx="1498">
                  <c:v>1.55</c:v>
                </c:pt>
                <c:pt idx="1499">
                  <c:v>1.55</c:v>
                </c:pt>
                <c:pt idx="1500">
                  <c:v>1.55172413793103</c:v>
                </c:pt>
                <c:pt idx="1501">
                  <c:v>1.5588235294117601</c:v>
                </c:pt>
                <c:pt idx="1502">
                  <c:v>1.56666666666667</c:v>
                </c:pt>
                <c:pt idx="1503">
                  <c:v>1.5714285714285701</c:v>
                </c:pt>
                <c:pt idx="1504">
                  <c:v>1.575</c:v>
                </c:pt>
                <c:pt idx="1505">
                  <c:v>1.575</c:v>
                </c:pt>
                <c:pt idx="1506">
                  <c:v>1.6</c:v>
                </c:pt>
                <c:pt idx="1507">
                  <c:v>1.6</c:v>
                </c:pt>
                <c:pt idx="1508">
                  <c:v>1.6</c:v>
                </c:pt>
                <c:pt idx="1509">
                  <c:v>1.6</c:v>
                </c:pt>
                <c:pt idx="1510">
                  <c:v>1.6</c:v>
                </c:pt>
                <c:pt idx="1511">
                  <c:v>1.6</c:v>
                </c:pt>
                <c:pt idx="1512">
                  <c:v>1.6</c:v>
                </c:pt>
                <c:pt idx="1513">
                  <c:v>1.6030534351145</c:v>
                </c:pt>
                <c:pt idx="1514">
                  <c:v>1.6125</c:v>
                </c:pt>
                <c:pt idx="1515">
                  <c:v>1.6125</c:v>
                </c:pt>
                <c:pt idx="1516">
                  <c:v>1.62</c:v>
                </c:pt>
                <c:pt idx="1517">
                  <c:v>1.6451612903225801</c:v>
                </c:pt>
                <c:pt idx="1518">
                  <c:v>1.6590909090909101</c:v>
                </c:pt>
                <c:pt idx="1519">
                  <c:v>1.6666666666666701</c:v>
                </c:pt>
                <c:pt idx="1520">
                  <c:v>1.6666666666666701</c:v>
                </c:pt>
                <c:pt idx="1521">
                  <c:v>1.6666666666666701</c:v>
                </c:pt>
                <c:pt idx="1522">
                  <c:v>1.6666666666666701</c:v>
                </c:pt>
                <c:pt idx="1523">
                  <c:v>1.6666666666666701</c:v>
                </c:pt>
                <c:pt idx="1524">
                  <c:v>1.6666666666666701</c:v>
                </c:pt>
                <c:pt idx="1525">
                  <c:v>1.6666666666666701</c:v>
                </c:pt>
                <c:pt idx="1526">
                  <c:v>1.7</c:v>
                </c:pt>
                <c:pt idx="1527">
                  <c:v>1.7</c:v>
                </c:pt>
                <c:pt idx="1528">
                  <c:v>1.7</c:v>
                </c:pt>
                <c:pt idx="1529">
                  <c:v>1.73170731707317</c:v>
                </c:pt>
                <c:pt idx="1530">
                  <c:v>1.73170731707317</c:v>
                </c:pt>
                <c:pt idx="1531">
                  <c:v>1.73684210526316</c:v>
                </c:pt>
                <c:pt idx="1532">
                  <c:v>1.74380165289256</c:v>
                </c:pt>
                <c:pt idx="1533">
                  <c:v>1.75</c:v>
                </c:pt>
                <c:pt idx="1534">
                  <c:v>1.76</c:v>
                </c:pt>
                <c:pt idx="1535">
                  <c:v>1.76470588235294</c:v>
                </c:pt>
                <c:pt idx="1536">
                  <c:v>1.7777777777777799</c:v>
                </c:pt>
                <c:pt idx="1537">
                  <c:v>1.7777777777777799</c:v>
                </c:pt>
                <c:pt idx="1538">
                  <c:v>1.7906976744186001</c:v>
                </c:pt>
                <c:pt idx="1539">
                  <c:v>1.8</c:v>
                </c:pt>
                <c:pt idx="1540">
                  <c:v>1.8</c:v>
                </c:pt>
                <c:pt idx="1541">
                  <c:v>1.8</c:v>
                </c:pt>
                <c:pt idx="1542">
                  <c:v>1.8</c:v>
                </c:pt>
                <c:pt idx="1543">
                  <c:v>1.8</c:v>
                </c:pt>
                <c:pt idx="1544">
                  <c:v>1.8</c:v>
                </c:pt>
                <c:pt idx="1545">
                  <c:v>1.8</c:v>
                </c:pt>
                <c:pt idx="1546">
                  <c:v>1.8</c:v>
                </c:pt>
                <c:pt idx="1547">
                  <c:v>1.8</c:v>
                </c:pt>
                <c:pt idx="1548">
                  <c:v>1.8</c:v>
                </c:pt>
                <c:pt idx="1549">
                  <c:v>1.8</c:v>
                </c:pt>
                <c:pt idx="1550">
                  <c:v>1.8181818181818199</c:v>
                </c:pt>
                <c:pt idx="1551">
                  <c:v>1.8333333333333299</c:v>
                </c:pt>
                <c:pt idx="1552">
                  <c:v>1.8333333333333299</c:v>
                </c:pt>
                <c:pt idx="1553">
                  <c:v>1.8416666666666699</c:v>
                </c:pt>
                <c:pt idx="1554">
                  <c:v>1.84615384615385</c:v>
                </c:pt>
                <c:pt idx="1555">
                  <c:v>1.84615384615385</c:v>
                </c:pt>
                <c:pt idx="1556">
                  <c:v>1.85</c:v>
                </c:pt>
                <c:pt idx="1557">
                  <c:v>1.8571428571428601</c:v>
                </c:pt>
                <c:pt idx="1558">
                  <c:v>1.86486486486486</c:v>
                </c:pt>
                <c:pt idx="1559">
                  <c:v>1.875</c:v>
                </c:pt>
                <c:pt idx="1560">
                  <c:v>1.89333333333333</c:v>
                </c:pt>
                <c:pt idx="1561">
                  <c:v>1.92307692307692</c:v>
                </c:pt>
                <c:pt idx="1562">
                  <c:v>1.92307692307692</c:v>
                </c:pt>
                <c:pt idx="1563">
                  <c:v>1.9320388349514599</c:v>
                </c:pt>
                <c:pt idx="1564">
                  <c:v>1.93333333333333</c:v>
                </c:pt>
                <c:pt idx="1565">
                  <c:v>1.9456521739130399</c:v>
                </c:pt>
                <c:pt idx="1566">
                  <c:v>1.95</c:v>
                </c:pt>
                <c:pt idx="1567">
                  <c:v>1.95</c:v>
                </c:pt>
                <c:pt idx="1568">
                  <c:v>2</c:v>
                </c:pt>
                <c:pt idx="1569">
                  <c:v>2</c:v>
                </c:pt>
                <c:pt idx="1570">
                  <c:v>2</c:v>
                </c:pt>
                <c:pt idx="1571">
                  <c:v>2</c:v>
                </c:pt>
                <c:pt idx="1572">
                  <c:v>2</c:v>
                </c:pt>
                <c:pt idx="1573">
                  <c:v>2</c:v>
                </c:pt>
                <c:pt idx="1574">
                  <c:v>2</c:v>
                </c:pt>
                <c:pt idx="1575">
                  <c:v>2</c:v>
                </c:pt>
                <c:pt idx="1576">
                  <c:v>2</c:v>
                </c:pt>
                <c:pt idx="1577">
                  <c:v>2</c:v>
                </c:pt>
                <c:pt idx="1578">
                  <c:v>2</c:v>
                </c:pt>
                <c:pt idx="1579">
                  <c:v>2</c:v>
                </c:pt>
                <c:pt idx="1580">
                  <c:v>2</c:v>
                </c:pt>
                <c:pt idx="1581">
                  <c:v>2</c:v>
                </c:pt>
                <c:pt idx="1582">
                  <c:v>2</c:v>
                </c:pt>
                <c:pt idx="1583">
                  <c:v>2</c:v>
                </c:pt>
                <c:pt idx="1584">
                  <c:v>2</c:v>
                </c:pt>
                <c:pt idx="1585">
                  <c:v>2</c:v>
                </c:pt>
                <c:pt idx="1586">
                  <c:v>2</c:v>
                </c:pt>
                <c:pt idx="1587">
                  <c:v>2</c:v>
                </c:pt>
                <c:pt idx="1588">
                  <c:v>2</c:v>
                </c:pt>
                <c:pt idx="1589">
                  <c:v>2</c:v>
                </c:pt>
                <c:pt idx="1590">
                  <c:v>2</c:v>
                </c:pt>
                <c:pt idx="1591">
                  <c:v>2</c:v>
                </c:pt>
                <c:pt idx="1592">
                  <c:v>2</c:v>
                </c:pt>
                <c:pt idx="1593">
                  <c:v>2</c:v>
                </c:pt>
                <c:pt idx="1594">
                  <c:v>2</c:v>
                </c:pt>
                <c:pt idx="1595">
                  <c:v>2</c:v>
                </c:pt>
                <c:pt idx="1596">
                  <c:v>2</c:v>
                </c:pt>
                <c:pt idx="1597">
                  <c:v>2</c:v>
                </c:pt>
                <c:pt idx="1598">
                  <c:v>2</c:v>
                </c:pt>
                <c:pt idx="1599">
                  <c:v>2.0499999999999998</c:v>
                </c:pt>
                <c:pt idx="1600">
                  <c:v>2.06666666666667</c:v>
                </c:pt>
                <c:pt idx="1601">
                  <c:v>2.0689655172413799</c:v>
                </c:pt>
                <c:pt idx="1602">
                  <c:v>2.0865384615384599</c:v>
                </c:pt>
                <c:pt idx="1603">
                  <c:v>2.1</c:v>
                </c:pt>
                <c:pt idx="1604">
                  <c:v>2.1</c:v>
                </c:pt>
                <c:pt idx="1605">
                  <c:v>2.1</c:v>
                </c:pt>
                <c:pt idx="1606">
                  <c:v>2.1052631578947398</c:v>
                </c:pt>
                <c:pt idx="1607">
                  <c:v>2.1063829787234001</c:v>
                </c:pt>
                <c:pt idx="1608">
                  <c:v>2.1166666666666698</c:v>
                </c:pt>
                <c:pt idx="1609">
                  <c:v>2.125</c:v>
                </c:pt>
                <c:pt idx="1610">
                  <c:v>2.1333333333333302</c:v>
                </c:pt>
                <c:pt idx="1611">
                  <c:v>2.1333333333333302</c:v>
                </c:pt>
                <c:pt idx="1612">
                  <c:v>2.1333333333333302</c:v>
                </c:pt>
                <c:pt idx="1613">
                  <c:v>2.1397849462365599</c:v>
                </c:pt>
                <c:pt idx="1614">
                  <c:v>2.1428571428571401</c:v>
                </c:pt>
                <c:pt idx="1615">
                  <c:v>2.1428571428571401</c:v>
                </c:pt>
                <c:pt idx="1616">
                  <c:v>2.1538461538461502</c:v>
                </c:pt>
                <c:pt idx="1617">
                  <c:v>2.1724137931034502</c:v>
                </c:pt>
                <c:pt idx="1618">
                  <c:v>2.1739130434782599</c:v>
                </c:pt>
                <c:pt idx="1619">
                  <c:v>2.2000000000000002</c:v>
                </c:pt>
                <c:pt idx="1620">
                  <c:v>2.2000000000000002</c:v>
                </c:pt>
                <c:pt idx="1621">
                  <c:v>2.2222222222222201</c:v>
                </c:pt>
                <c:pt idx="1622">
                  <c:v>2.25</c:v>
                </c:pt>
                <c:pt idx="1623">
                  <c:v>2.2666666666666702</c:v>
                </c:pt>
                <c:pt idx="1624">
                  <c:v>2.28571428571429</c:v>
                </c:pt>
                <c:pt idx="1625">
                  <c:v>2.2999999999999998</c:v>
                </c:pt>
                <c:pt idx="1626">
                  <c:v>2.3043478260869601</c:v>
                </c:pt>
                <c:pt idx="1627">
                  <c:v>2.3243243243243201</c:v>
                </c:pt>
                <c:pt idx="1628">
                  <c:v>2.3333333333333299</c:v>
                </c:pt>
                <c:pt idx="1629">
                  <c:v>2.3454545454545501</c:v>
                </c:pt>
                <c:pt idx="1630">
                  <c:v>2.4</c:v>
                </c:pt>
                <c:pt idx="1631">
                  <c:v>2.4</c:v>
                </c:pt>
                <c:pt idx="1632">
                  <c:v>2.4</c:v>
                </c:pt>
                <c:pt idx="1633">
                  <c:v>2.4</c:v>
                </c:pt>
                <c:pt idx="1634">
                  <c:v>2.4166666666666701</c:v>
                </c:pt>
                <c:pt idx="1635">
                  <c:v>2.4166666666666701</c:v>
                </c:pt>
                <c:pt idx="1636">
                  <c:v>2.43846153846154</c:v>
                </c:pt>
                <c:pt idx="1637">
                  <c:v>2.4444444444444402</c:v>
                </c:pt>
                <c:pt idx="1638">
                  <c:v>2.4500000000000002</c:v>
                </c:pt>
                <c:pt idx="1639">
                  <c:v>2.4500000000000002</c:v>
                </c:pt>
                <c:pt idx="1640">
                  <c:v>2.4666666666666699</c:v>
                </c:pt>
                <c:pt idx="1641">
                  <c:v>2.5</c:v>
                </c:pt>
                <c:pt idx="1642">
                  <c:v>2.5</c:v>
                </c:pt>
                <c:pt idx="1643">
                  <c:v>2.5</c:v>
                </c:pt>
                <c:pt idx="1644">
                  <c:v>2.5</c:v>
                </c:pt>
                <c:pt idx="1645">
                  <c:v>2.5</c:v>
                </c:pt>
                <c:pt idx="1646">
                  <c:v>2.5</c:v>
                </c:pt>
                <c:pt idx="1647">
                  <c:v>2.5</c:v>
                </c:pt>
                <c:pt idx="1648">
                  <c:v>2.5</c:v>
                </c:pt>
                <c:pt idx="1649">
                  <c:v>2.5</c:v>
                </c:pt>
                <c:pt idx="1650">
                  <c:v>2.5</c:v>
                </c:pt>
                <c:pt idx="1651">
                  <c:v>2.5</c:v>
                </c:pt>
                <c:pt idx="1652">
                  <c:v>2.5</c:v>
                </c:pt>
                <c:pt idx="1653">
                  <c:v>2.5</c:v>
                </c:pt>
                <c:pt idx="1654">
                  <c:v>2.5</c:v>
                </c:pt>
                <c:pt idx="1655">
                  <c:v>2.5</c:v>
                </c:pt>
                <c:pt idx="1656">
                  <c:v>2.5</c:v>
                </c:pt>
                <c:pt idx="1657">
                  <c:v>2.51546391752577</c:v>
                </c:pt>
                <c:pt idx="1658">
                  <c:v>2.51546391752577</c:v>
                </c:pt>
                <c:pt idx="1659">
                  <c:v>2.5333333333333301</c:v>
                </c:pt>
                <c:pt idx="1660">
                  <c:v>2.5384615384615401</c:v>
                </c:pt>
                <c:pt idx="1661">
                  <c:v>2.5454545454545499</c:v>
                </c:pt>
                <c:pt idx="1662">
                  <c:v>2.5874999999999999</c:v>
                </c:pt>
                <c:pt idx="1663">
                  <c:v>2.6</c:v>
                </c:pt>
                <c:pt idx="1664">
                  <c:v>2.6</c:v>
                </c:pt>
                <c:pt idx="1665">
                  <c:v>2.6</c:v>
                </c:pt>
                <c:pt idx="1666">
                  <c:v>2.6</c:v>
                </c:pt>
                <c:pt idx="1667">
                  <c:v>2.625</c:v>
                </c:pt>
                <c:pt idx="1668">
                  <c:v>2.6428571428571401</c:v>
                </c:pt>
                <c:pt idx="1669">
                  <c:v>2.6444444444444399</c:v>
                </c:pt>
                <c:pt idx="1670">
                  <c:v>2.6666666666666701</c:v>
                </c:pt>
                <c:pt idx="1671">
                  <c:v>2.6666666666666701</c:v>
                </c:pt>
                <c:pt idx="1672">
                  <c:v>2.6666666666666701</c:v>
                </c:pt>
                <c:pt idx="1673">
                  <c:v>2.6666666666666701</c:v>
                </c:pt>
                <c:pt idx="1674">
                  <c:v>2.6666666666666701</c:v>
                </c:pt>
                <c:pt idx="1675">
                  <c:v>2.68888888888889</c:v>
                </c:pt>
                <c:pt idx="1676">
                  <c:v>2.6944444444444402</c:v>
                </c:pt>
                <c:pt idx="1677">
                  <c:v>2.7037037037037002</c:v>
                </c:pt>
                <c:pt idx="1678">
                  <c:v>2.7111111111111099</c:v>
                </c:pt>
                <c:pt idx="1679">
                  <c:v>2.7272727272727302</c:v>
                </c:pt>
                <c:pt idx="1680">
                  <c:v>2.7333333333333298</c:v>
                </c:pt>
                <c:pt idx="1681">
                  <c:v>2.75</c:v>
                </c:pt>
                <c:pt idx="1682">
                  <c:v>2.75</c:v>
                </c:pt>
                <c:pt idx="1683">
                  <c:v>2.78</c:v>
                </c:pt>
                <c:pt idx="1684">
                  <c:v>2.8</c:v>
                </c:pt>
                <c:pt idx="1685">
                  <c:v>2.8</c:v>
                </c:pt>
                <c:pt idx="1686">
                  <c:v>2.8095238095238102</c:v>
                </c:pt>
                <c:pt idx="1687">
                  <c:v>2.8196721311475401</c:v>
                </c:pt>
                <c:pt idx="1688">
                  <c:v>2.8285714285714301</c:v>
                </c:pt>
                <c:pt idx="1689">
                  <c:v>2.8285714285714301</c:v>
                </c:pt>
                <c:pt idx="1690">
                  <c:v>2.85</c:v>
                </c:pt>
                <c:pt idx="1691">
                  <c:v>2.85</c:v>
                </c:pt>
                <c:pt idx="1692">
                  <c:v>2.8518518518518499</c:v>
                </c:pt>
                <c:pt idx="1693">
                  <c:v>2.8571428571428599</c:v>
                </c:pt>
                <c:pt idx="1694">
                  <c:v>2.8666666666666698</c:v>
                </c:pt>
                <c:pt idx="1695">
                  <c:v>2.9285714285714302</c:v>
                </c:pt>
                <c:pt idx="1696">
                  <c:v>2.93333333333333</c:v>
                </c:pt>
                <c:pt idx="1697">
                  <c:v>2.9714285714285702</c:v>
                </c:pt>
                <c:pt idx="1698">
                  <c:v>3</c:v>
                </c:pt>
                <c:pt idx="1699">
                  <c:v>3</c:v>
                </c:pt>
                <c:pt idx="1700">
                  <c:v>3</c:v>
                </c:pt>
                <c:pt idx="1701">
                  <c:v>3</c:v>
                </c:pt>
                <c:pt idx="1702">
                  <c:v>3</c:v>
                </c:pt>
                <c:pt idx="1703">
                  <c:v>3</c:v>
                </c:pt>
                <c:pt idx="1704">
                  <c:v>3</c:v>
                </c:pt>
                <c:pt idx="1705">
                  <c:v>3</c:v>
                </c:pt>
                <c:pt idx="1706">
                  <c:v>3</c:v>
                </c:pt>
                <c:pt idx="1707">
                  <c:v>3</c:v>
                </c:pt>
                <c:pt idx="1708">
                  <c:v>3</c:v>
                </c:pt>
                <c:pt idx="1709">
                  <c:v>3</c:v>
                </c:pt>
                <c:pt idx="1710">
                  <c:v>3</c:v>
                </c:pt>
                <c:pt idx="1711">
                  <c:v>3</c:v>
                </c:pt>
                <c:pt idx="1712">
                  <c:v>3</c:v>
                </c:pt>
                <c:pt idx="1713">
                  <c:v>3</c:v>
                </c:pt>
                <c:pt idx="1714">
                  <c:v>3</c:v>
                </c:pt>
                <c:pt idx="1715">
                  <c:v>3</c:v>
                </c:pt>
                <c:pt idx="1716">
                  <c:v>3</c:v>
                </c:pt>
                <c:pt idx="1717">
                  <c:v>3</c:v>
                </c:pt>
                <c:pt idx="1718">
                  <c:v>3</c:v>
                </c:pt>
                <c:pt idx="1719">
                  <c:v>3</c:v>
                </c:pt>
                <c:pt idx="1720">
                  <c:v>3</c:v>
                </c:pt>
                <c:pt idx="1721">
                  <c:v>3</c:v>
                </c:pt>
                <c:pt idx="1722">
                  <c:v>3</c:v>
                </c:pt>
                <c:pt idx="1723">
                  <c:v>3</c:v>
                </c:pt>
                <c:pt idx="1724">
                  <c:v>3</c:v>
                </c:pt>
                <c:pt idx="1725">
                  <c:v>3</c:v>
                </c:pt>
                <c:pt idx="1726">
                  <c:v>3</c:v>
                </c:pt>
                <c:pt idx="1727">
                  <c:v>3.0303030303030298</c:v>
                </c:pt>
                <c:pt idx="1728">
                  <c:v>3.0333333333333301</c:v>
                </c:pt>
                <c:pt idx="1729">
                  <c:v>3.0333333333333301</c:v>
                </c:pt>
                <c:pt idx="1730">
                  <c:v>3.0416666666666701</c:v>
                </c:pt>
                <c:pt idx="1731">
                  <c:v>3.05</c:v>
                </c:pt>
                <c:pt idx="1732">
                  <c:v>3.0526315789473699</c:v>
                </c:pt>
                <c:pt idx="1733">
                  <c:v>3.0857142857142899</c:v>
                </c:pt>
                <c:pt idx="1734">
                  <c:v>3.1111111111111098</c:v>
                </c:pt>
                <c:pt idx="1735">
                  <c:v>3.2</c:v>
                </c:pt>
                <c:pt idx="1736">
                  <c:v>3.2</c:v>
                </c:pt>
                <c:pt idx="1737">
                  <c:v>3.21428571428571</c:v>
                </c:pt>
                <c:pt idx="1738">
                  <c:v>3.2222222222222201</c:v>
                </c:pt>
                <c:pt idx="1739">
                  <c:v>3.25</c:v>
                </c:pt>
                <c:pt idx="1740">
                  <c:v>3.2631578947368398</c:v>
                </c:pt>
                <c:pt idx="1741">
                  <c:v>3.2666666666666702</c:v>
                </c:pt>
                <c:pt idx="1742">
                  <c:v>3.2666666666666702</c:v>
                </c:pt>
                <c:pt idx="1743">
                  <c:v>3.2749999999999999</c:v>
                </c:pt>
                <c:pt idx="1744">
                  <c:v>3.28</c:v>
                </c:pt>
                <c:pt idx="1745">
                  <c:v>3.2909090909090901</c:v>
                </c:pt>
                <c:pt idx="1746">
                  <c:v>3.3157894736842102</c:v>
                </c:pt>
                <c:pt idx="1747">
                  <c:v>3.3333333333333299</c:v>
                </c:pt>
                <c:pt idx="1748">
                  <c:v>3.3333333333333299</c:v>
                </c:pt>
                <c:pt idx="1749">
                  <c:v>3.3333333333333299</c:v>
                </c:pt>
                <c:pt idx="1750">
                  <c:v>3.3333333333333299</c:v>
                </c:pt>
                <c:pt idx="1751">
                  <c:v>3.3333333333333299</c:v>
                </c:pt>
                <c:pt idx="1752">
                  <c:v>3.3333333333333299</c:v>
                </c:pt>
                <c:pt idx="1753">
                  <c:v>3.375</c:v>
                </c:pt>
                <c:pt idx="1754">
                  <c:v>3.4</c:v>
                </c:pt>
                <c:pt idx="1755">
                  <c:v>3.4</c:v>
                </c:pt>
                <c:pt idx="1756">
                  <c:v>3.4285714285714302</c:v>
                </c:pt>
                <c:pt idx="1757">
                  <c:v>3.4666666666666699</c:v>
                </c:pt>
                <c:pt idx="1758">
                  <c:v>3.4666666666666699</c:v>
                </c:pt>
                <c:pt idx="1759">
                  <c:v>3.5</c:v>
                </c:pt>
                <c:pt idx="1760">
                  <c:v>3.5333333333333301</c:v>
                </c:pt>
                <c:pt idx="1761">
                  <c:v>3.5333333333333301</c:v>
                </c:pt>
                <c:pt idx="1762">
                  <c:v>3.5454545454545499</c:v>
                </c:pt>
                <c:pt idx="1763">
                  <c:v>3.625</c:v>
                </c:pt>
                <c:pt idx="1764">
                  <c:v>3.625</c:v>
                </c:pt>
                <c:pt idx="1765">
                  <c:v>3.6444444444444399</c:v>
                </c:pt>
                <c:pt idx="1766">
                  <c:v>3.6470588235294099</c:v>
                </c:pt>
                <c:pt idx="1767">
                  <c:v>3.65</c:v>
                </c:pt>
                <c:pt idx="1768">
                  <c:v>3.66</c:v>
                </c:pt>
                <c:pt idx="1769">
                  <c:v>3.6666666666666701</c:v>
                </c:pt>
                <c:pt idx="1770">
                  <c:v>3.6666666666666701</c:v>
                </c:pt>
                <c:pt idx="1771">
                  <c:v>3.6666666666666701</c:v>
                </c:pt>
                <c:pt idx="1772">
                  <c:v>3.6666666666666701</c:v>
                </c:pt>
                <c:pt idx="1773">
                  <c:v>3.6666666666666701</c:v>
                </c:pt>
                <c:pt idx="1774">
                  <c:v>3.6666666666666701</c:v>
                </c:pt>
                <c:pt idx="1775">
                  <c:v>3.6666666666666701</c:v>
                </c:pt>
                <c:pt idx="1776">
                  <c:v>3.6666666666666701</c:v>
                </c:pt>
                <c:pt idx="1777">
                  <c:v>3.6666666666666701</c:v>
                </c:pt>
                <c:pt idx="1778">
                  <c:v>3.6749999999999998</c:v>
                </c:pt>
                <c:pt idx="1779">
                  <c:v>3.7333333333333298</c:v>
                </c:pt>
                <c:pt idx="1780">
                  <c:v>3.7333333333333298</c:v>
                </c:pt>
                <c:pt idx="1781">
                  <c:v>3.8333333333333299</c:v>
                </c:pt>
                <c:pt idx="1782">
                  <c:v>3.85</c:v>
                </c:pt>
                <c:pt idx="1783">
                  <c:v>3.875</c:v>
                </c:pt>
                <c:pt idx="1784">
                  <c:v>3.9</c:v>
                </c:pt>
                <c:pt idx="1785">
                  <c:v>4</c:v>
                </c:pt>
                <c:pt idx="1786">
                  <c:v>4</c:v>
                </c:pt>
                <c:pt idx="1787">
                  <c:v>4</c:v>
                </c:pt>
                <c:pt idx="1788">
                  <c:v>4</c:v>
                </c:pt>
                <c:pt idx="1789">
                  <c:v>4</c:v>
                </c:pt>
                <c:pt idx="1790">
                  <c:v>4</c:v>
                </c:pt>
                <c:pt idx="1791">
                  <c:v>4</c:v>
                </c:pt>
                <c:pt idx="1792">
                  <c:v>4</c:v>
                </c:pt>
                <c:pt idx="1793">
                  <c:v>4</c:v>
                </c:pt>
                <c:pt idx="1794">
                  <c:v>4</c:v>
                </c:pt>
                <c:pt idx="1795">
                  <c:v>4</c:v>
                </c:pt>
                <c:pt idx="1796">
                  <c:v>4</c:v>
                </c:pt>
                <c:pt idx="1797">
                  <c:v>4</c:v>
                </c:pt>
                <c:pt idx="1798">
                  <c:v>4</c:v>
                </c:pt>
                <c:pt idx="1799">
                  <c:v>4</c:v>
                </c:pt>
                <c:pt idx="1800">
                  <c:v>4</c:v>
                </c:pt>
                <c:pt idx="1801">
                  <c:v>4</c:v>
                </c:pt>
                <c:pt idx="1802">
                  <c:v>4</c:v>
                </c:pt>
                <c:pt idx="1803">
                  <c:v>4</c:v>
                </c:pt>
                <c:pt idx="1804">
                  <c:v>4</c:v>
                </c:pt>
                <c:pt idx="1805">
                  <c:v>4.0999999999999996</c:v>
                </c:pt>
                <c:pt idx="1806">
                  <c:v>4.0999999999999996</c:v>
                </c:pt>
                <c:pt idx="1807">
                  <c:v>4.0999999999999996</c:v>
                </c:pt>
                <c:pt idx="1808">
                  <c:v>4.0999999999999996</c:v>
                </c:pt>
                <c:pt idx="1809">
                  <c:v>4.0999999999999996</c:v>
                </c:pt>
                <c:pt idx="1810">
                  <c:v>4.1500000000000004</c:v>
                </c:pt>
                <c:pt idx="1811">
                  <c:v>4.2</c:v>
                </c:pt>
                <c:pt idx="1812">
                  <c:v>4.31111111111111</c:v>
                </c:pt>
                <c:pt idx="1813">
                  <c:v>4.3333333333333304</c:v>
                </c:pt>
                <c:pt idx="1814">
                  <c:v>4.3333333333333304</c:v>
                </c:pt>
                <c:pt idx="1815">
                  <c:v>4.3333333333333304</c:v>
                </c:pt>
                <c:pt idx="1816">
                  <c:v>4.3478260869565197</c:v>
                </c:pt>
                <c:pt idx="1817">
                  <c:v>4.4000000000000004</c:v>
                </c:pt>
                <c:pt idx="1818">
                  <c:v>4.4444444444444402</c:v>
                </c:pt>
                <c:pt idx="1819">
                  <c:v>4.4666666666666703</c:v>
                </c:pt>
                <c:pt idx="1820">
                  <c:v>4.5</c:v>
                </c:pt>
                <c:pt idx="1821">
                  <c:v>4.5</c:v>
                </c:pt>
                <c:pt idx="1822">
                  <c:v>4.5333333333333297</c:v>
                </c:pt>
                <c:pt idx="1823">
                  <c:v>4.59375</c:v>
                </c:pt>
                <c:pt idx="1824">
                  <c:v>4.6666666666666696</c:v>
                </c:pt>
                <c:pt idx="1825">
                  <c:v>4.6666666666666696</c:v>
                </c:pt>
                <c:pt idx="1826">
                  <c:v>4.6666666666666696</c:v>
                </c:pt>
                <c:pt idx="1827">
                  <c:v>4.8</c:v>
                </c:pt>
                <c:pt idx="1828">
                  <c:v>4.8</c:v>
                </c:pt>
                <c:pt idx="1829">
                  <c:v>4.8</c:v>
                </c:pt>
                <c:pt idx="1830">
                  <c:v>4.8</c:v>
                </c:pt>
                <c:pt idx="1831">
                  <c:v>4.8</c:v>
                </c:pt>
                <c:pt idx="1832">
                  <c:v>4.9696969696969697</c:v>
                </c:pt>
                <c:pt idx="1833">
                  <c:v>5</c:v>
                </c:pt>
                <c:pt idx="1834">
                  <c:v>5</c:v>
                </c:pt>
                <c:pt idx="1835">
                  <c:v>5</c:v>
                </c:pt>
                <c:pt idx="1836">
                  <c:v>5</c:v>
                </c:pt>
                <c:pt idx="1837">
                  <c:v>5</c:v>
                </c:pt>
                <c:pt idx="1838">
                  <c:v>5</c:v>
                </c:pt>
                <c:pt idx="1839">
                  <c:v>5.0454545454545503</c:v>
                </c:pt>
                <c:pt idx="1840">
                  <c:v>5.06666666666667</c:v>
                </c:pt>
                <c:pt idx="1841">
                  <c:v>5.1333333333333302</c:v>
                </c:pt>
                <c:pt idx="1842">
                  <c:v>5.2</c:v>
                </c:pt>
                <c:pt idx="1843">
                  <c:v>5.2666666666666702</c:v>
                </c:pt>
                <c:pt idx="1844">
                  <c:v>5.4</c:v>
                </c:pt>
                <c:pt idx="1845">
                  <c:v>5.4666666666666703</c:v>
                </c:pt>
                <c:pt idx="1846">
                  <c:v>5.6</c:v>
                </c:pt>
                <c:pt idx="1847">
                  <c:v>5.71428571428571</c:v>
                </c:pt>
                <c:pt idx="1848">
                  <c:v>5.8</c:v>
                </c:pt>
                <c:pt idx="1849">
                  <c:v>5.8</c:v>
                </c:pt>
                <c:pt idx="1850">
                  <c:v>5.81666666666667</c:v>
                </c:pt>
                <c:pt idx="1851">
                  <c:v>6</c:v>
                </c:pt>
                <c:pt idx="1852">
                  <c:v>6</c:v>
                </c:pt>
                <c:pt idx="1853">
                  <c:v>6</c:v>
                </c:pt>
                <c:pt idx="1854">
                  <c:v>6</c:v>
                </c:pt>
                <c:pt idx="1855">
                  <c:v>6</c:v>
                </c:pt>
                <c:pt idx="1856">
                  <c:v>6</c:v>
                </c:pt>
                <c:pt idx="1857">
                  <c:v>6</c:v>
                </c:pt>
                <c:pt idx="1858">
                  <c:v>6</c:v>
                </c:pt>
                <c:pt idx="1859">
                  <c:v>6.0606060606060597</c:v>
                </c:pt>
                <c:pt idx="1860">
                  <c:v>6.2</c:v>
                </c:pt>
                <c:pt idx="1861">
                  <c:v>6.2222222222222197</c:v>
                </c:pt>
                <c:pt idx="1862">
                  <c:v>6.2666666666666702</c:v>
                </c:pt>
                <c:pt idx="1863">
                  <c:v>6.3333333333333304</c:v>
                </c:pt>
                <c:pt idx="1864">
                  <c:v>6.4615384615384599</c:v>
                </c:pt>
                <c:pt idx="1865">
                  <c:v>6.6</c:v>
                </c:pt>
                <c:pt idx="1866">
                  <c:v>6.7</c:v>
                </c:pt>
                <c:pt idx="1867">
                  <c:v>6.8</c:v>
                </c:pt>
                <c:pt idx="1868">
                  <c:v>6.92592592592593</c:v>
                </c:pt>
                <c:pt idx="1869">
                  <c:v>7.1</c:v>
                </c:pt>
                <c:pt idx="1870">
                  <c:v>7.2</c:v>
                </c:pt>
                <c:pt idx="1871">
                  <c:v>7.3333333333333304</c:v>
                </c:pt>
                <c:pt idx="1872">
                  <c:v>7.35</c:v>
                </c:pt>
                <c:pt idx="1873">
                  <c:v>7.6</c:v>
                </c:pt>
                <c:pt idx="1874">
                  <c:v>7.6875</c:v>
                </c:pt>
                <c:pt idx="1875">
                  <c:v>7.9</c:v>
                </c:pt>
                <c:pt idx="1876">
                  <c:v>8.1999999999999993</c:v>
                </c:pt>
                <c:pt idx="1877">
                  <c:v>8.3333333333333304</c:v>
                </c:pt>
                <c:pt idx="1878">
                  <c:v>8.5</c:v>
                </c:pt>
                <c:pt idx="1879">
                  <c:v>8.6666666666666696</c:v>
                </c:pt>
                <c:pt idx="1880">
                  <c:v>8.6999999999999993</c:v>
                </c:pt>
                <c:pt idx="1881">
                  <c:v>9</c:v>
                </c:pt>
                <c:pt idx="1882">
                  <c:v>9</c:v>
                </c:pt>
                <c:pt idx="1883">
                  <c:v>9.1</c:v>
                </c:pt>
                <c:pt idx="1884">
                  <c:v>9.1333333333333293</c:v>
                </c:pt>
                <c:pt idx="1885">
                  <c:v>9.1999999999999993</c:v>
                </c:pt>
                <c:pt idx="1886">
                  <c:v>9.25</c:v>
                </c:pt>
                <c:pt idx="1887">
                  <c:v>9.3333333333333304</c:v>
                </c:pt>
                <c:pt idx="1888">
                  <c:v>9.3333333333333304</c:v>
                </c:pt>
                <c:pt idx="1889">
                  <c:v>9.3333333333333304</c:v>
                </c:pt>
                <c:pt idx="1890">
                  <c:v>9.4499999999999993</c:v>
                </c:pt>
                <c:pt idx="1891">
                  <c:v>9.5</c:v>
                </c:pt>
                <c:pt idx="1892">
                  <c:v>9.5</c:v>
                </c:pt>
                <c:pt idx="1893">
                  <c:v>9.56666666666667</c:v>
                </c:pt>
                <c:pt idx="1894">
                  <c:v>9.6</c:v>
                </c:pt>
                <c:pt idx="1895">
                  <c:v>9.6666666666666696</c:v>
                </c:pt>
                <c:pt idx="1896">
                  <c:v>9.6999999999999993</c:v>
                </c:pt>
                <c:pt idx="1897">
                  <c:v>10</c:v>
                </c:pt>
                <c:pt idx="1898">
                  <c:v>10</c:v>
                </c:pt>
                <c:pt idx="1899">
                  <c:v>10</c:v>
                </c:pt>
                <c:pt idx="1900">
                  <c:v>10</c:v>
                </c:pt>
                <c:pt idx="1901">
                  <c:v>10</c:v>
                </c:pt>
                <c:pt idx="1902">
                  <c:v>10.0666666666667</c:v>
                </c:pt>
                <c:pt idx="1903">
                  <c:v>10.25</c:v>
                </c:pt>
                <c:pt idx="1904">
                  <c:v>11</c:v>
                </c:pt>
                <c:pt idx="1905">
                  <c:v>11.4</c:v>
                </c:pt>
                <c:pt idx="1906">
                  <c:v>11.545454545454501</c:v>
                </c:pt>
                <c:pt idx="1907">
                  <c:v>12</c:v>
                </c:pt>
                <c:pt idx="1908">
                  <c:v>12.3333333333333</c:v>
                </c:pt>
                <c:pt idx="1909">
                  <c:v>12.4285714285714</c:v>
                </c:pt>
                <c:pt idx="1910">
                  <c:v>12.5</c:v>
                </c:pt>
                <c:pt idx="1911">
                  <c:v>13.3</c:v>
                </c:pt>
                <c:pt idx="1912">
                  <c:v>13.5</c:v>
                </c:pt>
                <c:pt idx="1913">
                  <c:v>13.5</c:v>
                </c:pt>
                <c:pt idx="1914">
                  <c:v>14</c:v>
                </c:pt>
                <c:pt idx="1915">
                  <c:v>14.5</c:v>
                </c:pt>
                <c:pt idx="1916">
                  <c:v>14.6</c:v>
                </c:pt>
                <c:pt idx="1917">
                  <c:v>15.4285714285714</c:v>
                </c:pt>
                <c:pt idx="1918">
                  <c:v>17</c:v>
                </c:pt>
                <c:pt idx="1919">
                  <c:v>17</c:v>
                </c:pt>
                <c:pt idx="1920">
                  <c:v>17.25</c:v>
                </c:pt>
                <c:pt idx="1921">
                  <c:v>18</c:v>
                </c:pt>
                <c:pt idx="1922">
                  <c:v>18</c:v>
                </c:pt>
                <c:pt idx="1923">
                  <c:v>19.133333333333301</c:v>
                </c:pt>
                <c:pt idx="1924">
                  <c:v>19.3333333333333</c:v>
                </c:pt>
                <c:pt idx="1925">
                  <c:v>20</c:v>
                </c:pt>
                <c:pt idx="1926">
                  <c:v>21.75</c:v>
                </c:pt>
                <c:pt idx="1927">
                  <c:v>22</c:v>
                </c:pt>
                <c:pt idx="1928">
                  <c:v>24</c:v>
                </c:pt>
                <c:pt idx="1929">
                  <c:v>24</c:v>
                </c:pt>
                <c:pt idx="1930">
                  <c:v>26</c:v>
                </c:pt>
                <c:pt idx="1931">
                  <c:v>27</c:v>
                </c:pt>
                <c:pt idx="1932">
                  <c:v>27</c:v>
                </c:pt>
                <c:pt idx="1933">
                  <c:v>27</c:v>
                </c:pt>
                <c:pt idx="1934">
                  <c:v>29.5</c:v>
                </c:pt>
                <c:pt idx="1935">
                  <c:v>35.6</c:v>
                </c:pt>
                <c:pt idx="1936">
                  <c:v>36</c:v>
                </c:pt>
                <c:pt idx="1937">
                  <c:v>36.200000000000003</c:v>
                </c:pt>
                <c:pt idx="1938">
                  <c:v>36.4</c:v>
                </c:pt>
                <c:pt idx="1939">
                  <c:v>37</c:v>
                </c:pt>
                <c:pt idx="1940">
                  <c:v>46</c:v>
                </c:pt>
                <c:pt idx="1941">
                  <c:v>58.5</c:v>
                </c:pt>
                <c:pt idx="1942">
                  <c:v>71</c:v>
                </c:pt>
                <c:pt idx="1943">
                  <c:v>80</c:v>
                </c:pt>
                <c:pt idx="1944">
                  <c:v>109.5</c:v>
                </c:pt>
              </c:numCache>
            </c:numRef>
          </c:xVal>
          <c:yVal>
            <c:numRef>
              <c:f>'G5_DurationRatioS Curve_2025MAR'!$B$6:$B$1950</c:f>
              <c:numCache>
                <c:formatCode>0.0000</c:formatCode>
                <c:ptCount val="1945"/>
                <c:pt idx="0">
                  <c:v>5.1413881748071976E-4</c:v>
                </c:pt>
                <c:pt idx="1">
                  <c:v>1.0282776349614395E-3</c:v>
                </c:pt>
                <c:pt idx="2">
                  <c:v>1.5424164524421593E-3</c:v>
                </c:pt>
                <c:pt idx="3">
                  <c:v>2.056555269922879E-3</c:v>
                </c:pt>
                <c:pt idx="4">
                  <c:v>2.5706940874035988E-3</c:v>
                </c:pt>
                <c:pt idx="5">
                  <c:v>3.0848329048843185E-3</c:v>
                </c:pt>
                <c:pt idx="6">
                  <c:v>3.5989717223650383E-3</c:v>
                </c:pt>
                <c:pt idx="7">
                  <c:v>4.1131105398457581E-3</c:v>
                </c:pt>
                <c:pt idx="8">
                  <c:v>4.6272493573264774E-3</c:v>
                </c:pt>
                <c:pt idx="9">
                  <c:v>5.1413881748071967E-3</c:v>
                </c:pt>
                <c:pt idx="10">
                  <c:v>5.655526992287916E-3</c:v>
                </c:pt>
                <c:pt idx="11">
                  <c:v>6.1696658097686354E-3</c:v>
                </c:pt>
                <c:pt idx="12">
                  <c:v>6.6838046272493547E-3</c:v>
                </c:pt>
                <c:pt idx="13">
                  <c:v>7.197943444730074E-3</c:v>
                </c:pt>
                <c:pt idx="14">
                  <c:v>7.7120822622107933E-3</c:v>
                </c:pt>
                <c:pt idx="15">
                  <c:v>8.2262210796915126E-3</c:v>
                </c:pt>
                <c:pt idx="16">
                  <c:v>8.740359897172232E-3</c:v>
                </c:pt>
                <c:pt idx="17">
                  <c:v>9.2544987146529513E-3</c:v>
                </c:pt>
                <c:pt idx="18">
                  <c:v>9.7686375321336706E-3</c:v>
                </c:pt>
                <c:pt idx="19">
                  <c:v>1.028277634961439E-2</c:v>
                </c:pt>
                <c:pt idx="20">
                  <c:v>1.0796915167095109E-2</c:v>
                </c:pt>
                <c:pt idx="21">
                  <c:v>1.1311053984575829E-2</c:v>
                </c:pt>
                <c:pt idx="22">
                  <c:v>1.1825192802056548E-2</c:v>
                </c:pt>
                <c:pt idx="23">
                  <c:v>1.2339331619537267E-2</c:v>
                </c:pt>
                <c:pt idx="24">
                  <c:v>1.2853470437017987E-2</c:v>
                </c:pt>
                <c:pt idx="25">
                  <c:v>1.3367609254498706E-2</c:v>
                </c:pt>
                <c:pt idx="26">
                  <c:v>1.3881748071979425E-2</c:v>
                </c:pt>
                <c:pt idx="27">
                  <c:v>1.4395886889460145E-2</c:v>
                </c:pt>
                <c:pt idx="28">
                  <c:v>1.4910025706940864E-2</c:v>
                </c:pt>
                <c:pt idx="29">
                  <c:v>1.5424164524421583E-2</c:v>
                </c:pt>
                <c:pt idx="30">
                  <c:v>1.5938303341902302E-2</c:v>
                </c:pt>
                <c:pt idx="31">
                  <c:v>1.6452442159383022E-2</c:v>
                </c:pt>
                <c:pt idx="32">
                  <c:v>1.6966580976863741E-2</c:v>
                </c:pt>
                <c:pt idx="33">
                  <c:v>1.748071979434446E-2</c:v>
                </c:pt>
                <c:pt idx="34">
                  <c:v>1.799485861182518E-2</c:v>
                </c:pt>
                <c:pt idx="35">
                  <c:v>1.8508997429305899E-2</c:v>
                </c:pt>
                <c:pt idx="36">
                  <c:v>1.9023136246786618E-2</c:v>
                </c:pt>
                <c:pt idx="37">
                  <c:v>1.9537275064267338E-2</c:v>
                </c:pt>
                <c:pt idx="38">
                  <c:v>2.0051413881748057E-2</c:v>
                </c:pt>
                <c:pt idx="39">
                  <c:v>2.0565552699228776E-2</c:v>
                </c:pt>
                <c:pt idx="40">
                  <c:v>2.1079691516709496E-2</c:v>
                </c:pt>
                <c:pt idx="41">
                  <c:v>2.1593830334190215E-2</c:v>
                </c:pt>
                <c:pt idx="42">
                  <c:v>2.2107969151670934E-2</c:v>
                </c:pt>
                <c:pt idx="43">
                  <c:v>2.2622107969151654E-2</c:v>
                </c:pt>
                <c:pt idx="44">
                  <c:v>2.3136246786632373E-2</c:v>
                </c:pt>
                <c:pt idx="45">
                  <c:v>2.3650385604113092E-2</c:v>
                </c:pt>
                <c:pt idx="46">
                  <c:v>2.4164524421593812E-2</c:v>
                </c:pt>
                <c:pt idx="47">
                  <c:v>2.4678663239074531E-2</c:v>
                </c:pt>
                <c:pt idx="48">
                  <c:v>2.519280205655525E-2</c:v>
                </c:pt>
                <c:pt idx="49">
                  <c:v>2.570694087403597E-2</c:v>
                </c:pt>
                <c:pt idx="50">
                  <c:v>2.6221079691516689E-2</c:v>
                </c:pt>
                <c:pt idx="51">
                  <c:v>2.6735218508997408E-2</c:v>
                </c:pt>
                <c:pt idx="52">
                  <c:v>2.7249357326478128E-2</c:v>
                </c:pt>
                <c:pt idx="53">
                  <c:v>2.7763496143958847E-2</c:v>
                </c:pt>
                <c:pt idx="54">
                  <c:v>2.8277634961439566E-2</c:v>
                </c:pt>
                <c:pt idx="55">
                  <c:v>2.8791773778920286E-2</c:v>
                </c:pt>
                <c:pt idx="56">
                  <c:v>2.9305912596401005E-2</c:v>
                </c:pt>
                <c:pt idx="57">
                  <c:v>2.9820051413881724E-2</c:v>
                </c:pt>
                <c:pt idx="58">
                  <c:v>3.0334190231362444E-2</c:v>
                </c:pt>
                <c:pt idx="59">
                  <c:v>3.0848329048843163E-2</c:v>
                </c:pt>
                <c:pt idx="60">
                  <c:v>3.1362467866323886E-2</c:v>
                </c:pt>
                <c:pt idx="61">
                  <c:v>3.1876606683804605E-2</c:v>
                </c:pt>
                <c:pt idx="62">
                  <c:v>3.2390745501285324E-2</c:v>
                </c:pt>
                <c:pt idx="63">
                  <c:v>3.2904884318766044E-2</c:v>
                </c:pt>
                <c:pt idx="64">
                  <c:v>3.3419023136246763E-2</c:v>
                </c:pt>
                <c:pt idx="65">
                  <c:v>3.3933161953727482E-2</c:v>
                </c:pt>
                <c:pt idx="66">
                  <c:v>3.4447300771208202E-2</c:v>
                </c:pt>
                <c:pt idx="67">
                  <c:v>3.4961439588688921E-2</c:v>
                </c:pt>
                <c:pt idx="68">
                  <c:v>3.547557840616964E-2</c:v>
                </c:pt>
                <c:pt idx="69">
                  <c:v>3.598971722365036E-2</c:v>
                </c:pt>
                <c:pt idx="70">
                  <c:v>3.6503856041131079E-2</c:v>
                </c:pt>
                <c:pt idx="71">
                  <c:v>3.7017994858611798E-2</c:v>
                </c:pt>
                <c:pt idx="72">
                  <c:v>3.7532133676092518E-2</c:v>
                </c:pt>
                <c:pt idx="73">
                  <c:v>3.8046272493573237E-2</c:v>
                </c:pt>
                <c:pt idx="74">
                  <c:v>3.8560411311053956E-2</c:v>
                </c:pt>
                <c:pt idx="75">
                  <c:v>3.9074550128534676E-2</c:v>
                </c:pt>
                <c:pt idx="76">
                  <c:v>3.9588688946015395E-2</c:v>
                </c:pt>
                <c:pt idx="77">
                  <c:v>4.0102827763496114E-2</c:v>
                </c:pt>
                <c:pt idx="78">
                  <c:v>4.0616966580976833E-2</c:v>
                </c:pt>
                <c:pt idx="79">
                  <c:v>4.1131105398457553E-2</c:v>
                </c:pt>
                <c:pt idx="80">
                  <c:v>4.1645244215938272E-2</c:v>
                </c:pt>
                <c:pt idx="81">
                  <c:v>4.2159383033418991E-2</c:v>
                </c:pt>
                <c:pt idx="82">
                  <c:v>4.2673521850899711E-2</c:v>
                </c:pt>
                <c:pt idx="83">
                  <c:v>4.318766066838043E-2</c:v>
                </c:pt>
                <c:pt idx="84">
                  <c:v>4.3701799485861149E-2</c:v>
                </c:pt>
                <c:pt idx="85">
                  <c:v>4.4215938303341869E-2</c:v>
                </c:pt>
                <c:pt idx="86">
                  <c:v>4.4730077120822588E-2</c:v>
                </c:pt>
                <c:pt idx="87">
                  <c:v>4.5244215938303307E-2</c:v>
                </c:pt>
                <c:pt idx="88">
                  <c:v>4.5758354755784027E-2</c:v>
                </c:pt>
                <c:pt idx="89">
                  <c:v>4.6272493573264746E-2</c:v>
                </c:pt>
                <c:pt idx="90">
                  <c:v>4.6786632390745465E-2</c:v>
                </c:pt>
                <c:pt idx="91">
                  <c:v>4.7300771208226185E-2</c:v>
                </c:pt>
                <c:pt idx="92">
                  <c:v>4.7814910025706904E-2</c:v>
                </c:pt>
                <c:pt idx="93">
                  <c:v>4.8329048843187623E-2</c:v>
                </c:pt>
                <c:pt idx="94">
                  <c:v>4.8843187660668343E-2</c:v>
                </c:pt>
                <c:pt idx="95">
                  <c:v>4.9357326478149062E-2</c:v>
                </c:pt>
                <c:pt idx="96">
                  <c:v>4.9871465295629781E-2</c:v>
                </c:pt>
                <c:pt idx="97">
                  <c:v>5.0385604113110501E-2</c:v>
                </c:pt>
                <c:pt idx="98">
                  <c:v>5.089974293059122E-2</c:v>
                </c:pt>
                <c:pt idx="99">
                  <c:v>5.1413881748071939E-2</c:v>
                </c:pt>
                <c:pt idx="100">
                  <c:v>5.1928020565552659E-2</c:v>
                </c:pt>
                <c:pt idx="101">
                  <c:v>5.2442159383033378E-2</c:v>
                </c:pt>
                <c:pt idx="102">
                  <c:v>5.2956298200514097E-2</c:v>
                </c:pt>
                <c:pt idx="103">
                  <c:v>5.3470437017994817E-2</c:v>
                </c:pt>
                <c:pt idx="104">
                  <c:v>5.3984575835475536E-2</c:v>
                </c:pt>
                <c:pt idx="105">
                  <c:v>5.4498714652956255E-2</c:v>
                </c:pt>
                <c:pt idx="106">
                  <c:v>5.5012853470436975E-2</c:v>
                </c:pt>
                <c:pt idx="107">
                  <c:v>5.5526992287917694E-2</c:v>
                </c:pt>
                <c:pt idx="108">
                  <c:v>5.6041131105398413E-2</c:v>
                </c:pt>
                <c:pt idx="109">
                  <c:v>5.6555269922879133E-2</c:v>
                </c:pt>
                <c:pt idx="110">
                  <c:v>5.7069408740359852E-2</c:v>
                </c:pt>
                <c:pt idx="111">
                  <c:v>5.7583547557840571E-2</c:v>
                </c:pt>
                <c:pt idx="112">
                  <c:v>5.809768637532129E-2</c:v>
                </c:pt>
                <c:pt idx="113">
                  <c:v>5.861182519280201E-2</c:v>
                </c:pt>
                <c:pt idx="114">
                  <c:v>5.9125964010282729E-2</c:v>
                </c:pt>
                <c:pt idx="115">
                  <c:v>5.9640102827763448E-2</c:v>
                </c:pt>
                <c:pt idx="116">
                  <c:v>6.0154241645244168E-2</c:v>
                </c:pt>
                <c:pt idx="117">
                  <c:v>6.0668380462724887E-2</c:v>
                </c:pt>
                <c:pt idx="118">
                  <c:v>6.1182519280205606E-2</c:v>
                </c:pt>
                <c:pt idx="119">
                  <c:v>6.1696658097686326E-2</c:v>
                </c:pt>
                <c:pt idx="120">
                  <c:v>6.2210796915167045E-2</c:v>
                </c:pt>
                <c:pt idx="121">
                  <c:v>6.2724935732647771E-2</c:v>
                </c:pt>
                <c:pt idx="122">
                  <c:v>6.3239074550128491E-2</c:v>
                </c:pt>
                <c:pt idx="123">
                  <c:v>6.375321336760921E-2</c:v>
                </c:pt>
                <c:pt idx="124">
                  <c:v>6.4267352185089929E-2</c:v>
                </c:pt>
                <c:pt idx="125">
                  <c:v>6.4781491002570649E-2</c:v>
                </c:pt>
                <c:pt idx="126">
                  <c:v>6.5295629820051368E-2</c:v>
                </c:pt>
                <c:pt idx="127">
                  <c:v>6.5809768637532087E-2</c:v>
                </c:pt>
                <c:pt idx="128">
                  <c:v>6.6323907455012807E-2</c:v>
                </c:pt>
                <c:pt idx="129">
                  <c:v>6.6838046272493526E-2</c:v>
                </c:pt>
                <c:pt idx="130">
                  <c:v>6.7352185089974245E-2</c:v>
                </c:pt>
                <c:pt idx="131">
                  <c:v>6.7866323907454965E-2</c:v>
                </c:pt>
                <c:pt idx="132">
                  <c:v>6.8380462724935684E-2</c:v>
                </c:pt>
                <c:pt idx="133">
                  <c:v>6.8894601542416403E-2</c:v>
                </c:pt>
                <c:pt idx="134">
                  <c:v>6.9408740359897123E-2</c:v>
                </c:pt>
                <c:pt idx="135">
                  <c:v>6.9922879177377842E-2</c:v>
                </c:pt>
                <c:pt idx="136">
                  <c:v>7.0437017994858561E-2</c:v>
                </c:pt>
                <c:pt idx="137">
                  <c:v>7.0951156812339281E-2</c:v>
                </c:pt>
                <c:pt idx="138">
                  <c:v>7.146529562982E-2</c:v>
                </c:pt>
                <c:pt idx="139">
                  <c:v>7.1979434447300719E-2</c:v>
                </c:pt>
                <c:pt idx="140">
                  <c:v>7.2493573264781438E-2</c:v>
                </c:pt>
                <c:pt idx="141">
                  <c:v>7.3007712082262158E-2</c:v>
                </c:pt>
                <c:pt idx="142">
                  <c:v>7.3521850899742877E-2</c:v>
                </c:pt>
                <c:pt idx="143">
                  <c:v>7.4035989717223596E-2</c:v>
                </c:pt>
                <c:pt idx="144">
                  <c:v>7.4550128534704316E-2</c:v>
                </c:pt>
                <c:pt idx="145">
                  <c:v>7.5064267352185035E-2</c:v>
                </c:pt>
                <c:pt idx="146">
                  <c:v>7.5578406169665754E-2</c:v>
                </c:pt>
                <c:pt idx="147">
                  <c:v>7.6092544987146474E-2</c:v>
                </c:pt>
                <c:pt idx="148">
                  <c:v>7.6606683804627193E-2</c:v>
                </c:pt>
                <c:pt idx="149">
                  <c:v>7.7120822622107912E-2</c:v>
                </c:pt>
                <c:pt idx="150">
                  <c:v>7.7634961439588632E-2</c:v>
                </c:pt>
                <c:pt idx="151">
                  <c:v>7.8149100257069351E-2</c:v>
                </c:pt>
                <c:pt idx="152">
                  <c:v>7.866323907455007E-2</c:v>
                </c:pt>
                <c:pt idx="153">
                  <c:v>7.917737789203079E-2</c:v>
                </c:pt>
                <c:pt idx="154">
                  <c:v>7.9691516709511509E-2</c:v>
                </c:pt>
                <c:pt idx="155">
                  <c:v>8.0205655526992228E-2</c:v>
                </c:pt>
                <c:pt idx="156">
                  <c:v>8.0719794344472948E-2</c:v>
                </c:pt>
                <c:pt idx="157">
                  <c:v>8.1233933161953667E-2</c:v>
                </c:pt>
                <c:pt idx="158">
                  <c:v>8.1748071979434386E-2</c:v>
                </c:pt>
                <c:pt idx="159">
                  <c:v>8.2262210796915106E-2</c:v>
                </c:pt>
                <c:pt idx="160">
                  <c:v>8.2776349614395825E-2</c:v>
                </c:pt>
                <c:pt idx="161">
                  <c:v>8.3290488431876544E-2</c:v>
                </c:pt>
                <c:pt idx="162">
                  <c:v>8.3804627249357264E-2</c:v>
                </c:pt>
                <c:pt idx="163">
                  <c:v>8.4318766066837983E-2</c:v>
                </c:pt>
                <c:pt idx="164">
                  <c:v>8.4832904884318702E-2</c:v>
                </c:pt>
                <c:pt idx="165">
                  <c:v>8.5347043701799422E-2</c:v>
                </c:pt>
                <c:pt idx="166">
                  <c:v>8.5861182519280141E-2</c:v>
                </c:pt>
                <c:pt idx="167">
                  <c:v>8.637532133676086E-2</c:v>
                </c:pt>
                <c:pt idx="168">
                  <c:v>8.688946015424158E-2</c:v>
                </c:pt>
                <c:pt idx="169">
                  <c:v>8.7403598971722299E-2</c:v>
                </c:pt>
                <c:pt idx="170">
                  <c:v>8.7917737789203018E-2</c:v>
                </c:pt>
                <c:pt idx="171">
                  <c:v>8.8431876606683738E-2</c:v>
                </c:pt>
                <c:pt idx="172">
                  <c:v>8.8946015424164457E-2</c:v>
                </c:pt>
                <c:pt idx="173">
                  <c:v>8.9460154241645176E-2</c:v>
                </c:pt>
                <c:pt idx="174">
                  <c:v>8.9974293059125895E-2</c:v>
                </c:pt>
                <c:pt idx="175">
                  <c:v>9.0488431876606615E-2</c:v>
                </c:pt>
                <c:pt idx="176">
                  <c:v>9.1002570694087334E-2</c:v>
                </c:pt>
                <c:pt idx="177">
                  <c:v>9.1516709511568053E-2</c:v>
                </c:pt>
                <c:pt idx="178">
                  <c:v>9.2030848329048773E-2</c:v>
                </c:pt>
                <c:pt idx="179">
                  <c:v>9.2544987146529492E-2</c:v>
                </c:pt>
                <c:pt idx="180">
                  <c:v>9.3059125964010211E-2</c:v>
                </c:pt>
                <c:pt idx="181">
                  <c:v>9.3573264781490931E-2</c:v>
                </c:pt>
                <c:pt idx="182">
                  <c:v>9.408740359897165E-2</c:v>
                </c:pt>
                <c:pt idx="183">
                  <c:v>9.4601542416452369E-2</c:v>
                </c:pt>
                <c:pt idx="184">
                  <c:v>9.5115681233933089E-2</c:v>
                </c:pt>
                <c:pt idx="185">
                  <c:v>9.5629820051413808E-2</c:v>
                </c:pt>
                <c:pt idx="186">
                  <c:v>9.6143958868894527E-2</c:v>
                </c:pt>
                <c:pt idx="187">
                  <c:v>9.6658097686375247E-2</c:v>
                </c:pt>
                <c:pt idx="188">
                  <c:v>9.7172236503855966E-2</c:v>
                </c:pt>
                <c:pt idx="189">
                  <c:v>9.7686375321336685E-2</c:v>
                </c:pt>
                <c:pt idx="190">
                  <c:v>9.8200514138817405E-2</c:v>
                </c:pt>
                <c:pt idx="191">
                  <c:v>9.8714652956298124E-2</c:v>
                </c:pt>
                <c:pt idx="192">
                  <c:v>9.9228791773778843E-2</c:v>
                </c:pt>
                <c:pt idx="193">
                  <c:v>9.9742930591259563E-2</c:v>
                </c:pt>
                <c:pt idx="194">
                  <c:v>0.10025706940874028</c:v>
                </c:pt>
                <c:pt idx="195">
                  <c:v>0.100771208226221</c:v>
                </c:pt>
                <c:pt idx="196">
                  <c:v>0.10128534704370172</c:v>
                </c:pt>
                <c:pt idx="197">
                  <c:v>0.10179948586118244</c:v>
                </c:pt>
                <c:pt idx="198">
                  <c:v>0.10231362467866316</c:v>
                </c:pt>
                <c:pt idx="199">
                  <c:v>0.10282776349614388</c:v>
                </c:pt>
                <c:pt idx="200">
                  <c:v>0.1033419023136246</c:v>
                </c:pt>
                <c:pt idx="201">
                  <c:v>0.10385604113110532</c:v>
                </c:pt>
                <c:pt idx="202">
                  <c:v>0.10437017994858604</c:v>
                </c:pt>
                <c:pt idx="203">
                  <c:v>0.10488431876606676</c:v>
                </c:pt>
                <c:pt idx="204">
                  <c:v>0.10539845758354748</c:v>
                </c:pt>
                <c:pt idx="205">
                  <c:v>0.10591259640102819</c:v>
                </c:pt>
                <c:pt idx="206">
                  <c:v>0.10642673521850891</c:v>
                </c:pt>
                <c:pt idx="207">
                  <c:v>0.10694087403598963</c:v>
                </c:pt>
                <c:pt idx="208">
                  <c:v>0.10745501285347035</c:v>
                </c:pt>
                <c:pt idx="209">
                  <c:v>0.10796915167095107</c:v>
                </c:pt>
                <c:pt idx="210">
                  <c:v>0.10848329048843179</c:v>
                </c:pt>
                <c:pt idx="211">
                  <c:v>0.10899742930591251</c:v>
                </c:pt>
                <c:pt idx="212">
                  <c:v>0.10951156812339323</c:v>
                </c:pt>
                <c:pt idx="213">
                  <c:v>0.11002570694087395</c:v>
                </c:pt>
                <c:pt idx="214">
                  <c:v>0.11053984575835467</c:v>
                </c:pt>
                <c:pt idx="215">
                  <c:v>0.11105398457583539</c:v>
                </c:pt>
                <c:pt idx="216">
                  <c:v>0.11156812339331611</c:v>
                </c:pt>
                <c:pt idx="217">
                  <c:v>0.11208226221079683</c:v>
                </c:pt>
                <c:pt idx="218">
                  <c:v>0.11259640102827755</c:v>
                </c:pt>
                <c:pt idx="219">
                  <c:v>0.11311053984575827</c:v>
                </c:pt>
                <c:pt idx="220">
                  <c:v>0.11362467866323898</c:v>
                </c:pt>
                <c:pt idx="221">
                  <c:v>0.1141388174807197</c:v>
                </c:pt>
                <c:pt idx="222">
                  <c:v>0.11465295629820042</c:v>
                </c:pt>
                <c:pt idx="223">
                  <c:v>0.11516709511568114</c:v>
                </c:pt>
                <c:pt idx="224">
                  <c:v>0.11568123393316186</c:v>
                </c:pt>
                <c:pt idx="225">
                  <c:v>0.11619537275064258</c:v>
                </c:pt>
                <c:pt idx="226">
                  <c:v>0.1167095115681233</c:v>
                </c:pt>
                <c:pt idx="227">
                  <c:v>0.11722365038560402</c:v>
                </c:pt>
                <c:pt idx="228">
                  <c:v>0.11773778920308474</c:v>
                </c:pt>
                <c:pt idx="229">
                  <c:v>0.11825192802056546</c:v>
                </c:pt>
                <c:pt idx="230">
                  <c:v>0.11876606683804618</c:v>
                </c:pt>
                <c:pt idx="231">
                  <c:v>0.1192802056555269</c:v>
                </c:pt>
                <c:pt idx="232">
                  <c:v>0.11979434447300762</c:v>
                </c:pt>
                <c:pt idx="233">
                  <c:v>0.12030848329048834</c:v>
                </c:pt>
                <c:pt idx="234">
                  <c:v>0.12082262210796905</c:v>
                </c:pt>
                <c:pt idx="235">
                  <c:v>0.12133676092544977</c:v>
                </c:pt>
                <c:pt idx="236">
                  <c:v>0.12185089974293049</c:v>
                </c:pt>
                <c:pt idx="237">
                  <c:v>0.12236503856041121</c:v>
                </c:pt>
                <c:pt idx="238">
                  <c:v>0.12287917737789193</c:v>
                </c:pt>
                <c:pt idx="239">
                  <c:v>0.12339331619537265</c:v>
                </c:pt>
                <c:pt idx="240">
                  <c:v>0.12390745501285337</c:v>
                </c:pt>
                <c:pt idx="241">
                  <c:v>0.12442159383033409</c:v>
                </c:pt>
                <c:pt idx="242">
                  <c:v>0.12493573264781481</c:v>
                </c:pt>
                <c:pt idx="243">
                  <c:v>0.12544987146529554</c:v>
                </c:pt>
                <c:pt idx="244">
                  <c:v>0.12596401028277626</c:v>
                </c:pt>
                <c:pt idx="245">
                  <c:v>0.12647814910025698</c:v>
                </c:pt>
                <c:pt idx="246">
                  <c:v>0.1269922879177377</c:v>
                </c:pt>
                <c:pt idx="247">
                  <c:v>0.12750642673521842</c:v>
                </c:pt>
                <c:pt idx="248">
                  <c:v>0.12802056555269914</c:v>
                </c:pt>
                <c:pt idx="249">
                  <c:v>0.12853470437017986</c:v>
                </c:pt>
                <c:pt idx="250">
                  <c:v>0.12904884318766058</c:v>
                </c:pt>
                <c:pt idx="251">
                  <c:v>0.1295629820051413</c:v>
                </c:pt>
                <c:pt idx="252">
                  <c:v>0.13007712082262202</c:v>
                </c:pt>
                <c:pt idx="253">
                  <c:v>0.13059125964010274</c:v>
                </c:pt>
                <c:pt idx="254">
                  <c:v>0.13110539845758346</c:v>
                </c:pt>
                <c:pt idx="255">
                  <c:v>0.13161953727506417</c:v>
                </c:pt>
                <c:pt idx="256">
                  <c:v>0.13213367609254489</c:v>
                </c:pt>
                <c:pt idx="257">
                  <c:v>0.13264781491002561</c:v>
                </c:pt>
                <c:pt idx="258">
                  <c:v>0.13316195372750633</c:v>
                </c:pt>
                <c:pt idx="259">
                  <c:v>0.13367609254498705</c:v>
                </c:pt>
                <c:pt idx="260">
                  <c:v>0.13419023136246777</c:v>
                </c:pt>
                <c:pt idx="261">
                  <c:v>0.13470437017994849</c:v>
                </c:pt>
                <c:pt idx="262">
                  <c:v>0.13521850899742921</c:v>
                </c:pt>
                <c:pt idx="263">
                  <c:v>0.13573264781490993</c:v>
                </c:pt>
                <c:pt idx="264">
                  <c:v>0.13624678663239065</c:v>
                </c:pt>
                <c:pt idx="265">
                  <c:v>0.13676092544987137</c:v>
                </c:pt>
                <c:pt idx="266">
                  <c:v>0.13727506426735209</c:v>
                </c:pt>
                <c:pt idx="267">
                  <c:v>0.13778920308483281</c:v>
                </c:pt>
                <c:pt idx="268">
                  <c:v>0.13830334190231353</c:v>
                </c:pt>
                <c:pt idx="269">
                  <c:v>0.13881748071979425</c:v>
                </c:pt>
                <c:pt idx="270">
                  <c:v>0.13933161953727496</c:v>
                </c:pt>
                <c:pt idx="271">
                  <c:v>0.13984575835475568</c:v>
                </c:pt>
                <c:pt idx="272">
                  <c:v>0.1403598971722364</c:v>
                </c:pt>
                <c:pt idx="273">
                  <c:v>0.14087403598971712</c:v>
                </c:pt>
                <c:pt idx="274">
                  <c:v>0.14138817480719784</c:v>
                </c:pt>
                <c:pt idx="275">
                  <c:v>0.14190231362467856</c:v>
                </c:pt>
                <c:pt idx="276">
                  <c:v>0.14241645244215928</c:v>
                </c:pt>
                <c:pt idx="277">
                  <c:v>0.14293059125964</c:v>
                </c:pt>
                <c:pt idx="278">
                  <c:v>0.14344473007712072</c:v>
                </c:pt>
                <c:pt idx="279">
                  <c:v>0.14395886889460144</c:v>
                </c:pt>
                <c:pt idx="280">
                  <c:v>0.14447300771208216</c:v>
                </c:pt>
                <c:pt idx="281">
                  <c:v>0.14498714652956288</c:v>
                </c:pt>
                <c:pt idx="282">
                  <c:v>0.1455012853470436</c:v>
                </c:pt>
                <c:pt idx="283">
                  <c:v>0.14601542416452432</c:v>
                </c:pt>
                <c:pt idx="284">
                  <c:v>0.14652956298200503</c:v>
                </c:pt>
                <c:pt idx="285">
                  <c:v>0.14704370179948575</c:v>
                </c:pt>
                <c:pt idx="286">
                  <c:v>0.14755784061696647</c:v>
                </c:pt>
                <c:pt idx="287">
                  <c:v>0.14807197943444719</c:v>
                </c:pt>
                <c:pt idx="288">
                  <c:v>0.14858611825192791</c:v>
                </c:pt>
                <c:pt idx="289">
                  <c:v>0.14910025706940863</c:v>
                </c:pt>
                <c:pt idx="290">
                  <c:v>0.14961439588688935</c:v>
                </c:pt>
                <c:pt idx="291">
                  <c:v>0.15012853470437007</c:v>
                </c:pt>
                <c:pt idx="292">
                  <c:v>0.15064267352185079</c:v>
                </c:pt>
                <c:pt idx="293">
                  <c:v>0.15115681233933151</c:v>
                </c:pt>
                <c:pt idx="294">
                  <c:v>0.15167095115681223</c:v>
                </c:pt>
                <c:pt idx="295">
                  <c:v>0.15218508997429295</c:v>
                </c:pt>
                <c:pt idx="296">
                  <c:v>0.15269922879177367</c:v>
                </c:pt>
                <c:pt idx="297">
                  <c:v>0.15321336760925439</c:v>
                </c:pt>
                <c:pt idx="298">
                  <c:v>0.15372750642673511</c:v>
                </c:pt>
                <c:pt idx="299">
                  <c:v>0.15424164524421582</c:v>
                </c:pt>
                <c:pt idx="300">
                  <c:v>0.15475578406169654</c:v>
                </c:pt>
                <c:pt idx="301">
                  <c:v>0.15526992287917726</c:v>
                </c:pt>
                <c:pt idx="302">
                  <c:v>0.15578406169665798</c:v>
                </c:pt>
                <c:pt idx="303">
                  <c:v>0.1562982005141387</c:v>
                </c:pt>
                <c:pt idx="304">
                  <c:v>0.15681233933161942</c:v>
                </c:pt>
                <c:pt idx="305">
                  <c:v>0.15732647814910014</c:v>
                </c:pt>
                <c:pt idx="306">
                  <c:v>0.15784061696658086</c:v>
                </c:pt>
                <c:pt idx="307">
                  <c:v>0.15835475578406158</c:v>
                </c:pt>
                <c:pt idx="308">
                  <c:v>0.1588688946015423</c:v>
                </c:pt>
                <c:pt idx="309">
                  <c:v>0.15938303341902302</c:v>
                </c:pt>
                <c:pt idx="310">
                  <c:v>0.15989717223650374</c:v>
                </c:pt>
                <c:pt idx="311">
                  <c:v>0.16041131105398446</c:v>
                </c:pt>
                <c:pt idx="312">
                  <c:v>0.16092544987146518</c:v>
                </c:pt>
                <c:pt idx="313">
                  <c:v>0.1614395886889459</c:v>
                </c:pt>
                <c:pt idx="314">
                  <c:v>0.16195372750642661</c:v>
                </c:pt>
                <c:pt idx="315">
                  <c:v>0.16246786632390733</c:v>
                </c:pt>
                <c:pt idx="316">
                  <c:v>0.16298200514138805</c:v>
                </c:pt>
                <c:pt idx="317">
                  <c:v>0.16349614395886877</c:v>
                </c:pt>
                <c:pt idx="318">
                  <c:v>0.16401028277634949</c:v>
                </c:pt>
                <c:pt idx="319">
                  <c:v>0.16452442159383021</c:v>
                </c:pt>
                <c:pt idx="320">
                  <c:v>0.16503856041131093</c:v>
                </c:pt>
                <c:pt idx="321">
                  <c:v>0.16555269922879165</c:v>
                </c:pt>
                <c:pt idx="322">
                  <c:v>0.16606683804627237</c:v>
                </c:pt>
                <c:pt idx="323">
                  <c:v>0.16658097686375309</c:v>
                </c:pt>
                <c:pt idx="324">
                  <c:v>0.16709511568123381</c:v>
                </c:pt>
                <c:pt idx="325">
                  <c:v>0.16760925449871453</c:v>
                </c:pt>
                <c:pt idx="326">
                  <c:v>0.16812339331619525</c:v>
                </c:pt>
                <c:pt idx="327">
                  <c:v>0.16863753213367597</c:v>
                </c:pt>
                <c:pt idx="328">
                  <c:v>0.16915167095115669</c:v>
                </c:pt>
                <c:pt idx="329">
                  <c:v>0.1696658097686374</c:v>
                </c:pt>
                <c:pt idx="330">
                  <c:v>0.17017994858611812</c:v>
                </c:pt>
                <c:pt idx="331">
                  <c:v>0.17069408740359884</c:v>
                </c:pt>
                <c:pt idx="332">
                  <c:v>0.17120822622107956</c:v>
                </c:pt>
                <c:pt idx="333">
                  <c:v>0.17172236503856028</c:v>
                </c:pt>
                <c:pt idx="334">
                  <c:v>0.172236503856041</c:v>
                </c:pt>
                <c:pt idx="335">
                  <c:v>0.17275064267352172</c:v>
                </c:pt>
                <c:pt idx="336">
                  <c:v>0.17326478149100244</c:v>
                </c:pt>
                <c:pt idx="337">
                  <c:v>0.17377892030848316</c:v>
                </c:pt>
                <c:pt idx="338">
                  <c:v>0.17429305912596388</c:v>
                </c:pt>
                <c:pt idx="339">
                  <c:v>0.1748071979434446</c:v>
                </c:pt>
                <c:pt idx="340">
                  <c:v>0.17532133676092532</c:v>
                </c:pt>
                <c:pt idx="341">
                  <c:v>0.17583547557840604</c:v>
                </c:pt>
                <c:pt idx="342">
                  <c:v>0.17634961439588676</c:v>
                </c:pt>
                <c:pt idx="343">
                  <c:v>0.17686375321336748</c:v>
                </c:pt>
                <c:pt idx="344">
                  <c:v>0.17737789203084819</c:v>
                </c:pt>
                <c:pt idx="345">
                  <c:v>0.17789203084832891</c:v>
                </c:pt>
                <c:pt idx="346">
                  <c:v>0.17840616966580963</c:v>
                </c:pt>
                <c:pt idx="347">
                  <c:v>0.17892030848329035</c:v>
                </c:pt>
                <c:pt idx="348">
                  <c:v>0.17943444730077107</c:v>
                </c:pt>
                <c:pt idx="349">
                  <c:v>0.17994858611825179</c:v>
                </c:pt>
                <c:pt idx="350">
                  <c:v>0.18046272493573251</c:v>
                </c:pt>
                <c:pt idx="351">
                  <c:v>0.18097686375321323</c:v>
                </c:pt>
                <c:pt idx="352">
                  <c:v>0.18149100257069395</c:v>
                </c:pt>
                <c:pt idx="353">
                  <c:v>0.18200514138817467</c:v>
                </c:pt>
                <c:pt idx="354">
                  <c:v>0.18251928020565539</c:v>
                </c:pt>
                <c:pt idx="355">
                  <c:v>0.18303341902313611</c:v>
                </c:pt>
                <c:pt idx="356">
                  <c:v>0.18354755784061683</c:v>
                </c:pt>
                <c:pt idx="357">
                  <c:v>0.18406169665809755</c:v>
                </c:pt>
                <c:pt idx="358">
                  <c:v>0.18457583547557826</c:v>
                </c:pt>
                <c:pt idx="359">
                  <c:v>0.18508997429305898</c:v>
                </c:pt>
                <c:pt idx="360">
                  <c:v>0.1856041131105397</c:v>
                </c:pt>
                <c:pt idx="361">
                  <c:v>0.18611825192802042</c:v>
                </c:pt>
                <c:pt idx="362">
                  <c:v>0.18663239074550114</c:v>
                </c:pt>
                <c:pt idx="363">
                  <c:v>0.18714652956298186</c:v>
                </c:pt>
                <c:pt idx="364">
                  <c:v>0.18766066838046258</c:v>
                </c:pt>
                <c:pt idx="365">
                  <c:v>0.1881748071979433</c:v>
                </c:pt>
                <c:pt idx="366">
                  <c:v>0.18868894601542402</c:v>
                </c:pt>
                <c:pt idx="367">
                  <c:v>0.18920308483290474</c:v>
                </c:pt>
                <c:pt idx="368">
                  <c:v>0.18971722365038546</c:v>
                </c:pt>
                <c:pt idx="369">
                  <c:v>0.19023136246786618</c:v>
                </c:pt>
                <c:pt idx="370">
                  <c:v>0.1907455012853469</c:v>
                </c:pt>
                <c:pt idx="371">
                  <c:v>0.19125964010282762</c:v>
                </c:pt>
                <c:pt idx="372">
                  <c:v>0.19177377892030834</c:v>
                </c:pt>
                <c:pt idx="373">
                  <c:v>0.19228791773778905</c:v>
                </c:pt>
                <c:pt idx="374">
                  <c:v>0.19280205655526977</c:v>
                </c:pt>
                <c:pt idx="375">
                  <c:v>0.19331619537275049</c:v>
                </c:pt>
                <c:pt idx="376">
                  <c:v>0.19383033419023121</c:v>
                </c:pt>
                <c:pt idx="377">
                  <c:v>0.19434447300771193</c:v>
                </c:pt>
                <c:pt idx="378">
                  <c:v>0.19485861182519265</c:v>
                </c:pt>
                <c:pt idx="379">
                  <c:v>0.19537275064267337</c:v>
                </c:pt>
                <c:pt idx="380">
                  <c:v>0.19588688946015409</c:v>
                </c:pt>
                <c:pt idx="381">
                  <c:v>0.19640102827763481</c:v>
                </c:pt>
                <c:pt idx="382">
                  <c:v>0.19691516709511553</c:v>
                </c:pt>
                <c:pt idx="383">
                  <c:v>0.19742930591259625</c:v>
                </c:pt>
                <c:pt idx="384">
                  <c:v>0.19794344473007697</c:v>
                </c:pt>
                <c:pt idx="385">
                  <c:v>0.19845758354755769</c:v>
                </c:pt>
                <c:pt idx="386">
                  <c:v>0.19897172236503841</c:v>
                </c:pt>
                <c:pt idx="387">
                  <c:v>0.19948586118251913</c:v>
                </c:pt>
                <c:pt idx="388">
                  <c:v>0.19999999999999984</c:v>
                </c:pt>
                <c:pt idx="389">
                  <c:v>0.20051413881748056</c:v>
                </c:pt>
                <c:pt idx="390">
                  <c:v>0.20102827763496128</c:v>
                </c:pt>
                <c:pt idx="391">
                  <c:v>0.201542416452442</c:v>
                </c:pt>
                <c:pt idx="392">
                  <c:v>0.20205655526992272</c:v>
                </c:pt>
                <c:pt idx="393">
                  <c:v>0.20257069408740344</c:v>
                </c:pt>
                <c:pt idx="394">
                  <c:v>0.20308483290488416</c:v>
                </c:pt>
                <c:pt idx="395">
                  <c:v>0.20359897172236488</c:v>
                </c:pt>
                <c:pt idx="396">
                  <c:v>0.2041131105398456</c:v>
                </c:pt>
                <c:pt idx="397">
                  <c:v>0.20462724935732632</c:v>
                </c:pt>
                <c:pt idx="398">
                  <c:v>0.20514138817480704</c:v>
                </c:pt>
                <c:pt idx="399">
                  <c:v>0.20565552699228776</c:v>
                </c:pt>
                <c:pt idx="400">
                  <c:v>0.20616966580976848</c:v>
                </c:pt>
                <c:pt idx="401">
                  <c:v>0.2066838046272492</c:v>
                </c:pt>
                <c:pt idx="402">
                  <c:v>0.20719794344472992</c:v>
                </c:pt>
                <c:pt idx="403">
                  <c:v>0.20771208226221063</c:v>
                </c:pt>
                <c:pt idx="404">
                  <c:v>0.20822622107969135</c:v>
                </c:pt>
                <c:pt idx="405">
                  <c:v>0.20874035989717207</c:v>
                </c:pt>
                <c:pt idx="406">
                  <c:v>0.20925449871465279</c:v>
                </c:pt>
                <c:pt idx="407">
                  <c:v>0.20976863753213351</c:v>
                </c:pt>
                <c:pt idx="408">
                  <c:v>0.21028277634961423</c:v>
                </c:pt>
                <c:pt idx="409">
                  <c:v>0.21079691516709495</c:v>
                </c:pt>
                <c:pt idx="410">
                  <c:v>0.21131105398457567</c:v>
                </c:pt>
                <c:pt idx="411">
                  <c:v>0.21182519280205639</c:v>
                </c:pt>
                <c:pt idx="412">
                  <c:v>0.21233933161953711</c:v>
                </c:pt>
                <c:pt idx="413">
                  <c:v>0.21285347043701783</c:v>
                </c:pt>
                <c:pt idx="414">
                  <c:v>0.21336760925449855</c:v>
                </c:pt>
                <c:pt idx="415">
                  <c:v>0.21388174807197927</c:v>
                </c:pt>
                <c:pt idx="416">
                  <c:v>0.21439588688945999</c:v>
                </c:pt>
                <c:pt idx="417">
                  <c:v>0.2149100257069407</c:v>
                </c:pt>
                <c:pt idx="418">
                  <c:v>0.21542416452442142</c:v>
                </c:pt>
                <c:pt idx="419">
                  <c:v>0.21593830334190214</c:v>
                </c:pt>
                <c:pt idx="420">
                  <c:v>0.21645244215938286</c:v>
                </c:pt>
                <c:pt idx="421">
                  <c:v>0.21696658097686358</c:v>
                </c:pt>
                <c:pt idx="422">
                  <c:v>0.2174807197943443</c:v>
                </c:pt>
                <c:pt idx="423">
                  <c:v>0.21799485861182502</c:v>
                </c:pt>
                <c:pt idx="424">
                  <c:v>0.21850899742930574</c:v>
                </c:pt>
                <c:pt idx="425">
                  <c:v>0.21902313624678646</c:v>
                </c:pt>
                <c:pt idx="426">
                  <c:v>0.21953727506426718</c:v>
                </c:pt>
                <c:pt idx="427">
                  <c:v>0.2200514138817479</c:v>
                </c:pt>
                <c:pt idx="428">
                  <c:v>0.22056555269922862</c:v>
                </c:pt>
                <c:pt idx="429">
                  <c:v>0.22107969151670934</c:v>
                </c:pt>
                <c:pt idx="430">
                  <c:v>0.22159383033419006</c:v>
                </c:pt>
                <c:pt idx="431">
                  <c:v>0.22210796915167078</c:v>
                </c:pt>
                <c:pt idx="432">
                  <c:v>0.22262210796915149</c:v>
                </c:pt>
                <c:pt idx="433">
                  <c:v>0.22313624678663221</c:v>
                </c:pt>
                <c:pt idx="434">
                  <c:v>0.22365038560411293</c:v>
                </c:pt>
                <c:pt idx="435">
                  <c:v>0.22416452442159365</c:v>
                </c:pt>
                <c:pt idx="436">
                  <c:v>0.22467866323907437</c:v>
                </c:pt>
                <c:pt idx="437">
                  <c:v>0.22519280205655509</c:v>
                </c:pt>
                <c:pt idx="438">
                  <c:v>0.22570694087403581</c:v>
                </c:pt>
                <c:pt idx="439">
                  <c:v>0.22622107969151653</c:v>
                </c:pt>
                <c:pt idx="440">
                  <c:v>0.22673521850899725</c:v>
                </c:pt>
                <c:pt idx="441">
                  <c:v>0.22724935732647797</c:v>
                </c:pt>
                <c:pt idx="442">
                  <c:v>0.22776349614395869</c:v>
                </c:pt>
                <c:pt idx="443">
                  <c:v>0.22827763496143941</c:v>
                </c:pt>
                <c:pt idx="444">
                  <c:v>0.22879177377892013</c:v>
                </c:pt>
                <c:pt idx="445">
                  <c:v>0.22930591259640085</c:v>
                </c:pt>
                <c:pt idx="446">
                  <c:v>0.22982005141388157</c:v>
                </c:pt>
                <c:pt idx="447">
                  <c:v>0.23033419023136228</c:v>
                </c:pt>
                <c:pt idx="448">
                  <c:v>0.230848329048843</c:v>
                </c:pt>
                <c:pt idx="449">
                  <c:v>0.23136246786632372</c:v>
                </c:pt>
                <c:pt idx="450">
                  <c:v>0.23187660668380444</c:v>
                </c:pt>
                <c:pt idx="451">
                  <c:v>0.23239074550128516</c:v>
                </c:pt>
                <c:pt idx="452">
                  <c:v>0.23290488431876588</c:v>
                </c:pt>
                <c:pt idx="453">
                  <c:v>0.2334190231362466</c:v>
                </c:pt>
                <c:pt idx="454">
                  <c:v>0.23393316195372732</c:v>
                </c:pt>
                <c:pt idx="455">
                  <c:v>0.23444730077120804</c:v>
                </c:pt>
                <c:pt idx="456">
                  <c:v>0.23496143958868876</c:v>
                </c:pt>
                <c:pt idx="457">
                  <c:v>0.23547557840616948</c:v>
                </c:pt>
                <c:pt idx="458">
                  <c:v>0.2359897172236502</c:v>
                </c:pt>
                <c:pt idx="459">
                  <c:v>0.23650385604113092</c:v>
                </c:pt>
                <c:pt idx="460">
                  <c:v>0.23701799485861164</c:v>
                </c:pt>
                <c:pt idx="461">
                  <c:v>0.23753213367609236</c:v>
                </c:pt>
                <c:pt idx="462">
                  <c:v>0.23804627249357307</c:v>
                </c:pt>
                <c:pt idx="463">
                  <c:v>0.23856041131105379</c:v>
                </c:pt>
                <c:pt idx="464">
                  <c:v>0.23907455012853451</c:v>
                </c:pt>
                <c:pt idx="465">
                  <c:v>0.23958868894601523</c:v>
                </c:pt>
                <c:pt idx="466">
                  <c:v>0.24010282776349595</c:v>
                </c:pt>
                <c:pt idx="467">
                  <c:v>0.24061696658097667</c:v>
                </c:pt>
                <c:pt idx="468">
                  <c:v>0.24113110539845739</c:v>
                </c:pt>
                <c:pt idx="469">
                  <c:v>0.24164524421593811</c:v>
                </c:pt>
                <c:pt idx="470">
                  <c:v>0.24215938303341883</c:v>
                </c:pt>
                <c:pt idx="471">
                  <c:v>0.24267352185089955</c:v>
                </c:pt>
                <c:pt idx="472">
                  <c:v>0.24318766066838027</c:v>
                </c:pt>
                <c:pt idx="473">
                  <c:v>0.24370179948586099</c:v>
                </c:pt>
                <c:pt idx="474">
                  <c:v>0.24421593830334171</c:v>
                </c:pt>
                <c:pt idx="475">
                  <c:v>0.24473007712082243</c:v>
                </c:pt>
                <c:pt idx="476">
                  <c:v>0.24524421593830315</c:v>
                </c:pt>
                <c:pt idx="477">
                  <c:v>0.24575835475578386</c:v>
                </c:pt>
                <c:pt idx="478">
                  <c:v>0.24627249357326458</c:v>
                </c:pt>
                <c:pt idx="479">
                  <c:v>0.2467866323907453</c:v>
                </c:pt>
                <c:pt idx="480">
                  <c:v>0.24730077120822602</c:v>
                </c:pt>
                <c:pt idx="481">
                  <c:v>0.24781491002570674</c:v>
                </c:pt>
                <c:pt idx="482">
                  <c:v>0.24832904884318746</c:v>
                </c:pt>
                <c:pt idx="483">
                  <c:v>0.24884318766066818</c:v>
                </c:pt>
                <c:pt idx="484">
                  <c:v>0.2493573264781489</c:v>
                </c:pt>
                <c:pt idx="485">
                  <c:v>0.24987146529562962</c:v>
                </c:pt>
                <c:pt idx="486">
                  <c:v>0.25038560411311034</c:v>
                </c:pt>
                <c:pt idx="487">
                  <c:v>0.25089974293059109</c:v>
                </c:pt>
                <c:pt idx="488">
                  <c:v>0.25141388174807183</c:v>
                </c:pt>
                <c:pt idx="489">
                  <c:v>0.25192802056555258</c:v>
                </c:pt>
                <c:pt idx="490">
                  <c:v>0.25244215938303333</c:v>
                </c:pt>
                <c:pt idx="491">
                  <c:v>0.25295629820051407</c:v>
                </c:pt>
                <c:pt idx="492">
                  <c:v>0.25347043701799482</c:v>
                </c:pt>
                <c:pt idx="493">
                  <c:v>0.25398457583547557</c:v>
                </c:pt>
                <c:pt idx="494">
                  <c:v>0.25449871465295631</c:v>
                </c:pt>
                <c:pt idx="495">
                  <c:v>0.25501285347043706</c:v>
                </c:pt>
                <c:pt idx="496">
                  <c:v>0.25552699228791781</c:v>
                </c:pt>
                <c:pt idx="497">
                  <c:v>0.25604113110539856</c:v>
                </c:pt>
                <c:pt idx="498">
                  <c:v>0.2565552699228793</c:v>
                </c:pt>
                <c:pt idx="499">
                  <c:v>0.25706940874036005</c:v>
                </c:pt>
                <c:pt idx="500">
                  <c:v>0.2575835475578408</c:v>
                </c:pt>
                <c:pt idx="501">
                  <c:v>0.25809768637532154</c:v>
                </c:pt>
                <c:pt idx="502">
                  <c:v>0.25861182519280229</c:v>
                </c:pt>
                <c:pt idx="503">
                  <c:v>0.25912596401028304</c:v>
                </c:pt>
                <c:pt idx="504">
                  <c:v>0.25964010282776379</c:v>
                </c:pt>
                <c:pt idx="505">
                  <c:v>0.26015424164524453</c:v>
                </c:pt>
                <c:pt idx="506">
                  <c:v>0.26066838046272528</c:v>
                </c:pt>
                <c:pt idx="507">
                  <c:v>0.26118251928020603</c:v>
                </c:pt>
                <c:pt idx="508">
                  <c:v>0.26169665809768677</c:v>
                </c:pt>
                <c:pt idx="509">
                  <c:v>0.26221079691516752</c:v>
                </c:pt>
                <c:pt idx="510">
                  <c:v>0.26272493573264827</c:v>
                </c:pt>
                <c:pt idx="511">
                  <c:v>0.26323907455012902</c:v>
                </c:pt>
                <c:pt idx="512">
                  <c:v>0.26375321336760976</c:v>
                </c:pt>
                <c:pt idx="513">
                  <c:v>0.26426735218509051</c:v>
                </c:pt>
                <c:pt idx="514">
                  <c:v>0.26478149100257126</c:v>
                </c:pt>
                <c:pt idx="515">
                  <c:v>0.265295629820052</c:v>
                </c:pt>
                <c:pt idx="516">
                  <c:v>0.26580976863753275</c:v>
                </c:pt>
                <c:pt idx="517">
                  <c:v>0.2663239074550135</c:v>
                </c:pt>
                <c:pt idx="518">
                  <c:v>0.26683804627249424</c:v>
                </c:pt>
                <c:pt idx="519">
                  <c:v>0.26735218508997499</c:v>
                </c:pt>
                <c:pt idx="520">
                  <c:v>0.26786632390745574</c:v>
                </c:pt>
                <c:pt idx="521">
                  <c:v>0.26838046272493649</c:v>
                </c:pt>
                <c:pt idx="522">
                  <c:v>0.26889460154241723</c:v>
                </c:pt>
                <c:pt idx="523">
                  <c:v>0.26940874035989798</c:v>
                </c:pt>
                <c:pt idx="524">
                  <c:v>0.26992287917737873</c:v>
                </c:pt>
                <c:pt idx="525">
                  <c:v>0.27043701799485947</c:v>
                </c:pt>
                <c:pt idx="526">
                  <c:v>0.27095115681234022</c:v>
                </c:pt>
                <c:pt idx="527">
                  <c:v>0.27146529562982097</c:v>
                </c:pt>
                <c:pt idx="528">
                  <c:v>0.27197943444730172</c:v>
                </c:pt>
                <c:pt idx="529">
                  <c:v>0.27249357326478246</c:v>
                </c:pt>
                <c:pt idx="530">
                  <c:v>0.27300771208226321</c:v>
                </c:pt>
                <c:pt idx="531">
                  <c:v>0.27352185089974396</c:v>
                </c:pt>
                <c:pt idx="532">
                  <c:v>0.2740359897172247</c:v>
                </c:pt>
                <c:pt idx="533">
                  <c:v>0.27455012853470545</c:v>
                </c:pt>
                <c:pt idx="534">
                  <c:v>0.2750642673521862</c:v>
                </c:pt>
                <c:pt idx="535">
                  <c:v>0.27557840616966695</c:v>
                </c:pt>
                <c:pt idx="536">
                  <c:v>0.27609254498714769</c:v>
                </c:pt>
                <c:pt idx="537">
                  <c:v>0.27660668380462844</c:v>
                </c:pt>
                <c:pt idx="538">
                  <c:v>0.27712082262210919</c:v>
                </c:pt>
                <c:pt idx="539">
                  <c:v>0.27763496143958993</c:v>
                </c:pt>
                <c:pt idx="540">
                  <c:v>0.27814910025707068</c:v>
                </c:pt>
                <c:pt idx="541">
                  <c:v>0.27866323907455143</c:v>
                </c:pt>
                <c:pt idx="542">
                  <c:v>0.27917737789203217</c:v>
                </c:pt>
                <c:pt idx="543">
                  <c:v>0.27969151670951292</c:v>
                </c:pt>
                <c:pt idx="544">
                  <c:v>0.28020565552699367</c:v>
                </c:pt>
                <c:pt idx="545">
                  <c:v>0.28071979434447442</c:v>
                </c:pt>
                <c:pt idx="546">
                  <c:v>0.28123393316195516</c:v>
                </c:pt>
                <c:pt idx="547">
                  <c:v>0.28174807197943591</c:v>
                </c:pt>
                <c:pt idx="548">
                  <c:v>0.28226221079691666</c:v>
                </c:pt>
                <c:pt idx="549">
                  <c:v>0.2827763496143974</c:v>
                </c:pt>
                <c:pt idx="550">
                  <c:v>0.28329048843187815</c:v>
                </c:pt>
                <c:pt idx="551">
                  <c:v>0.2838046272493589</c:v>
                </c:pt>
                <c:pt idx="552">
                  <c:v>0.28431876606683965</c:v>
                </c:pt>
                <c:pt idx="553">
                  <c:v>0.28483290488432039</c:v>
                </c:pt>
                <c:pt idx="554">
                  <c:v>0.28534704370180114</c:v>
                </c:pt>
                <c:pt idx="555">
                  <c:v>0.28586118251928189</c:v>
                </c:pt>
                <c:pt idx="556">
                  <c:v>0.28637532133676263</c:v>
                </c:pt>
                <c:pt idx="557">
                  <c:v>0.28688946015424338</c:v>
                </c:pt>
                <c:pt idx="558">
                  <c:v>0.28740359897172413</c:v>
                </c:pt>
                <c:pt idx="559">
                  <c:v>0.28791773778920488</c:v>
                </c:pt>
                <c:pt idx="560">
                  <c:v>0.28843187660668562</c:v>
                </c:pt>
                <c:pt idx="561">
                  <c:v>0.28894601542416637</c:v>
                </c:pt>
                <c:pt idx="562">
                  <c:v>0.28946015424164712</c:v>
                </c:pt>
                <c:pt idx="563">
                  <c:v>0.28997429305912786</c:v>
                </c:pt>
                <c:pt idx="564">
                  <c:v>0.29048843187660861</c:v>
                </c:pt>
                <c:pt idx="565">
                  <c:v>0.29100257069408936</c:v>
                </c:pt>
                <c:pt idx="566">
                  <c:v>0.2915167095115701</c:v>
                </c:pt>
                <c:pt idx="567">
                  <c:v>0.29203084832905085</c:v>
                </c:pt>
                <c:pt idx="568">
                  <c:v>0.2925449871465316</c:v>
                </c:pt>
                <c:pt idx="569">
                  <c:v>0.29305912596401235</c:v>
                </c:pt>
                <c:pt idx="570">
                  <c:v>0.29357326478149309</c:v>
                </c:pt>
                <c:pt idx="571">
                  <c:v>0.29408740359897384</c:v>
                </c:pt>
                <c:pt idx="572">
                  <c:v>0.29460154241645459</c:v>
                </c:pt>
                <c:pt idx="573">
                  <c:v>0.29511568123393533</c:v>
                </c:pt>
                <c:pt idx="574">
                  <c:v>0.29562982005141608</c:v>
                </c:pt>
                <c:pt idx="575">
                  <c:v>0.29614395886889683</c:v>
                </c:pt>
                <c:pt idx="576">
                  <c:v>0.29665809768637758</c:v>
                </c:pt>
                <c:pt idx="577">
                  <c:v>0.29717223650385832</c:v>
                </c:pt>
                <c:pt idx="578">
                  <c:v>0.29768637532133907</c:v>
                </c:pt>
                <c:pt idx="579">
                  <c:v>0.29820051413881982</c:v>
                </c:pt>
                <c:pt idx="580">
                  <c:v>0.29871465295630056</c:v>
                </c:pt>
                <c:pt idx="581">
                  <c:v>0.29922879177378131</c:v>
                </c:pt>
                <c:pt idx="582">
                  <c:v>0.29974293059126206</c:v>
                </c:pt>
                <c:pt idx="583">
                  <c:v>0.3002570694087428</c:v>
                </c:pt>
                <c:pt idx="584">
                  <c:v>0.30077120822622355</c:v>
                </c:pt>
                <c:pt idx="585">
                  <c:v>0.3012853470437043</c:v>
                </c:pt>
                <c:pt idx="586">
                  <c:v>0.30179948586118505</c:v>
                </c:pt>
                <c:pt idx="587">
                  <c:v>0.30231362467866579</c:v>
                </c:pt>
                <c:pt idx="588">
                  <c:v>0.30282776349614654</c:v>
                </c:pt>
                <c:pt idx="589">
                  <c:v>0.30334190231362729</c:v>
                </c:pt>
                <c:pt idx="590">
                  <c:v>0.30385604113110803</c:v>
                </c:pt>
                <c:pt idx="591">
                  <c:v>0.30437017994858878</c:v>
                </c:pt>
                <c:pt idx="592">
                  <c:v>0.30488431876606953</c:v>
                </c:pt>
                <c:pt idx="593">
                  <c:v>0.30539845758355028</c:v>
                </c:pt>
                <c:pt idx="594">
                  <c:v>0.30591259640103102</c:v>
                </c:pt>
                <c:pt idx="595">
                  <c:v>0.30642673521851177</c:v>
                </c:pt>
                <c:pt idx="596">
                  <c:v>0.30694087403599252</c:v>
                </c:pt>
                <c:pt idx="597">
                  <c:v>0.30745501285347326</c:v>
                </c:pt>
                <c:pt idx="598">
                  <c:v>0.30796915167095401</c:v>
                </c:pt>
                <c:pt idx="599">
                  <c:v>0.30848329048843476</c:v>
                </c:pt>
                <c:pt idx="600">
                  <c:v>0.30899742930591551</c:v>
                </c:pt>
                <c:pt idx="601">
                  <c:v>0.30951156812339625</c:v>
                </c:pt>
                <c:pt idx="602">
                  <c:v>0.310025706940877</c:v>
                </c:pt>
                <c:pt idx="603">
                  <c:v>0.31053984575835775</c:v>
                </c:pt>
                <c:pt idx="604">
                  <c:v>0.31105398457583849</c:v>
                </c:pt>
                <c:pt idx="605">
                  <c:v>0.31156812339331924</c:v>
                </c:pt>
                <c:pt idx="606">
                  <c:v>0.31208226221079999</c:v>
                </c:pt>
                <c:pt idx="607">
                  <c:v>0.31259640102828073</c:v>
                </c:pt>
                <c:pt idx="608">
                  <c:v>0.31311053984576148</c:v>
                </c:pt>
                <c:pt idx="609">
                  <c:v>0.31362467866324223</c:v>
                </c:pt>
                <c:pt idx="610">
                  <c:v>0.31413881748072298</c:v>
                </c:pt>
                <c:pt idx="611">
                  <c:v>0.31465295629820372</c:v>
                </c:pt>
                <c:pt idx="612">
                  <c:v>0.31516709511568447</c:v>
                </c:pt>
                <c:pt idx="613">
                  <c:v>0.31568123393316522</c:v>
                </c:pt>
                <c:pt idx="614">
                  <c:v>0.31619537275064596</c:v>
                </c:pt>
                <c:pt idx="615">
                  <c:v>0.31670951156812671</c:v>
                </c:pt>
                <c:pt idx="616">
                  <c:v>0.31722365038560746</c:v>
                </c:pt>
                <c:pt idx="617">
                  <c:v>0.31773778920308821</c:v>
                </c:pt>
                <c:pt idx="618">
                  <c:v>0.31825192802056895</c:v>
                </c:pt>
                <c:pt idx="619">
                  <c:v>0.3187660668380497</c:v>
                </c:pt>
                <c:pt idx="620">
                  <c:v>0.31928020565553045</c:v>
                </c:pt>
                <c:pt idx="621">
                  <c:v>0.31979434447301119</c:v>
                </c:pt>
                <c:pt idx="622">
                  <c:v>0.32030848329049194</c:v>
                </c:pt>
                <c:pt idx="623">
                  <c:v>0.32082262210797269</c:v>
                </c:pt>
                <c:pt idx="624">
                  <c:v>0.32133676092545344</c:v>
                </c:pt>
                <c:pt idx="625">
                  <c:v>0.32185089974293418</c:v>
                </c:pt>
                <c:pt idx="626">
                  <c:v>0.32236503856041493</c:v>
                </c:pt>
                <c:pt idx="627">
                  <c:v>0.32287917737789568</c:v>
                </c:pt>
                <c:pt idx="628">
                  <c:v>0.32339331619537642</c:v>
                </c:pt>
                <c:pt idx="629">
                  <c:v>0.32390745501285717</c:v>
                </c:pt>
                <c:pt idx="630">
                  <c:v>0.32442159383033792</c:v>
                </c:pt>
                <c:pt idx="631">
                  <c:v>0.32493573264781866</c:v>
                </c:pt>
                <c:pt idx="632">
                  <c:v>0.32544987146529941</c:v>
                </c:pt>
                <c:pt idx="633">
                  <c:v>0.32596401028278016</c:v>
                </c:pt>
                <c:pt idx="634">
                  <c:v>0.32647814910026091</c:v>
                </c:pt>
                <c:pt idx="635">
                  <c:v>0.32699228791774165</c:v>
                </c:pt>
                <c:pt idx="636">
                  <c:v>0.3275064267352224</c:v>
                </c:pt>
                <c:pt idx="637">
                  <c:v>0.32802056555270315</c:v>
                </c:pt>
                <c:pt idx="638">
                  <c:v>0.32853470437018389</c:v>
                </c:pt>
                <c:pt idx="639">
                  <c:v>0.32904884318766464</c:v>
                </c:pt>
                <c:pt idx="640">
                  <c:v>0.32956298200514539</c:v>
                </c:pt>
                <c:pt idx="641">
                  <c:v>0.33007712082262614</c:v>
                </c:pt>
                <c:pt idx="642">
                  <c:v>0.33059125964010688</c:v>
                </c:pt>
                <c:pt idx="643">
                  <c:v>0.33110539845758763</c:v>
                </c:pt>
                <c:pt idx="644">
                  <c:v>0.33161953727506838</c:v>
                </c:pt>
                <c:pt idx="645">
                  <c:v>0.33213367609254912</c:v>
                </c:pt>
                <c:pt idx="646">
                  <c:v>0.33264781491002987</c:v>
                </c:pt>
                <c:pt idx="647">
                  <c:v>0.33316195372751062</c:v>
                </c:pt>
                <c:pt idx="648">
                  <c:v>0.33367609254499137</c:v>
                </c:pt>
                <c:pt idx="649">
                  <c:v>0.33419023136247211</c:v>
                </c:pt>
                <c:pt idx="650">
                  <c:v>0.33470437017995286</c:v>
                </c:pt>
                <c:pt idx="651">
                  <c:v>0.33521850899743361</c:v>
                </c:pt>
                <c:pt idx="652">
                  <c:v>0.33573264781491435</c:v>
                </c:pt>
                <c:pt idx="653">
                  <c:v>0.3362467866323951</c:v>
                </c:pt>
                <c:pt idx="654">
                  <c:v>0.33676092544987585</c:v>
                </c:pt>
                <c:pt idx="655">
                  <c:v>0.33727506426735659</c:v>
                </c:pt>
                <c:pt idx="656">
                  <c:v>0.33778920308483734</c:v>
                </c:pt>
                <c:pt idx="657">
                  <c:v>0.33830334190231809</c:v>
                </c:pt>
                <c:pt idx="658">
                  <c:v>0.33881748071979884</c:v>
                </c:pt>
                <c:pt idx="659">
                  <c:v>0.33933161953727958</c:v>
                </c:pt>
                <c:pt idx="660">
                  <c:v>0.33984575835476033</c:v>
                </c:pt>
                <c:pt idx="661">
                  <c:v>0.34035989717224108</c:v>
                </c:pt>
                <c:pt idx="662">
                  <c:v>0.34087403598972182</c:v>
                </c:pt>
                <c:pt idx="663">
                  <c:v>0.34138817480720257</c:v>
                </c:pt>
                <c:pt idx="664">
                  <c:v>0.34190231362468332</c:v>
                </c:pt>
                <c:pt idx="665">
                  <c:v>0.34241645244216407</c:v>
                </c:pt>
                <c:pt idx="666">
                  <c:v>0.34293059125964481</c:v>
                </c:pt>
                <c:pt idx="667">
                  <c:v>0.34344473007712556</c:v>
                </c:pt>
                <c:pt idx="668">
                  <c:v>0.34395886889460631</c:v>
                </c:pt>
                <c:pt idx="669">
                  <c:v>0.34447300771208705</c:v>
                </c:pt>
                <c:pt idx="670">
                  <c:v>0.3449871465295678</c:v>
                </c:pt>
                <c:pt idx="671">
                  <c:v>0.34550128534704855</c:v>
                </c:pt>
                <c:pt idx="672">
                  <c:v>0.34601542416452929</c:v>
                </c:pt>
                <c:pt idx="673">
                  <c:v>0.34652956298201004</c:v>
                </c:pt>
                <c:pt idx="674">
                  <c:v>0.34704370179949079</c:v>
                </c:pt>
                <c:pt idx="675">
                  <c:v>0.34755784061697154</c:v>
                </c:pt>
                <c:pt idx="676">
                  <c:v>0.34807197943445228</c:v>
                </c:pt>
                <c:pt idx="677">
                  <c:v>0.34858611825193303</c:v>
                </c:pt>
                <c:pt idx="678">
                  <c:v>0.34910025706941378</c:v>
                </c:pt>
                <c:pt idx="679">
                  <c:v>0.34961439588689452</c:v>
                </c:pt>
                <c:pt idx="680">
                  <c:v>0.35012853470437527</c:v>
                </c:pt>
                <c:pt idx="681">
                  <c:v>0.35064267352185602</c:v>
                </c:pt>
                <c:pt idx="682">
                  <c:v>0.35115681233933677</c:v>
                </c:pt>
                <c:pt idx="683">
                  <c:v>0.35167095115681751</c:v>
                </c:pt>
                <c:pt idx="684">
                  <c:v>0.35218508997429826</c:v>
                </c:pt>
                <c:pt idx="685">
                  <c:v>0.35269922879177901</c:v>
                </c:pt>
                <c:pt idx="686">
                  <c:v>0.35321336760925975</c:v>
                </c:pt>
                <c:pt idx="687">
                  <c:v>0.3537275064267405</c:v>
                </c:pt>
                <c:pt idx="688">
                  <c:v>0.35424164524422125</c:v>
                </c:pt>
                <c:pt idx="689">
                  <c:v>0.354755784061702</c:v>
                </c:pt>
                <c:pt idx="690">
                  <c:v>0.35526992287918274</c:v>
                </c:pt>
                <c:pt idx="691">
                  <c:v>0.35578406169666349</c:v>
                </c:pt>
                <c:pt idx="692">
                  <c:v>0.35629820051414424</c:v>
                </c:pt>
                <c:pt idx="693">
                  <c:v>0.35681233933162498</c:v>
                </c:pt>
                <c:pt idx="694">
                  <c:v>0.35732647814910573</c:v>
                </c:pt>
                <c:pt idx="695">
                  <c:v>0.35784061696658648</c:v>
                </c:pt>
                <c:pt idx="696">
                  <c:v>0.35835475578406722</c:v>
                </c:pt>
                <c:pt idx="697">
                  <c:v>0.35886889460154797</c:v>
                </c:pt>
                <c:pt idx="698">
                  <c:v>0.35938303341902872</c:v>
                </c:pt>
                <c:pt idx="699">
                  <c:v>0.35989717223650947</c:v>
                </c:pt>
                <c:pt idx="700">
                  <c:v>0.36041131105399021</c:v>
                </c:pt>
                <c:pt idx="701">
                  <c:v>0.36092544987147096</c:v>
                </c:pt>
                <c:pt idx="702">
                  <c:v>0.36143958868895171</c:v>
                </c:pt>
                <c:pt idx="703">
                  <c:v>0.36195372750643245</c:v>
                </c:pt>
                <c:pt idx="704">
                  <c:v>0.3624678663239132</c:v>
                </c:pt>
                <c:pt idx="705">
                  <c:v>0.36298200514139395</c:v>
                </c:pt>
                <c:pt idx="706">
                  <c:v>0.3634961439588747</c:v>
                </c:pt>
                <c:pt idx="707">
                  <c:v>0.36401028277635544</c:v>
                </c:pt>
                <c:pt idx="708">
                  <c:v>0.36452442159383619</c:v>
                </c:pt>
                <c:pt idx="709">
                  <c:v>0.36503856041131694</c:v>
                </c:pt>
                <c:pt idx="710">
                  <c:v>0.36555269922879768</c:v>
                </c:pt>
                <c:pt idx="711">
                  <c:v>0.36606683804627843</c:v>
                </c:pt>
                <c:pt idx="712">
                  <c:v>0.36658097686375918</c:v>
                </c:pt>
                <c:pt idx="713">
                  <c:v>0.36709511568123993</c:v>
                </c:pt>
                <c:pt idx="714">
                  <c:v>0.36760925449872067</c:v>
                </c:pt>
                <c:pt idx="715">
                  <c:v>0.36812339331620142</c:v>
                </c:pt>
                <c:pt idx="716">
                  <c:v>0.36863753213368217</c:v>
                </c:pt>
                <c:pt idx="717">
                  <c:v>0.36915167095116291</c:v>
                </c:pt>
                <c:pt idx="718">
                  <c:v>0.36966580976864366</c:v>
                </c:pt>
                <c:pt idx="719">
                  <c:v>0.37017994858612441</c:v>
                </c:pt>
                <c:pt idx="720">
                  <c:v>0.37069408740360515</c:v>
                </c:pt>
                <c:pt idx="721">
                  <c:v>0.3712082262210859</c:v>
                </c:pt>
                <c:pt idx="722">
                  <c:v>0.37172236503856665</c:v>
                </c:pt>
                <c:pt idx="723">
                  <c:v>0.3722365038560474</c:v>
                </c:pt>
                <c:pt idx="724">
                  <c:v>0.37275064267352814</c:v>
                </c:pt>
                <c:pt idx="725">
                  <c:v>0.37326478149100889</c:v>
                </c:pt>
                <c:pt idx="726">
                  <c:v>0.37377892030848964</c:v>
                </c:pt>
                <c:pt idx="727">
                  <c:v>0.37429305912597038</c:v>
                </c:pt>
                <c:pt idx="728">
                  <c:v>0.37480719794345113</c:v>
                </c:pt>
                <c:pt idx="729">
                  <c:v>0.37532133676093188</c:v>
                </c:pt>
                <c:pt idx="730">
                  <c:v>0.37583547557841263</c:v>
                </c:pt>
                <c:pt idx="731">
                  <c:v>0.37634961439589337</c:v>
                </c:pt>
                <c:pt idx="732">
                  <c:v>0.37686375321337412</c:v>
                </c:pt>
                <c:pt idx="733">
                  <c:v>0.37737789203085487</c:v>
                </c:pt>
                <c:pt idx="734">
                  <c:v>0.37789203084833561</c:v>
                </c:pt>
                <c:pt idx="735">
                  <c:v>0.37840616966581636</c:v>
                </c:pt>
                <c:pt idx="736">
                  <c:v>0.37892030848329711</c:v>
                </c:pt>
                <c:pt idx="737">
                  <c:v>0.37943444730077786</c:v>
                </c:pt>
                <c:pt idx="738">
                  <c:v>0.3799485861182586</c:v>
                </c:pt>
                <c:pt idx="739">
                  <c:v>0.38046272493573935</c:v>
                </c:pt>
                <c:pt idx="740">
                  <c:v>0.3809768637532201</c:v>
                </c:pt>
                <c:pt idx="741">
                  <c:v>0.38149100257070084</c:v>
                </c:pt>
                <c:pt idx="742">
                  <c:v>0.38200514138818159</c:v>
                </c:pt>
                <c:pt idx="743">
                  <c:v>0.38251928020566234</c:v>
                </c:pt>
                <c:pt idx="744">
                  <c:v>0.38303341902314308</c:v>
                </c:pt>
                <c:pt idx="745">
                  <c:v>0.38354755784062383</c:v>
                </c:pt>
                <c:pt idx="746">
                  <c:v>0.38406169665810458</c:v>
                </c:pt>
                <c:pt idx="747">
                  <c:v>0.38457583547558533</c:v>
                </c:pt>
                <c:pt idx="748">
                  <c:v>0.38508997429306607</c:v>
                </c:pt>
                <c:pt idx="749">
                  <c:v>0.38560411311054682</c:v>
                </c:pt>
                <c:pt idx="750">
                  <c:v>0.38611825192802757</c:v>
                </c:pt>
                <c:pt idx="751">
                  <c:v>0.38663239074550831</c:v>
                </c:pt>
                <c:pt idx="752">
                  <c:v>0.38714652956298906</c:v>
                </c:pt>
                <c:pt idx="753">
                  <c:v>0.38766066838046981</c:v>
                </c:pt>
                <c:pt idx="754">
                  <c:v>0.38817480719795056</c:v>
                </c:pt>
                <c:pt idx="755">
                  <c:v>0.3886889460154313</c:v>
                </c:pt>
                <c:pt idx="756">
                  <c:v>0.38920308483291205</c:v>
                </c:pt>
                <c:pt idx="757">
                  <c:v>0.3897172236503928</c:v>
                </c:pt>
                <c:pt idx="758">
                  <c:v>0.39023136246787354</c:v>
                </c:pt>
                <c:pt idx="759">
                  <c:v>0.39074550128535429</c:v>
                </c:pt>
                <c:pt idx="760">
                  <c:v>0.39125964010283504</c:v>
                </c:pt>
                <c:pt idx="761">
                  <c:v>0.39177377892031578</c:v>
                </c:pt>
                <c:pt idx="762">
                  <c:v>0.39228791773779653</c:v>
                </c:pt>
                <c:pt idx="763">
                  <c:v>0.39280205655527728</c:v>
                </c:pt>
                <c:pt idx="764">
                  <c:v>0.39331619537275803</c:v>
                </c:pt>
                <c:pt idx="765">
                  <c:v>0.39383033419023877</c:v>
                </c:pt>
                <c:pt idx="766">
                  <c:v>0.39434447300771952</c:v>
                </c:pt>
                <c:pt idx="767">
                  <c:v>0.39485861182520027</c:v>
                </c:pt>
                <c:pt idx="768">
                  <c:v>0.39537275064268101</c:v>
                </c:pt>
                <c:pt idx="769">
                  <c:v>0.39588688946016176</c:v>
                </c:pt>
                <c:pt idx="770">
                  <c:v>0.39640102827764251</c:v>
                </c:pt>
                <c:pt idx="771">
                  <c:v>0.39691516709512326</c:v>
                </c:pt>
                <c:pt idx="772">
                  <c:v>0.397429305912604</c:v>
                </c:pt>
                <c:pt idx="773">
                  <c:v>0.39794344473008475</c:v>
                </c:pt>
                <c:pt idx="774">
                  <c:v>0.3984575835475655</c:v>
                </c:pt>
                <c:pt idx="775">
                  <c:v>0.39897172236504624</c:v>
                </c:pt>
                <c:pt idx="776">
                  <c:v>0.39948586118252699</c:v>
                </c:pt>
                <c:pt idx="777">
                  <c:v>0.40000000000000774</c:v>
                </c:pt>
                <c:pt idx="778">
                  <c:v>0.40051413881748849</c:v>
                </c:pt>
                <c:pt idx="779">
                  <c:v>0.40102827763496923</c:v>
                </c:pt>
                <c:pt idx="780">
                  <c:v>0.40154241645244998</c:v>
                </c:pt>
                <c:pt idx="781">
                  <c:v>0.40205655526993073</c:v>
                </c:pt>
                <c:pt idx="782">
                  <c:v>0.40257069408741147</c:v>
                </c:pt>
                <c:pt idx="783">
                  <c:v>0.40308483290489222</c:v>
                </c:pt>
                <c:pt idx="784">
                  <c:v>0.40359897172237297</c:v>
                </c:pt>
                <c:pt idx="785">
                  <c:v>0.40411311053985371</c:v>
                </c:pt>
                <c:pt idx="786">
                  <c:v>0.40462724935733446</c:v>
                </c:pt>
                <c:pt idx="787">
                  <c:v>0.40514138817481521</c:v>
                </c:pt>
                <c:pt idx="788">
                  <c:v>0.40565552699229596</c:v>
                </c:pt>
                <c:pt idx="789">
                  <c:v>0.4061696658097767</c:v>
                </c:pt>
                <c:pt idx="790">
                  <c:v>0.40668380462725745</c:v>
                </c:pt>
                <c:pt idx="791">
                  <c:v>0.4071979434447382</c:v>
                </c:pt>
                <c:pt idx="792">
                  <c:v>0.40771208226221894</c:v>
                </c:pt>
                <c:pt idx="793">
                  <c:v>0.40822622107969969</c:v>
                </c:pt>
                <c:pt idx="794">
                  <c:v>0.40874035989718044</c:v>
                </c:pt>
                <c:pt idx="795">
                  <c:v>0.40925449871466119</c:v>
                </c:pt>
                <c:pt idx="796">
                  <c:v>0.40976863753214193</c:v>
                </c:pt>
                <c:pt idx="797">
                  <c:v>0.41028277634962268</c:v>
                </c:pt>
                <c:pt idx="798">
                  <c:v>0.41079691516710343</c:v>
                </c:pt>
                <c:pt idx="799">
                  <c:v>0.41131105398458417</c:v>
                </c:pt>
                <c:pt idx="800">
                  <c:v>0.41182519280206492</c:v>
                </c:pt>
                <c:pt idx="801">
                  <c:v>0.41233933161954567</c:v>
                </c:pt>
                <c:pt idx="802">
                  <c:v>0.41285347043702642</c:v>
                </c:pt>
                <c:pt idx="803">
                  <c:v>0.41336760925450716</c:v>
                </c:pt>
                <c:pt idx="804">
                  <c:v>0.41388174807198791</c:v>
                </c:pt>
                <c:pt idx="805">
                  <c:v>0.41439588688946866</c:v>
                </c:pt>
                <c:pt idx="806">
                  <c:v>0.4149100257069494</c:v>
                </c:pt>
                <c:pt idx="807">
                  <c:v>0.41542416452443015</c:v>
                </c:pt>
                <c:pt idx="808">
                  <c:v>0.4159383033419109</c:v>
                </c:pt>
                <c:pt idx="809">
                  <c:v>0.41645244215939164</c:v>
                </c:pt>
                <c:pt idx="810">
                  <c:v>0.41696658097687239</c:v>
                </c:pt>
                <c:pt idx="811">
                  <c:v>0.41748071979435314</c:v>
                </c:pt>
                <c:pt idx="812">
                  <c:v>0.41799485861183389</c:v>
                </c:pt>
                <c:pt idx="813">
                  <c:v>0.41850899742931463</c:v>
                </c:pt>
                <c:pt idx="814">
                  <c:v>0.41902313624679538</c:v>
                </c:pt>
                <c:pt idx="815">
                  <c:v>0.41953727506427613</c:v>
                </c:pt>
                <c:pt idx="816">
                  <c:v>0.42005141388175687</c:v>
                </c:pt>
                <c:pt idx="817">
                  <c:v>0.42056555269923762</c:v>
                </c:pt>
                <c:pt idx="818">
                  <c:v>0.42107969151671837</c:v>
                </c:pt>
                <c:pt idx="819">
                  <c:v>0.42159383033419912</c:v>
                </c:pt>
                <c:pt idx="820">
                  <c:v>0.42210796915167986</c:v>
                </c:pt>
                <c:pt idx="821">
                  <c:v>0.42262210796916061</c:v>
                </c:pt>
                <c:pt idx="822">
                  <c:v>0.42313624678664136</c:v>
                </c:pt>
                <c:pt idx="823">
                  <c:v>0.4236503856041221</c:v>
                </c:pt>
                <c:pt idx="824">
                  <c:v>0.42416452442160285</c:v>
                </c:pt>
                <c:pt idx="825">
                  <c:v>0.4246786632390836</c:v>
                </c:pt>
                <c:pt idx="826">
                  <c:v>0.42519280205656435</c:v>
                </c:pt>
                <c:pt idx="827">
                  <c:v>0.42570694087404509</c:v>
                </c:pt>
                <c:pt idx="828">
                  <c:v>0.42622107969152584</c:v>
                </c:pt>
                <c:pt idx="829">
                  <c:v>0.42673521850900659</c:v>
                </c:pt>
                <c:pt idx="830">
                  <c:v>0.42724935732648733</c:v>
                </c:pt>
                <c:pt idx="831">
                  <c:v>0.42776349614396808</c:v>
                </c:pt>
                <c:pt idx="832">
                  <c:v>0.42827763496144883</c:v>
                </c:pt>
                <c:pt idx="833">
                  <c:v>0.42879177377892957</c:v>
                </c:pt>
                <c:pt idx="834">
                  <c:v>0.42930591259641032</c:v>
                </c:pt>
                <c:pt idx="835">
                  <c:v>0.42982005141389107</c:v>
                </c:pt>
                <c:pt idx="836">
                  <c:v>0.43033419023137182</c:v>
                </c:pt>
                <c:pt idx="837">
                  <c:v>0.43084832904885256</c:v>
                </c:pt>
                <c:pt idx="838">
                  <c:v>0.43136246786633331</c:v>
                </c:pt>
                <c:pt idx="839">
                  <c:v>0.43187660668381406</c:v>
                </c:pt>
                <c:pt idx="840">
                  <c:v>0.4323907455012948</c:v>
                </c:pt>
                <c:pt idx="841">
                  <c:v>0.43290488431877555</c:v>
                </c:pt>
                <c:pt idx="842">
                  <c:v>0.4334190231362563</c:v>
                </c:pt>
                <c:pt idx="843">
                  <c:v>0.43393316195373705</c:v>
                </c:pt>
                <c:pt idx="844">
                  <c:v>0.43444730077121779</c:v>
                </c:pt>
                <c:pt idx="845">
                  <c:v>0.43496143958869854</c:v>
                </c:pt>
                <c:pt idx="846">
                  <c:v>0.43547557840617929</c:v>
                </c:pt>
                <c:pt idx="847">
                  <c:v>0.43598971722366003</c:v>
                </c:pt>
                <c:pt idx="848">
                  <c:v>0.43650385604114078</c:v>
                </c:pt>
                <c:pt idx="849">
                  <c:v>0.43701799485862153</c:v>
                </c:pt>
                <c:pt idx="850">
                  <c:v>0.43753213367610228</c:v>
                </c:pt>
                <c:pt idx="851">
                  <c:v>0.43804627249358302</c:v>
                </c:pt>
                <c:pt idx="852">
                  <c:v>0.43856041131106377</c:v>
                </c:pt>
                <c:pt idx="853">
                  <c:v>0.43907455012854452</c:v>
                </c:pt>
                <c:pt idx="854">
                  <c:v>0.43958868894602526</c:v>
                </c:pt>
                <c:pt idx="855">
                  <c:v>0.44010282776350601</c:v>
                </c:pt>
                <c:pt idx="856">
                  <c:v>0.44061696658098676</c:v>
                </c:pt>
                <c:pt idx="857">
                  <c:v>0.4411311053984675</c:v>
                </c:pt>
                <c:pt idx="858">
                  <c:v>0.44164524421594825</c:v>
                </c:pt>
                <c:pt idx="859">
                  <c:v>0.442159383033429</c:v>
                </c:pt>
                <c:pt idx="860">
                  <c:v>0.44267352185090975</c:v>
                </c:pt>
                <c:pt idx="861">
                  <c:v>0.44318766066839049</c:v>
                </c:pt>
                <c:pt idx="862">
                  <c:v>0.44370179948587124</c:v>
                </c:pt>
                <c:pt idx="863">
                  <c:v>0.44421593830335199</c:v>
                </c:pt>
                <c:pt idx="864">
                  <c:v>0.44473007712083273</c:v>
                </c:pt>
                <c:pt idx="865">
                  <c:v>0.44524421593831348</c:v>
                </c:pt>
                <c:pt idx="866">
                  <c:v>0.44575835475579423</c:v>
                </c:pt>
                <c:pt idx="867">
                  <c:v>0.44627249357327498</c:v>
                </c:pt>
                <c:pt idx="868">
                  <c:v>0.44678663239075572</c:v>
                </c:pt>
                <c:pt idx="869">
                  <c:v>0.44730077120823647</c:v>
                </c:pt>
                <c:pt idx="870">
                  <c:v>0.44781491002571722</c:v>
                </c:pt>
                <c:pt idx="871">
                  <c:v>0.44832904884319796</c:v>
                </c:pt>
                <c:pt idx="872">
                  <c:v>0.44884318766067871</c:v>
                </c:pt>
                <c:pt idx="873">
                  <c:v>0.44935732647815946</c:v>
                </c:pt>
                <c:pt idx="874">
                  <c:v>0.4498714652956402</c:v>
                </c:pt>
                <c:pt idx="875">
                  <c:v>0.45038560411312095</c:v>
                </c:pt>
                <c:pt idx="876">
                  <c:v>0.4508997429306017</c:v>
                </c:pt>
                <c:pt idx="877">
                  <c:v>0.45141388174808245</c:v>
                </c:pt>
                <c:pt idx="878">
                  <c:v>0.45192802056556319</c:v>
                </c:pt>
                <c:pt idx="879">
                  <c:v>0.45244215938304394</c:v>
                </c:pt>
                <c:pt idx="880">
                  <c:v>0.45295629820052469</c:v>
                </c:pt>
                <c:pt idx="881">
                  <c:v>0.45347043701800543</c:v>
                </c:pt>
                <c:pt idx="882">
                  <c:v>0.45398457583548618</c:v>
                </c:pt>
                <c:pt idx="883">
                  <c:v>0.45449871465296693</c:v>
                </c:pt>
                <c:pt idx="884">
                  <c:v>0.45501285347044768</c:v>
                </c:pt>
                <c:pt idx="885">
                  <c:v>0.45552699228792842</c:v>
                </c:pt>
                <c:pt idx="886">
                  <c:v>0.45604113110540917</c:v>
                </c:pt>
                <c:pt idx="887">
                  <c:v>0.45655526992288992</c:v>
                </c:pt>
                <c:pt idx="888">
                  <c:v>0.45706940874037066</c:v>
                </c:pt>
                <c:pt idx="889">
                  <c:v>0.45758354755785141</c:v>
                </c:pt>
                <c:pt idx="890">
                  <c:v>0.45809768637533216</c:v>
                </c:pt>
                <c:pt idx="891">
                  <c:v>0.45861182519281291</c:v>
                </c:pt>
                <c:pt idx="892">
                  <c:v>0.45912596401029365</c:v>
                </c:pt>
                <c:pt idx="893">
                  <c:v>0.4596401028277744</c:v>
                </c:pt>
                <c:pt idx="894">
                  <c:v>0.46015424164525515</c:v>
                </c:pt>
                <c:pt idx="895">
                  <c:v>0.46066838046273589</c:v>
                </c:pt>
                <c:pt idx="896">
                  <c:v>0.46118251928021664</c:v>
                </c:pt>
                <c:pt idx="897">
                  <c:v>0.46169665809769739</c:v>
                </c:pt>
                <c:pt idx="898">
                  <c:v>0.46221079691517813</c:v>
                </c:pt>
                <c:pt idx="899">
                  <c:v>0.46272493573265888</c:v>
                </c:pt>
                <c:pt idx="900">
                  <c:v>0.46323907455013963</c:v>
                </c:pt>
                <c:pt idx="901">
                  <c:v>0.46375321336762038</c:v>
                </c:pt>
                <c:pt idx="902">
                  <c:v>0.46426735218510112</c:v>
                </c:pt>
                <c:pt idx="903">
                  <c:v>0.46478149100258187</c:v>
                </c:pt>
                <c:pt idx="904">
                  <c:v>0.46529562982006262</c:v>
                </c:pt>
                <c:pt idx="905">
                  <c:v>0.46580976863754336</c:v>
                </c:pt>
                <c:pt idx="906">
                  <c:v>0.46632390745502411</c:v>
                </c:pt>
                <c:pt idx="907">
                  <c:v>0.46683804627250486</c:v>
                </c:pt>
                <c:pt idx="908">
                  <c:v>0.46735218508998561</c:v>
                </c:pt>
                <c:pt idx="909">
                  <c:v>0.46786632390746635</c:v>
                </c:pt>
                <c:pt idx="910">
                  <c:v>0.4683804627249471</c:v>
                </c:pt>
                <c:pt idx="911">
                  <c:v>0.46889460154242785</c:v>
                </c:pt>
                <c:pt idx="912">
                  <c:v>0.46940874035990859</c:v>
                </c:pt>
                <c:pt idx="913">
                  <c:v>0.46992287917738934</c:v>
                </c:pt>
                <c:pt idx="914">
                  <c:v>0.47043701799487009</c:v>
                </c:pt>
                <c:pt idx="915">
                  <c:v>0.47095115681235084</c:v>
                </c:pt>
                <c:pt idx="916">
                  <c:v>0.47146529562983158</c:v>
                </c:pt>
                <c:pt idx="917">
                  <c:v>0.47197943444731233</c:v>
                </c:pt>
                <c:pt idx="918">
                  <c:v>0.47249357326479308</c:v>
                </c:pt>
                <c:pt idx="919">
                  <c:v>0.47300771208227382</c:v>
                </c:pt>
                <c:pt idx="920">
                  <c:v>0.47352185089975457</c:v>
                </c:pt>
                <c:pt idx="921">
                  <c:v>0.47403598971723532</c:v>
                </c:pt>
                <c:pt idx="922">
                  <c:v>0.47455012853471606</c:v>
                </c:pt>
                <c:pt idx="923">
                  <c:v>0.47506426735219681</c:v>
                </c:pt>
                <c:pt idx="924">
                  <c:v>0.47557840616967756</c:v>
                </c:pt>
                <c:pt idx="925">
                  <c:v>0.47609254498715831</c:v>
                </c:pt>
                <c:pt idx="926">
                  <c:v>0.47660668380463905</c:v>
                </c:pt>
                <c:pt idx="927">
                  <c:v>0.4771208226221198</c:v>
                </c:pt>
                <c:pt idx="928">
                  <c:v>0.47763496143960055</c:v>
                </c:pt>
                <c:pt idx="929">
                  <c:v>0.47814910025708129</c:v>
                </c:pt>
                <c:pt idx="930">
                  <c:v>0.47866323907456204</c:v>
                </c:pt>
                <c:pt idx="931">
                  <c:v>0.47917737789204279</c:v>
                </c:pt>
                <c:pt idx="932">
                  <c:v>0.47969151670952354</c:v>
                </c:pt>
                <c:pt idx="933">
                  <c:v>0.48020565552700428</c:v>
                </c:pt>
                <c:pt idx="934">
                  <c:v>0.48071979434448503</c:v>
                </c:pt>
                <c:pt idx="935">
                  <c:v>0.48123393316196578</c:v>
                </c:pt>
                <c:pt idx="936">
                  <c:v>0.48174807197944652</c:v>
                </c:pt>
                <c:pt idx="937">
                  <c:v>0.48226221079692727</c:v>
                </c:pt>
                <c:pt idx="938">
                  <c:v>0.48277634961440802</c:v>
                </c:pt>
                <c:pt idx="939">
                  <c:v>0.48329048843188877</c:v>
                </c:pt>
                <c:pt idx="940">
                  <c:v>0.48380462724936951</c:v>
                </c:pt>
                <c:pt idx="941">
                  <c:v>0.48431876606685026</c:v>
                </c:pt>
                <c:pt idx="942">
                  <c:v>0.48483290488433101</c:v>
                </c:pt>
                <c:pt idx="943">
                  <c:v>0.48534704370181175</c:v>
                </c:pt>
                <c:pt idx="944">
                  <c:v>0.4858611825192925</c:v>
                </c:pt>
                <c:pt idx="945">
                  <c:v>0.48637532133677325</c:v>
                </c:pt>
                <c:pt idx="946">
                  <c:v>0.48688946015425399</c:v>
                </c:pt>
                <c:pt idx="947">
                  <c:v>0.48740359897173474</c:v>
                </c:pt>
                <c:pt idx="948">
                  <c:v>0.48791773778921549</c:v>
                </c:pt>
                <c:pt idx="949">
                  <c:v>0.48843187660669624</c:v>
                </c:pt>
                <c:pt idx="950">
                  <c:v>0.48894601542417698</c:v>
                </c:pt>
                <c:pt idx="951">
                  <c:v>0.48946015424165773</c:v>
                </c:pt>
                <c:pt idx="952">
                  <c:v>0.48997429305913848</c:v>
                </c:pt>
                <c:pt idx="953">
                  <c:v>0.49048843187661922</c:v>
                </c:pt>
                <c:pt idx="954">
                  <c:v>0.49100257069409997</c:v>
                </c:pt>
                <c:pt idx="955">
                  <c:v>0.49151670951158072</c:v>
                </c:pt>
                <c:pt idx="956">
                  <c:v>0.49203084832906147</c:v>
                </c:pt>
                <c:pt idx="957">
                  <c:v>0.49254498714654221</c:v>
                </c:pt>
                <c:pt idx="958">
                  <c:v>0.49305912596402296</c:v>
                </c:pt>
                <c:pt idx="959">
                  <c:v>0.49357326478150371</c:v>
                </c:pt>
                <c:pt idx="960">
                  <c:v>0.49408740359898445</c:v>
                </c:pt>
                <c:pt idx="961">
                  <c:v>0.4946015424164652</c:v>
                </c:pt>
                <c:pt idx="962">
                  <c:v>0.49511568123394595</c:v>
                </c:pt>
                <c:pt idx="963">
                  <c:v>0.49562982005142669</c:v>
                </c:pt>
                <c:pt idx="964">
                  <c:v>0.49614395886890744</c:v>
                </c:pt>
                <c:pt idx="965">
                  <c:v>0.49665809768638819</c:v>
                </c:pt>
                <c:pt idx="966">
                  <c:v>0.49717223650386894</c:v>
                </c:pt>
                <c:pt idx="967">
                  <c:v>0.49768637532134968</c:v>
                </c:pt>
                <c:pt idx="968">
                  <c:v>0.49820051413883043</c:v>
                </c:pt>
                <c:pt idx="969">
                  <c:v>0.49871465295631118</c:v>
                </c:pt>
                <c:pt idx="970">
                  <c:v>0.49922879177379192</c:v>
                </c:pt>
                <c:pt idx="971">
                  <c:v>0.49974293059127267</c:v>
                </c:pt>
                <c:pt idx="972">
                  <c:v>0.50025706940875336</c:v>
                </c:pt>
                <c:pt idx="973">
                  <c:v>0.50077120822623411</c:v>
                </c:pt>
                <c:pt idx="974">
                  <c:v>0.50128534704371486</c:v>
                </c:pt>
                <c:pt idx="975">
                  <c:v>0.5017994858611956</c:v>
                </c:pt>
                <c:pt idx="976">
                  <c:v>0.50231362467867635</c:v>
                </c:pt>
                <c:pt idx="977">
                  <c:v>0.5028277634961571</c:v>
                </c:pt>
                <c:pt idx="978">
                  <c:v>0.50334190231363785</c:v>
                </c:pt>
                <c:pt idx="979">
                  <c:v>0.50385604113111859</c:v>
                </c:pt>
                <c:pt idx="980">
                  <c:v>0.50437017994859934</c:v>
                </c:pt>
                <c:pt idx="981">
                  <c:v>0.50488431876608009</c:v>
                </c:pt>
                <c:pt idx="982">
                  <c:v>0.50539845758356083</c:v>
                </c:pt>
                <c:pt idx="983">
                  <c:v>0.50591259640104158</c:v>
                </c:pt>
                <c:pt idx="984">
                  <c:v>0.50642673521852233</c:v>
                </c:pt>
                <c:pt idx="985">
                  <c:v>0.50694087403600308</c:v>
                </c:pt>
                <c:pt idx="986">
                  <c:v>0.50745501285348382</c:v>
                </c:pt>
                <c:pt idx="987">
                  <c:v>0.50796915167096457</c:v>
                </c:pt>
                <c:pt idx="988">
                  <c:v>0.50848329048844532</c:v>
                </c:pt>
                <c:pt idx="989">
                  <c:v>0.50899742930592606</c:v>
                </c:pt>
                <c:pt idx="990">
                  <c:v>0.50951156812340681</c:v>
                </c:pt>
                <c:pt idx="991">
                  <c:v>0.51002570694088756</c:v>
                </c:pt>
                <c:pt idx="992">
                  <c:v>0.5105398457583683</c:v>
                </c:pt>
                <c:pt idx="993">
                  <c:v>0.51105398457584905</c:v>
                </c:pt>
                <c:pt idx="994">
                  <c:v>0.5115681233933298</c:v>
                </c:pt>
                <c:pt idx="995">
                  <c:v>0.51208226221081055</c:v>
                </c:pt>
                <c:pt idx="996">
                  <c:v>0.51259640102829129</c:v>
                </c:pt>
                <c:pt idx="997">
                  <c:v>0.51311053984577204</c:v>
                </c:pt>
                <c:pt idx="998">
                  <c:v>0.51362467866325279</c:v>
                </c:pt>
                <c:pt idx="999">
                  <c:v>0.51413881748073353</c:v>
                </c:pt>
                <c:pt idx="1000">
                  <c:v>0.51465295629821428</c:v>
                </c:pt>
                <c:pt idx="1001">
                  <c:v>0.51516709511569503</c:v>
                </c:pt>
                <c:pt idx="1002">
                  <c:v>0.51568123393317578</c:v>
                </c:pt>
                <c:pt idx="1003">
                  <c:v>0.51619537275065652</c:v>
                </c:pt>
                <c:pt idx="1004">
                  <c:v>0.51670951156813727</c:v>
                </c:pt>
                <c:pt idx="1005">
                  <c:v>0.51722365038561802</c:v>
                </c:pt>
                <c:pt idx="1006">
                  <c:v>0.51773778920309876</c:v>
                </c:pt>
                <c:pt idx="1007">
                  <c:v>0.51825192802057951</c:v>
                </c:pt>
                <c:pt idx="1008">
                  <c:v>0.51876606683806026</c:v>
                </c:pt>
                <c:pt idx="1009">
                  <c:v>0.51928020565554101</c:v>
                </c:pt>
                <c:pt idx="1010">
                  <c:v>0.51979434447302175</c:v>
                </c:pt>
                <c:pt idx="1011">
                  <c:v>0.5203084832905025</c:v>
                </c:pt>
                <c:pt idx="1012">
                  <c:v>0.52082262210798325</c:v>
                </c:pt>
                <c:pt idx="1013">
                  <c:v>0.52133676092546399</c:v>
                </c:pt>
                <c:pt idx="1014">
                  <c:v>0.52185089974294474</c:v>
                </c:pt>
                <c:pt idx="1015">
                  <c:v>0.52236503856042549</c:v>
                </c:pt>
                <c:pt idx="1016">
                  <c:v>0.52287917737790623</c:v>
                </c:pt>
                <c:pt idx="1017">
                  <c:v>0.52339331619538698</c:v>
                </c:pt>
                <c:pt idx="1018">
                  <c:v>0.52390745501286773</c:v>
                </c:pt>
                <c:pt idx="1019">
                  <c:v>0.52442159383034848</c:v>
                </c:pt>
                <c:pt idx="1020">
                  <c:v>0.52493573264782922</c:v>
                </c:pt>
                <c:pt idx="1021">
                  <c:v>0.52544987146530997</c:v>
                </c:pt>
                <c:pt idx="1022">
                  <c:v>0.52596401028279072</c:v>
                </c:pt>
                <c:pt idx="1023">
                  <c:v>0.52647814910027146</c:v>
                </c:pt>
                <c:pt idx="1024">
                  <c:v>0.52699228791775221</c:v>
                </c:pt>
                <c:pt idx="1025">
                  <c:v>0.52750642673523296</c:v>
                </c:pt>
                <c:pt idx="1026">
                  <c:v>0.52802056555271371</c:v>
                </c:pt>
                <c:pt idx="1027">
                  <c:v>0.52853470437019445</c:v>
                </c:pt>
                <c:pt idx="1028">
                  <c:v>0.5290488431876752</c:v>
                </c:pt>
                <c:pt idx="1029">
                  <c:v>0.52956298200515595</c:v>
                </c:pt>
                <c:pt idx="1030">
                  <c:v>0.53007712082263669</c:v>
                </c:pt>
                <c:pt idx="1031">
                  <c:v>0.53059125964011744</c:v>
                </c:pt>
                <c:pt idx="1032">
                  <c:v>0.53110539845759819</c:v>
                </c:pt>
                <c:pt idx="1033">
                  <c:v>0.53161953727507893</c:v>
                </c:pt>
                <c:pt idx="1034">
                  <c:v>0.53213367609255968</c:v>
                </c:pt>
                <c:pt idx="1035">
                  <c:v>0.53264781491004043</c:v>
                </c:pt>
                <c:pt idx="1036">
                  <c:v>0.53316195372752118</c:v>
                </c:pt>
                <c:pt idx="1037">
                  <c:v>0.53367609254500192</c:v>
                </c:pt>
                <c:pt idx="1038">
                  <c:v>0.53419023136248267</c:v>
                </c:pt>
                <c:pt idx="1039">
                  <c:v>0.53470437017996342</c:v>
                </c:pt>
                <c:pt idx="1040">
                  <c:v>0.53521850899744416</c:v>
                </c:pt>
                <c:pt idx="1041">
                  <c:v>0.53573264781492491</c:v>
                </c:pt>
                <c:pt idx="1042">
                  <c:v>0.53624678663240566</c:v>
                </c:pt>
                <c:pt idx="1043">
                  <c:v>0.53676092544988641</c:v>
                </c:pt>
                <c:pt idx="1044">
                  <c:v>0.53727506426736715</c:v>
                </c:pt>
                <c:pt idx="1045">
                  <c:v>0.5377892030848479</c:v>
                </c:pt>
                <c:pt idx="1046">
                  <c:v>0.53830334190232865</c:v>
                </c:pt>
                <c:pt idx="1047">
                  <c:v>0.53881748071980939</c:v>
                </c:pt>
                <c:pt idx="1048">
                  <c:v>0.53933161953729014</c:v>
                </c:pt>
                <c:pt idx="1049">
                  <c:v>0.53984575835477089</c:v>
                </c:pt>
                <c:pt idx="1050">
                  <c:v>0.54035989717225164</c:v>
                </c:pt>
                <c:pt idx="1051">
                  <c:v>0.54087403598973238</c:v>
                </c:pt>
                <c:pt idx="1052">
                  <c:v>0.54138817480721313</c:v>
                </c:pt>
                <c:pt idx="1053">
                  <c:v>0.54190231362469388</c:v>
                </c:pt>
                <c:pt idx="1054">
                  <c:v>0.54241645244217462</c:v>
                </c:pt>
                <c:pt idx="1055">
                  <c:v>0.54293059125965537</c:v>
                </c:pt>
                <c:pt idx="1056">
                  <c:v>0.54344473007713612</c:v>
                </c:pt>
                <c:pt idx="1057">
                  <c:v>0.54395886889461686</c:v>
                </c:pt>
                <c:pt idx="1058">
                  <c:v>0.54447300771209761</c:v>
                </c:pt>
                <c:pt idx="1059">
                  <c:v>0.54498714652957836</c:v>
                </c:pt>
                <c:pt idx="1060">
                  <c:v>0.54550128534705911</c:v>
                </c:pt>
                <c:pt idx="1061">
                  <c:v>0.54601542416453985</c:v>
                </c:pt>
                <c:pt idx="1062">
                  <c:v>0.5465295629820206</c:v>
                </c:pt>
                <c:pt idx="1063">
                  <c:v>0.54704370179950135</c:v>
                </c:pt>
                <c:pt idx="1064">
                  <c:v>0.54755784061698209</c:v>
                </c:pt>
                <c:pt idx="1065">
                  <c:v>0.54807197943446284</c:v>
                </c:pt>
                <c:pt idx="1066">
                  <c:v>0.54858611825194359</c:v>
                </c:pt>
                <c:pt idx="1067">
                  <c:v>0.54910025706942434</c:v>
                </c:pt>
                <c:pt idx="1068">
                  <c:v>0.54961439588690508</c:v>
                </c:pt>
                <c:pt idx="1069">
                  <c:v>0.55012853470438583</c:v>
                </c:pt>
                <c:pt idx="1070">
                  <c:v>0.55064267352186658</c:v>
                </c:pt>
                <c:pt idx="1071">
                  <c:v>0.55115681233934732</c:v>
                </c:pt>
                <c:pt idx="1072">
                  <c:v>0.55167095115682807</c:v>
                </c:pt>
                <c:pt idx="1073">
                  <c:v>0.55218508997430882</c:v>
                </c:pt>
                <c:pt idx="1074">
                  <c:v>0.55269922879178957</c:v>
                </c:pt>
                <c:pt idx="1075">
                  <c:v>0.55321336760927031</c:v>
                </c:pt>
                <c:pt idx="1076">
                  <c:v>0.55372750642675106</c:v>
                </c:pt>
                <c:pt idx="1077">
                  <c:v>0.55424164524423181</c:v>
                </c:pt>
                <c:pt idx="1078">
                  <c:v>0.55475578406171255</c:v>
                </c:pt>
                <c:pt idx="1079">
                  <c:v>0.5552699228791933</c:v>
                </c:pt>
                <c:pt idx="1080">
                  <c:v>0.55578406169667405</c:v>
                </c:pt>
                <c:pt idx="1081">
                  <c:v>0.55629820051415479</c:v>
                </c:pt>
                <c:pt idx="1082">
                  <c:v>0.55681233933163554</c:v>
                </c:pt>
                <c:pt idx="1083">
                  <c:v>0.55732647814911629</c:v>
                </c:pt>
                <c:pt idx="1084">
                  <c:v>0.55784061696659704</c:v>
                </c:pt>
                <c:pt idx="1085">
                  <c:v>0.55835475578407778</c:v>
                </c:pt>
                <c:pt idx="1086">
                  <c:v>0.55886889460155853</c:v>
                </c:pt>
                <c:pt idx="1087">
                  <c:v>0.55938303341903928</c:v>
                </c:pt>
                <c:pt idx="1088">
                  <c:v>0.55989717223652002</c:v>
                </c:pt>
                <c:pt idx="1089">
                  <c:v>0.56041131105400077</c:v>
                </c:pt>
                <c:pt idx="1090">
                  <c:v>0.56092544987148152</c:v>
                </c:pt>
                <c:pt idx="1091">
                  <c:v>0.56143958868896227</c:v>
                </c:pt>
                <c:pt idx="1092">
                  <c:v>0.56195372750644301</c:v>
                </c:pt>
                <c:pt idx="1093">
                  <c:v>0.56246786632392376</c:v>
                </c:pt>
                <c:pt idx="1094">
                  <c:v>0.56298200514140451</c:v>
                </c:pt>
                <c:pt idx="1095">
                  <c:v>0.56349614395888525</c:v>
                </c:pt>
                <c:pt idx="1096">
                  <c:v>0.564010282776366</c:v>
                </c:pt>
                <c:pt idx="1097">
                  <c:v>0.56452442159384675</c:v>
                </c:pt>
                <c:pt idx="1098">
                  <c:v>0.5650385604113275</c:v>
                </c:pt>
                <c:pt idx="1099">
                  <c:v>0.56555269922880824</c:v>
                </c:pt>
                <c:pt idx="1100">
                  <c:v>0.56606683804628899</c:v>
                </c:pt>
                <c:pt idx="1101">
                  <c:v>0.56658097686376974</c:v>
                </c:pt>
                <c:pt idx="1102">
                  <c:v>0.56709511568125048</c:v>
                </c:pt>
                <c:pt idx="1103">
                  <c:v>0.56760925449873123</c:v>
                </c:pt>
                <c:pt idx="1104">
                  <c:v>0.56812339331621198</c:v>
                </c:pt>
                <c:pt idx="1105">
                  <c:v>0.56863753213369272</c:v>
                </c:pt>
                <c:pt idx="1106">
                  <c:v>0.56915167095117347</c:v>
                </c:pt>
                <c:pt idx="1107">
                  <c:v>0.56966580976865422</c:v>
                </c:pt>
                <c:pt idx="1108">
                  <c:v>0.57017994858613497</c:v>
                </c:pt>
                <c:pt idx="1109">
                  <c:v>0.57069408740361571</c:v>
                </c:pt>
                <c:pt idx="1110">
                  <c:v>0.57120822622109646</c:v>
                </c:pt>
                <c:pt idx="1111">
                  <c:v>0.57172236503857721</c:v>
                </c:pt>
                <c:pt idx="1112">
                  <c:v>0.57223650385605795</c:v>
                </c:pt>
                <c:pt idx="1113">
                  <c:v>0.5727506426735387</c:v>
                </c:pt>
                <c:pt idx="1114">
                  <c:v>0.57326478149101945</c:v>
                </c:pt>
                <c:pt idx="1115">
                  <c:v>0.5737789203085002</c:v>
                </c:pt>
                <c:pt idx="1116">
                  <c:v>0.57429305912598094</c:v>
                </c:pt>
                <c:pt idx="1117">
                  <c:v>0.57480719794346169</c:v>
                </c:pt>
                <c:pt idx="1118">
                  <c:v>0.57532133676094244</c:v>
                </c:pt>
                <c:pt idx="1119">
                  <c:v>0.57583547557842318</c:v>
                </c:pt>
                <c:pt idx="1120">
                  <c:v>0.57634961439590393</c:v>
                </c:pt>
                <c:pt idx="1121">
                  <c:v>0.57686375321338468</c:v>
                </c:pt>
                <c:pt idx="1122">
                  <c:v>0.57737789203086542</c:v>
                </c:pt>
                <c:pt idx="1123">
                  <c:v>0.57789203084834617</c:v>
                </c:pt>
                <c:pt idx="1124">
                  <c:v>0.57840616966582692</c:v>
                </c:pt>
                <c:pt idx="1125">
                  <c:v>0.57892030848330767</c:v>
                </c:pt>
                <c:pt idx="1126">
                  <c:v>0.57943444730078841</c:v>
                </c:pt>
                <c:pt idx="1127">
                  <c:v>0.57994858611826916</c:v>
                </c:pt>
                <c:pt idx="1128">
                  <c:v>0.58046272493574991</c:v>
                </c:pt>
                <c:pt idx="1129">
                  <c:v>0.58097686375323065</c:v>
                </c:pt>
                <c:pt idx="1130">
                  <c:v>0.5814910025707114</c:v>
                </c:pt>
                <c:pt idx="1131">
                  <c:v>0.58200514138819215</c:v>
                </c:pt>
                <c:pt idx="1132">
                  <c:v>0.5825192802056729</c:v>
                </c:pt>
                <c:pt idx="1133">
                  <c:v>0.58303341902315364</c:v>
                </c:pt>
                <c:pt idx="1134">
                  <c:v>0.58354755784063439</c:v>
                </c:pt>
                <c:pt idx="1135">
                  <c:v>0.58406169665811514</c:v>
                </c:pt>
                <c:pt idx="1136">
                  <c:v>0.58457583547559588</c:v>
                </c:pt>
                <c:pt idx="1137">
                  <c:v>0.58508997429307663</c:v>
                </c:pt>
                <c:pt idx="1138">
                  <c:v>0.58560411311055738</c:v>
                </c:pt>
                <c:pt idx="1139">
                  <c:v>0.58611825192803813</c:v>
                </c:pt>
                <c:pt idx="1140">
                  <c:v>0.58663239074551887</c:v>
                </c:pt>
                <c:pt idx="1141">
                  <c:v>0.58714652956299962</c:v>
                </c:pt>
                <c:pt idx="1142">
                  <c:v>0.58766066838048037</c:v>
                </c:pt>
                <c:pt idx="1143">
                  <c:v>0.58817480719796111</c:v>
                </c:pt>
                <c:pt idx="1144">
                  <c:v>0.58868894601544186</c:v>
                </c:pt>
                <c:pt idx="1145">
                  <c:v>0.58920308483292261</c:v>
                </c:pt>
                <c:pt idx="1146">
                  <c:v>0.58971722365040335</c:v>
                </c:pt>
                <c:pt idx="1147">
                  <c:v>0.5902313624678841</c:v>
                </c:pt>
                <c:pt idx="1148">
                  <c:v>0.59074550128536485</c:v>
                </c:pt>
                <c:pt idx="1149">
                  <c:v>0.5912596401028456</c:v>
                </c:pt>
                <c:pt idx="1150">
                  <c:v>0.59177377892032634</c:v>
                </c:pt>
                <c:pt idx="1151">
                  <c:v>0.59228791773780709</c:v>
                </c:pt>
                <c:pt idx="1152">
                  <c:v>0.59280205655528784</c:v>
                </c:pt>
                <c:pt idx="1153">
                  <c:v>0.59331619537276858</c:v>
                </c:pt>
                <c:pt idx="1154">
                  <c:v>0.59383033419024933</c:v>
                </c:pt>
                <c:pt idx="1155">
                  <c:v>0.59434447300773008</c:v>
                </c:pt>
                <c:pt idx="1156">
                  <c:v>0.59485861182521083</c:v>
                </c:pt>
                <c:pt idx="1157">
                  <c:v>0.59537275064269157</c:v>
                </c:pt>
                <c:pt idx="1158">
                  <c:v>0.59588688946017232</c:v>
                </c:pt>
                <c:pt idx="1159">
                  <c:v>0.59640102827765307</c:v>
                </c:pt>
                <c:pt idx="1160">
                  <c:v>0.59691516709513381</c:v>
                </c:pt>
                <c:pt idx="1161">
                  <c:v>0.59742930591261456</c:v>
                </c:pt>
                <c:pt idx="1162">
                  <c:v>0.59794344473009531</c:v>
                </c:pt>
                <c:pt idx="1163">
                  <c:v>0.59845758354757606</c:v>
                </c:pt>
                <c:pt idx="1164">
                  <c:v>0.5989717223650568</c:v>
                </c:pt>
                <c:pt idx="1165">
                  <c:v>0.59948586118253755</c:v>
                </c:pt>
                <c:pt idx="1166">
                  <c:v>0.6000000000000183</c:v>
                </c:pt>
                <c:pt idx="1167">
                  <c:v>0.60051413881749904</c:v>
                </c:pt>
                <c:pt idx="1168">
                  <c:v>0.60102827763497979</c:v>
                </c:pt>
                <c:pt idx="1169">
                  <c:v>0.60154241645246054</c:v>
                </c:pt>
                <c:pt idx="1170">
                  <c:v>0.60205655526994128</c:v>
                </c:pt>
                <c:pt idx="1171">
                  <c:v>0.60257069408742203</c:v>
                </c:pt>
                <c:pt idx="1172">
                  <c:v>0.60308483290490278</c:v>
                </c:pt>
                <c:pt idx="1173">
                  <c:v>0.60359897172238353</c:v>
                </c:pt>
                <c:pt idx="1174">
                  <c:v>0.60411311053986427</c:v>
                </c:pt>
                <c:pt idx="1175">
                  <c:v>0.60462724935734502</c:v>
                </c:pt>
                <c:pt idx="1176">
                  <c:v>0.60514138817482577</c:v>
                </c:pt>
                <c:pt idx="1177">
                  <c:v>0.60565552699230651</c:v>
                </c:pt>
                <c:pt idx="1178">
                  <c:v>0.60616966580978726</c:v>
                </c:pt>
                <c:pt idx="1179">
                  <c:v>0.60668380462726801</c:v>
                </c:pt>
                <c:pt idx="1180">
                  <c:v>0.60719794344474876</c:v>
                </c:pt>
                <c:pt idx="1181">
                  <c:v>0.6077120822622295</c:v>
                </c:pt>
                <c:pt idx="1182">
                  <c:v>0.60822622107971025</c:v>
                </c:pt>
                <c:pt idx="1183">
                  <c:v>0.608740359897191</c:v>
                </c:pt>
                <c:pt idx="1184">
                  <c:v>0.60925449871467174</c:v>
                </c:pt>
                <c:pt idx="1185">
                  <c:v>0.60976863753215249</c:v>
                </c:pt>
                <c:pt idx="1186">
                  <c:v>0.61028277634963324</c:v>
                </c:pt>
                <c:pt idx="1187">
                  <c:v>0.61079691516711399</c:v>
                </c:pt>
                <c:pt idx="1188">
                  <c:v>0.61131105398459473</c:v>
                </c:pt>
                <c:pt idx="1189">
                  <c:v>0.61182519280207548</c:v>
                </c:pt>
                <c:pt idx="1190">
                  <c:v>0.61233933161955623</c:v>
                </c:pt>
                <c:pt idx="1191">
                  <c:v>0.61285347043703697</c:v>
                </c:pt>
                <c:pt idx="1192">
                  <c:v>0.61336760925451772</c:v>
                </c:pt>
                <c:pt idx="1193">
                  <c:v>0.61388174807199847</c:v>
                </c:pt>
                <c:pt idx="1194">
                  <c:v>0.61439588688947921</c:v>
                </c:pt>
                <c:pt idx="1195">
                  <c:v>0.61491002570695996</c:v>
                </c:pt>
                <c:pt idx="1196">
                  <c:v>0.61542416452444071</c:v>
                </c:pt>
                <c:pt idx="1197">
                  <c:v>0.61593830334192146</c:v>
                </c:pt>
                <c:pt idx="1198">
                  <c:v>0.6164524421594022</c:v>
                </c:pt>
                <c:pt idx="1199">
                  <c:v>0.61696658097688295</c:v>
                </c:pt>
                <c:pt idx="1200">
                  <c:v>0.6174807197943637</c:v>
                </c:pt>
                <c:pt idx="1201">
                  <c:v>0.61799485861184444</c:v>
                </c:pt>
                <c:pt idx="1202">
                  <c:v>0.61850899742932519</c:v>
                </c:pt>
                <c:pt idx="1203">
                  <c:v>0.61902313624680594</c:v>
                </c:pt>
                <c:pt idx="1204">
                  <c:v>0.61953727506428669</c:v>
                </c:pt>
                <c:pt idx="1205">
                  <c:v>0.62005141388176743</c:v>
                </c:pt>
                <c:pt idx="1206">
                  <c:v>0.62056555269924818</c:v>
                </c:pt>
                <c:pt idx="1207">
                  <c:v>0.62107969151672893</c:v>
                </c:pt>
                <c:pt idx="1208">
                  <c:v>0.62159383033420967</c:v>
                </c:pt>
                <c:pt idx="1209">
                  <c:v>0.62210796915169042</c:v>
                </c:pt>
                <c:pt idx="1210">
                  <c:v>0.62262210796917117</c:v>
                </c:pt>
                <c:pt idx="1211">
                  <c:v>0.62313624678665192</c:v>
                </c:pt>
                <c:pt idx="1212">
                  <c:v>0.62365038560413266</c:v>
                </c:pt>
                <c:pt idx="1213">
                  <c:v>0.62416452442161341</c:v>
                </c:pt>
                <c:pt idx="1214">
                  <c:v>0.62467866323909416</c:v>
                </c:pt>
                <c:pt idx="1215">
                  <c:v>0.6251928020565749</c:v>
                </c:pt>
                <c:pt idx="1216">
                  <c:v>0.62570694087405565</c:v>
                </c:pt>
                <c:pt idx="1217">
                  <c:v>0.6262210796915364</c:v>
                </c:pt>
                <c:pt idx="1218">
                  <c:v>0.62673521850901714</c:v>
                </c:pt>
                <c:pt idx="1219">
                  <c:v>0.62724935732649789</c:v>
                </c:pt>
                <c:pt idx="1220">
                  <c:v>0.62776349614397864</c:v>
                </c:pt>
                <c:pt idx="1221">
                  <c:v>0.62827763496145939</c:v>
                </c:pt>
                <c:pt idx="1222">
                  <c:v>0.62879177377894013</c:v>
                </c:pt>
                <c:pt idx="1223">
                  <c:v>0.62930591259642088</c:v>
                </c:pt>
                <c:pt idx="1224">
                  <c:v>0.62982005141390163</c:v>
                </c:pt>
                <c:pt idx="1225">
                  <c:v>0.63033419023138237</c:v>
                </c:pt>
                <c:pt idx="1226">
                  <c:v>0.63084832904886312</c:v>
                </c:pt>
                <c:pt idx="1227">
                  <c:v>0.63136246786634387</c:v>
                </c:pt>
                <c:pt idx="1228">
                  <c:v>0.63187660668382462</c:v>
                </c:pt>
                <c:pt idx="1229">
                  <c:v>0.63239074550130536</c:v>
                </c:pt>
                <c:pt idx="1230">
                  <c:v>0.63290488431878611</c:v>
                </c:pt>
                <c:pt idx="1231">
                  <c:v>0.63341902313626686</c:v>
                </c:pt>
                <c:pt idx="1232">
                  <c:v>0.6339331619537476</c:v>
                </c:pt>
                <c:pt idx="1233">
                  <c:v>0.63444730077122835</c:v>
                </c:pt>
                <c:pt idx="1234">
                  <c:v>0.6349614395887091</c:v>
                </c:pt>
                <c:pt idx="1235">
                  <c:v>0.63547557840618984</c:v>
                </c:pt>
                <c:pt idx="1236">
                  <c:v>0.63598971722367059</c:v>
                </c:pt>
                <c:pt idx="1237">
                  <c:v>0.63650385604115134</c:v>
                </c:pt>
                <c:pt idx="1238">
                  <c:v>0.63701799485863209</c:v>
                </c:pt>
                <c:pt idx="1239">
                  <c:v>0.63753213367611283</c:v>
                </c:pt>
                <c:pt idx="1240">
                  <c:v>0.63804627249359358</c:v>
                </c:pt>
                <c:pt idx="1241">
                  <c:v>0.63856041131107433</c:v>
                </c:pt>
                <c:pt idx="1242">
                  <c:v>0.63907455012855507</c:v>
                </c:pt>
                <c:pt idx="1243">
                  <c:v>0.63958868894603582</c:v>
                </c:pt>
                <c:pt idx="1244">
                  <c:v>0.64010282776351657</c:v>
                </c:pt>
                <c:pt idx="1245">
                  <c:v>0.64061696658099732</c:v>
                </c:pt>
                <c:pt idx="1246">
                  <c:v>0.64113110539847806</c:v>
                </c:pt>
                <c:pt idx="1247">
                  <c:v>0.64164524421595881</c:v>
                </c:pt>
                <c:pt idx="1248">
                  <c:v>0.64215938303343956</c:v>
                </c:pt>
                <c:pt idx="1249">
                  <c:v>0.6426735218509203</c:v>
                </c:pt>
                <c:pt idx="1250">
                  <c:v>0.64318766066840105</c:v>
                </c:pt>
                <c:pt idx="1251">
                  <c:v>0.6437017994858818</c:v>
                </c:pt>
                <c:pt idx="1252">
                  <c:v>0.64421593830336255</c:v>
                </c:pt>
                <c:pt idx="1253">
                  <c:v>0.64473007712084329</c:v>
                </c:pt>
                <c:pt idx="1254">
                  <c:v>0.64524421593832404</c:v>
                </c:pt>
                <c:pt idx="1255">
                  <c:v>0.64575835475580479</c:v>
                </c:pt>
                <c:pt idx="1256">
                  <c:v>0.64627249357328553</c:v>
                </c:pt>
                <c:pt idx="1257">
                  <c:v>0.64678663239076628</c:v>
                </c:pt>
                <c:pt idx="1258">
                  <c:v>0.64730077120824703</c:v>
                </c:pt>
                <c:pt idx="1259">
                  <c:v>0.64781491002572777</c:v>
                </c:pt>
                <c:pt idx="1260">
                  <c:v>0.64832904884320852</c:v>
                </c:pt>
                <c:pt idx="1261">
                  <c:v>0.64884318766068927</c:v>
                </c:pt>
                <c:pt idx="1262">
                  <c:v>0.64935732647817002</c:v>
                </c:pt>
                <c:pt idx="1263">
                  <c:v>0.64987146529565076</c:v>
                </c:pt>
                <c:pt idx="1264">
                  <c:v>0.65038560411313151</c:v>
                </c:pt>
                <c:pt idx="1265">
                  <c:v>0.65089974293061226</c:v>
                </c:pt>
                <c:pt idx="1266">
                  <c:v>0.651413881748093</c:v>
                </c:pt>
                <c:pt idx="1267">
                  <c:v>0.65192802056557375</c:v>
                </c:pt>
                <c:pt idx="1268">
                  <c:v>0.6524421593830545</c:v>
                </c:pt>
                <c:pt idx="1269">
                  <c:v>0.65295629820053525</c:v>
                </c:pt>
                <c:pt idx="1270">
                  <c:v>0.65347043701801599</c:v>
                </c:pt>
                <c:pt idx="1271">
                  <c:v>0.65398457583549674</c:v>
                </c:pt>
                <c:pt idx="1272">
                  <c:v>0.65449871465297749</c:v>
                </c:pt>
                <c:pt idx="1273">
                  <c:v>0.65501285347045823</c:v>
                </c:pt>
                <c:pt idx="1274">
                  <c:v>0.65552699228793898</c:v>
                </c:pt>
                <c:pt idx="1275">
                  <c:v>0.65604113110541973</c:v>
                </c:pt>
                <c:pt idx="1276">
                  <c:v>0.65655526992290048</c:v>
                </c:pt>
                <c:pt idx="1277">
                  <c:v>0.65706940874038122</c:v>
                </c:pt>
                <c:pt idx="1278">
                  <c:v>0.65758354755786197</c:v>
                </c:pt>
                <c:pt idx="1279">
                  <c:v>0.65809768637534272</c:v>
                </c:pt>
                <c:pt idx="1280">
                  <c:v>0.65861182519282346</c:v>
                </c:pt>
                <c:pt idx="1281">
                  <c:v>0.65912596401030421</c:v>
                </c:pt>
                <c:pt idx="1282">
                  <c:v>0.65964010282778496</c:v>
                </c:pt>
                <c:pt idx="1283">
                  <c:v>0.6601542416452657</c:v>
                </c:pt>
                <c:pt idx="1284">
                  <c:v>0.66066838046274645</c:v>
                </c:pt>
                <c:pt idx="1285">
                  <c:v>0.6611825192802272</c:v>
                </c:pt>
                <c:pt idx="1286">
                  <c:v>0.66169665809770795</c:v>
                </c:pt>
                <c:pt idx="1287">
                  <c:v>0.66221079691518869</c:v>
                </c:pt>
                <c:pt idx="1288">
                  <c:v>0.66272493573266944</c:v>
                </c:pt>
                <c:pt idx="1289">
                  <c:v>0.66323907455015019</c:v>
                </c:pt>
                <c:pt idx="1290">
                  <c:v>0.66375321336763093</c:v>
                </c:pt>
                <c:pt idx="1291">
                  <c:v>0.66426735218511168</c:v>
                </c:pt>
                <c:pt idx="1292">
                  <c:v>0.66478149100259243</c:v>
                </c:pt>
                <c:pt idx="1293">
                  <c:v>0.66529562982007318</c:v>
                </c:pt>
                <c:pt idx="1294">
                  <c:v>0.66580976863755392</c:v>
                </c:pt>
                <c:pt idx="1295">
                  <c:v>0.66632390745503467</c:v>
                </c:pt>
                <c:pt idx="1296">
                  <c:v>0.66683804627251542</c:v>
                </c:pt>
                <c:pt idx="1297">
                  <c:v>0.66735218508999616</c:v>
                </c:pt>
                <c:pt idx="1298">
                  <c:v>0.66786632390747691</c:v>
                </c:pt>
                <c:pt idx="1299">
                  <c:v>0.66838046272495766</c:v>
                </c:pt>
                <c:pt idx="1300">
                  <c:v>0.66889460154243841</c:v>
                </c:pt>
                <c:pt idx="1301">
                  <c:v>0.66940874035991915</c:v>
                </c:pt>
                <c:pt idx="1302">
                  <c:v>0.6699228791773999</c:v>
                </c:pt>
                <c:pt idx="1303">
                  <c:v>0.67043701799488065</c:v>
                </c:pt>
                <c:pt idx="1304">
                  <c:v>0.67095115681236139</c:v>
                </c:pt>
                <c:pt idx="1305">
                  <c:v>0.67146529562984214</c:v>
                </c:pt>
                <c:pt idx="1306">
                  <c:v>0.67197943444732289</c:v>
                </c:pt>
                <c:pt idx="1307">
                  <c:v>0.67249357326480363</c:v>
                </c:pt>
                <c:pt idx="1308">
                  <c:v>0.67300771208228438</c:v>
                </c:pt>
                <c:pt idx="1309">
                  <c:v>0.67352185089976513</c:v>
                </c:pt>
                <c:pt idx="1310">
                  <c:v>0.67403598971724588</c:v>
                </c:pt>
                <c:pt idx="1311">
                  <c:v>0.67455012853472662</c:v>
                </c:pt>
                <c:pt idx="1312">
                  <c:v>0.67506426735220737</c:v>
                </c:pt>
                <c:pt idx="1313">
                  <c:v>0.67557840616968812</c:v>
                </c:pt>
                <c:pt idx="1314">
                  <c:v>0.67609254498716886</c:v>
                </c:pt>
                <c:pt idx="1315">
                  <c:v>0.67660668380464961</c:v>
                </c:pt>
                <c:pt idx="1316">
                  <c:v>0.67712082262213036</c:v>
                </c:pt>
                <c:pt idx="1317">
                  <c:v>0.67763496143961111</c:v>
                </c:pt>
                <c:pt idx="1318">
                  <c:v>0.67814910025709185</c:v>
                </c:pt>
                <c:pt idx="1319">
                  <c:v>0.6786632390745726</c:v>
                </c:pt>
                <c:pt idx="1320">
                  <c:v>0.67917737789205335</c:v>
                </c:pt>
                <c:pt idx="1321">
                  <c:v>0.67969151670953409</c:v>
                </c:pt>
                <c:pt idx="1322">
                  <c:v>0.68020565552701484</c:v>
                </c:pt>
                <c:pt idx="1323">
                  <c:v>0.68071979434449559</c:v>
                </c:pt>
                <c:pt idx="1324">
                  <c:v>0.68123393316197633</c:v>
                </c:pt>
                <c:pt idx="1325">
                  <c:v>0.68174807197945708</c:v>
                </c:pt>
                <c:pt idx="1326">
                  <c:v>0.68226221079693783</c:v>
                </c:pt>
                <c:pt idx="1327">
                  <c:v>0.68277634961441858</c:v>
                </c:pt>
                <c:pt idx="1328">
                  <c:v>0.68329048843189932</c:v>
                </c:pt>
                <c:pt idx="1329">
                  <c:v>0.68380462724938007</c:v>
                </c:pt>
                <c:pt idx="1330">
                  <c:v>0.68431876606686082</c:v>
                </c:pt>
                <c:pt idx="1331">
                  <c:v>0.68483290488434156</c:v>
                </c:pt>
                <c:pt idx="1332">
                  <c:v>0.68534704370182231</c:v>
                </c:pt>
                <c:pt idx="1333">
                  <c:v>0.68586118251930306</c:v>
                </c:pt>
                <c:pt idx="1334">
                  <c:v>0.68637532133678381</c:v>
                </c:pt>
                <c:pt idx="1335">
                  <c:v>0.68688946015426455</c:v>
                </c:pt>
                <c:pt idx="1336">
                  <c:v>0.6874035989717453</c:v>
                </c:pt>
                <c:pt idx="1337">
                  <c:v>0.68791773778922605</c:v>
                </c:pt>
                <c:pt idx="1338">
                  <c:v>0.68843187660670679</c:v>
                </c:pt>
                <c:pt idx="1339">
                  <c:v>0.68894601542418754</c:v>
                </c:pt>
                <c:pt idx="1340">
                  <c:v>0.68946015424166829</c:v>
                </c:pt>
                <c:pt idx="1341">
                  <c:v>0.68997429305914904</c:v>
                </c:pt>
                <c:pt idx="1342">
                  <c:v>0.69048843187662978</c:v>
                </c:pt>
                <c:pt idx="1343">
                  <c:v>0.69100257069411053</c:v>
                </c:pt>
                <c:pt idx="1344">
                  <c:v>0.69151670951159128</c:v>
                </c:pt>
                <c:pt idx="1345">
                  <c:v>0.69203084832907202</c:v>
                </c:pt>
                <c:pt idx="1346">
                  <c:v>0.69254498714655277</c:v>
                </c:pt>
                <c:pt idx="1347">
                  <c:v>0.69305912596403352</c:v>
                </c:pt>
                <c:pt idx="1348">
                  <c:v>0.69357326478151426</c:v>
                </c:pt>
                <c:pt idx="1349">
                  <c:v>0.69408740359899501</c:v>
                </c:pt>
                <c:pt idx="1350">
                  <c:v>0.69460154241647576</c:v>
                </c:pt>
                <c:pt idx="1351">
                  <c:v>0.69511568123395651</c:v>
                </c:pt>
                <c:pt idx="1352">
                  <c:v>0.69562982005143725</c:v>
                </c:pt>
                <c:pt idx="1353">
                  <c:v>0.696143958868918</c:v>
                </c:pt>
                <c:pt idx="1354">
                  <c:v>0.69665809768639875</c:v>
                </c:pt>
                <c:pt idx="1355">
                  <c:v>0.69717223650387949</c:v>
                </c:pt>
                <c:pt idx="1356">
                  <c:v>0.69768637532136024</c:v>
                </c:pt>
                <c:pt idx="1357">
                  <c:v>0.69820051413884099</c:v>
                </c:pt>
                <c:pt idx="1358">
                  <c:v>0.69871465295632174</c:v>
                </c:pt>
                <c:pt idx="1359">
                  <c:v>0.69922879177380248</c:v>
                </c:pt>
                <c:pt idx="1360">
                  <c:v>0.69974293059128323</c:v>
                </c:pt>
                <c:pt idx="1361">
                  <c:v>0.70025706940876398</c:v>
                </c:pt>
                <c:pt idx="1362">
                  <c:v>0.70077120822624472</c:v>
                </c:pt>
                <c:pt idx="1363">
                  <c:v>0.70128534704372547</c:v>
                </c:pt>
                <c:pt idx="1364">
                  <c:v>0.70179948586120622</c:v>
                </c:pt>
                <c:pt idx="1365">
                  <c:v>0.70231362467868697</c:v>
                </c:pt>
                <c:pt idx="1366">
                  <c:v>0.70282776349616771</c:v>
                </c:pt>
                <c:pt idx="1367">
                  <c:v>0.70334190231364846</c:v>
                </c:pt>
                <c:pt idx="1368">
                  <c:v>0.70385604113112921</c:v>
                </c:pt>
                <c:pt idx="1369">
                  <c:v>0.70437017994860995</c:v>
                </c:pt>
                <c:pt idx="1370">
                  <c:v>0.7048843187660907</c:v>
                </c:pt>
                <c:pt idx="1371">
                  <c:v>0.70539845758357145</c:v>
                </c:pt>
                <c:pt idx="1372">
                  <c:v>0.70591259640105219</c:v>
                </c:pt>
                <c:pt idx="1373">
                  <c:v>0.70642673521853294</c:v>
                </c:pt>
                <c:pt idx="1374">
                  <c:v>0.70694087403601369</c:v>
                </c:pt>
                <c:pt idx="1375">
                  <c:v>0.70745501285349444</c:v>
                </c:pt>
                <c:pt idx="1376">
                  <c:v>0.70796915167097518</c:v>
                </c:pt>
                <c:pt idx="1377">
                  <c:v>0.70848329048845593</c:v>
                </c:pt>
                <c:pt idx="1378">
                  <c:v>0.70899742930593668</c:v>
                </c:pt>
                <c:pt idx="1379">
                  <c:v>0.70951156812341742</c:v>
                </c:pt>
                <c:pt idx="1380">
                  <c:v>0.71002570694089817</c:v>
                </c:pt>
                <c:pt idx="1381">
                  <c:v>0.71053984575837892</c:v>
                </c:pt>
                <c:pt idx="1382">
                  <c:v>0.71105398457585967</c:v>
                </c:pt>
                <c:pt idx="1383">
                  <c:v>0.71156812339334041</c:v>
                </c:pt>
                <c:pt idx="1384">
                  <c:v>0.71208226221082116</c:v>
                </c:pt>
                <c:pt idx="1385">
                  <c:v>0.71259640102830191</c:v>
                </c:pt>
                <c:pt idx="1386">
                  <c:v>0.71311053984578265</c:v>
                </c:pt>
                <c:pt idx="1387">
                  <c:v>0.7136246786632634</c:v>
                </c:pt>
                <c:pt idx="1388">
                  <c:v>0.71413881748074415</c:v>
                </c:pt>
                <c:pt idx="1389">
                  <c:v>0.7146529562982249</c:v>
                </c:pt>
                <c:pt idx="1390">
                  <c:v>0.71516709511570564</c:v>
                </c:pt>
                <c:pt idx="1391">
                  <c:v>0.71568123393318639</c:v>
                </c:pt>
                <c:pt idx="1392">
                  <c:v>0.71619537275066714</c:v>
                </c:pt>
                <c:pt idx="1393">
                  <c:v>0.71670951156814788</c:v>
                </c:pt>
                <c:pt idx="1394">
                  <c:v>0.71722365038562863</c:v>
                </c:pt>
                <c:pt idx="1395">
                  <c:v>0.71773778920310938</c:v>
                </c:pt>
                <c:pt idx="1396">
                  <c:v>0.71825192802059012</c:v>
                </c:pt>
                <c:pt idx="1397">
                  <c:v>0.71876606683807087</c:v>
                </c:pt>
                <c:pt idx="1398">
                  <c:v>0.71928020565555162</c:v>
                </c:pt>
                <c:pt idx="1399">
                  <c:v>0.71979434447303237</c:v>
                </c:pt>
                <c:pt idx="1400">
                  <c:v>0.72030848329051311</c:v>
                </c:pt>
                <c:pt idx="1401">
                  <c:v>0.72082262210799386</c:v>
                </c:pt>
                <c:pt idx="1402">
                  <c:v>0.72133676092547461</c:v>
                </c:pt>
                <c:pt idx="1403">
                  <c:v>0.72185089974295535</c:v>
                </c:pt>
                <c:pt idx="1404">
                  <c:v>0.7223650385604361</c:v>
                </c:pt>
                <c:pt idx="1405">
                  <c:v>0.72287917737791685</c:v>
                </c:pt>
                <c:pt idx="1406">
                  <c:v>0.7233933161953976</c:v>
                </c:pt>
                <c:pt idx="1407">
                  <c:v>0.72390745501287834</c:v>
                </c:pt>
                <c:pt idx="1408">
                  <c:v>0.72442159383035909</c:v>
                </c:pt>
                <c:pt idx="1409">
                  <c:v>0.72493573264783984</c:v>
                </c:pt>
                <c:pt idx="1410">
                  <c:v>0.72544987146532058</c:v>
                </c:pt>
                <c:pt idx="1411">
                  <c:v>0.72596401028280133</c:v>
                </c:pt>
                <c:pt idx="1412">
                  <c:v>0.72647814910028208</c:v>
                </c:pt>
                <c:pt idx="1413">
                  <c:v>0.72699228791776282</c:v>
                </c:pt>
                <c:pt idx="1414">
                  <c:v>0.72750642673524357</c:v>
                </c:pt>
                <c:pt idx="1415">
                  <c:v>0.72802056555272432</c:v>
                </c:pt>
                <c:pt idx="1416">
                  <c:v>0.72853470437020507</c:v>
                </c:pt>
                <c:pt idx="1417">
                  <c:v>0.72904884318768581</c:v>
                </c:pt>
                <c:pt idx="1418">
                  <c:v>0.72956298200516656</c:v>
                </c:pt>
                <c:pt idx="1419">
                  <c:v>0.73007712082264731</c:v>
                </c:pt>
                <c:pt idx="1420">
                  <c:v>0.73059125964012805</c:v>
                </c:pt>
                <c:pt idx="1421">
                  <c:v>0.7311053984576088</c:v>
                </c:pt>
                <c:pt idx="1422">
                  <c:v>0.73161953727508955</c:v>
                </c:pt>
                <c:pt idx="1423">
                  <c:v>0.7321336760925703</c:v>
                </c:pt>
                <c:pt idx="1424">
                  <c:v>0.73264781491005104</c:v>
                </c:pt>
                <c:pt idx="1425">
                  <c:v>0.73316195372753179</c:v>
                </c:pt>
                <c:pt idx="1426">
                  <c:v>0.73367609254501254</c:v>
                </c:pt>
                <c:pt idx="1427">
                  <c:v>0.73419023136249328</c:v>
                </c:pt>
                <c:pt idx="1428">
                  <c:v>0.73470437017997403</c:v>
                </c:pt>
                <c:pt idx="1429">
                  <c:v>0.73521850899745478</c:v>
                </c:pt>
                <c:pt idx="1430">
                  <c:v>0.73573264781493553</c:v>
                </c:pt>
                <c:pt idx="1431">
                  <c:v>0.73624678663241627</c:v>
                </c:pt>
                <c:pt idx="1432">
                  <c:v>0.73676092544989702</c:v>
                </c:pt>
                <c:pt idx="1433">
                  <c:v>0.73727506426737777</c:v>
                </c:pt>
                <c:pt idx="1434">
                  <c:v>0.73778920308485851</c:v>
                </c:pt>
                <c:pt idx="1435">
                  <c:v>0.73830334190233926</c:v>
                </c:pt>
                <c:pt idx="1436">
                  <c:v>0.73881748071982001</c:v>
                </c:pt>
                <c:pt idx="1437">
                  <c:v>0.73933161953730075</c:v>
                </c:pt>
                <c:pt idx="1438">
                  <c:v>0.7398457583547815</c:v>
                </c:pt>
                <c:pt idx="1439">
                  <c:v>0.74035989717226225</c:v>
                </c:pt>
                <c:pt idx="1440">
                  <c:v>0.740874035989743</c:v>
                </c:pt>
                <c:pt idx="1441">
                  <c:v>0.74138817480722374</c:v>
                </c:pt>
                <c:pt idx="1442">
                  <c:v>0.74190231362470449</c:v>
                </c:pt>
                <c:pt idx="1443">
                  <c:v>0.74241645244218524</c:v>
                </c:pt>
                <c:pt idx="1444">
                  <c:v>0.74293059125966598</c:v>
                </c:pt>
                <c:pt idx="1445">
                  <c:v>0.74344473007714673</c:v>
                </c:pt>
                <c:pt idx="1446">
                  <c:v>0.74395886889462748</c:v>
                </c:pt>
                <c:pt idx="1447">
                  <c:v>0.74447300771210823</c:v>
                </c:pt>
                <c:pt idx="1448">
                  <c:v>0.74498714652958897</c:v>
                </c:pt>
                <c:pt idx="1449">
                  <c:v>0.74550128534706972</c:v>
                </c:pt>
                <c:pt idx="1450">
                  <c:v>0.74601542416455047</c:v>
                </c:pt>
                <c:pt idx="1451">
                  <c:v>0.74652956298203121</c:v>
                </c:pt>
                <c:pt idx="1452">
                  <c:v>0.74704370179951196</c:v>
                </c:pt>
                <c:pt idx="1453">
                  <c:v>0.74755784061699271</c:v>
                </c:pt>
                <c:pt idx="1454">
                  <c:v>0.74807197943447346</c:v>
                </c:pt>
                <c:pt idx="1455">
                  <c:v>0.7485861182519542</c:v>
                </c:pt>
                <c:pt idx="1456">
                  <c:v>0.74910025706943495</c:v>
                </c:pt>
                <c:pt idx="1457">
                  <c:v>0.7496143958869157</c:v>
                </c:pt>
                <c:pt idx="1458">
                  <c:v>0.75012853470439644</c:v>
                </c:pt>
                <c:pt idx="1459">
                  <c:v>0.75064267352187719</c:v>
                </c:pt>
                <c:pt idx="1460">
                  <c:v>0.75115681233935794</c:v>
                </c:pt>
                <c:pt idx="1461">
                  <c:v>0.75167095115683868</c:v>
                </c:pt>
                <c:pt idx="1462">
                  <c:v>0.75218508997431943</c:v>
                </c:pt>
                <c:pt idx="1463">
                  <c:v>0.75269922879180018</c:v>
                </c:pt>
                <c:pt idx="1464">
                  <c:v>0.75321336760928093</c:v>
                </c:pt>
                <c:pt idx="1465">
                  <c:v>0.75372750642676167</c:v>
                </c:pt>
                <c:pt idx="1466">
                  <c:v>0.75424164524424242</c:v>
                </c:pt>
                <c:pt idx="1467">
                  <c:v>0.75475578406172317</c:v>
                </c:pt>
                <c:pt idx="1468">
                  <c:v>0.75526992287920391</c:v>
                </c:pt>
                <c:pt idx="1469">
                  <c:v>0.75578406169668466</c:v>
                </c:pt>
                <c:pt idx="1470">
                  <c:v>0.75629820051416541</c:v>
                </c:pt>
                <c:pt idx="1471">
                  <c:v>0.75681233933164616</c:v>
                </c:pt>
                <c:pt idx="1472">
                  <c:v>0.7573264781491269</c:v>
                </c:pt>
                <c:pt idx="1473">
                  <c:v>0.75784061696660765</c:v>
                </c:pt>
                <c:pt idx="1474">
                  <c:v>0.7583547557840884</c:v>
                </c:pt>
                <c:pt idx="1475">
                  <c:v>0.75886889460156914</c:v>
                </c:pt>
                <c:pt idx="1476">
                  <c:v>0.75938303341904989</c:v>
                </c:pt>
                <c:pt idx="1477">
                  <c:v>0.75989717223653064</c:v>
                </c:pt>
                <c:pt idx="1478">
                  <c:v>0.76041131105401139</c:v>
                </c:pt>
                <c:pt idx="1479">
                  <c:v>0.76092544987149213</c:v>
                </c:pt>
                <c:pt idx="1480">
                  <c:v>0.76143958868897288</c:v>
                </c:pt>
                <c:pt idx="1481">
                  <c:v>0.76195372750645363</c:v>
                </c:pt>
                <c:pt idx="1482">
                  <c:v>0.76246786632393437</c:v>
                </c:pt>
                <c:pt idx="1483">
                  <c:v>0.76298200514141512</c:v>
                </c:pt>
                <c:pt idx="1484">
                  <c:v>0.76349614395889587</c:v>
                </c:pt>
                <c:pt idx="1485">
                  <c:v>0.76401028277637661</c:v>
                </c:pt>
                <c:pt idx="1486">
                  <c:v>0.76452442159385736</c:v>
                </c:pt>
                <c:pt idx="1487">
                  <c:v>0.76503856041133811</c:v>
                </c:pt>
                <c:pt idx="1488">
                  <c:v>0.76555269922881886</c:v>
                </c:pt>
                <c:pt idx="1489">
                  <c:v>0.7660668380462996</c:v>
                </c:pt>
                <c:pt idx="1490">
                  <c:v>0.76658097686378035</c:v>
                </c:pt>
                <c:pt idx="1491">
                  <c:v>0.7670951156812611</c:v>
                </c:pt>
                <c:pt idx="1492">
                  <c:v>0.76760925449874184</c:v>
                </c:pt>
                <c:pt idx="1493">
                  <c:v>0.76812339331622259</c:v>
                </c:pt>
                <c:pt idx="1494">
                  <c:v>0.76863753213370334</c:v>
                </c:pt>
                <c:pt idx="1495">
                  <c:v>0.76915167095118409</c:v>
                </c:pt>
                <c:pt idx="1496">
                  <c:v>0.76966580976866483</c:v>
                </c:pt>
                <c:pt idx="1497">
                  <c:v>0.77017994858614558</c:v>
                </c:pt>
                <c:pt idx="1498">
                  <c:v>0.77069408740362633</c:v>
                </c:pt>
                <c:pt idx="1499">
                  <c:v>0.77120822622110707</c:v>
                </c:pt>
                <c:pt idx="1500">
                  <c:v>0.77172236503858782</c:v>
                </c:pt>
                <c:pt idx="1501">
                  <c:v>0.77223650385606857</c:v>
                </c:pt>
                <c:pt idx="1502">
                  <c:v>0.77275064267354932</c:v>
                </c:pt>
                <c:pt idx="1503">
                  <c:v>0.77326478149103006</c:v>
                </c:pt>
                <c:pt idx="1504">
                  <c:v>0.77377892030851081</c:v>
                </c:pt>
                <c:pt idx="1505">
                  <c:v>0.77429305912599156</c:v>
                </c:pt>
                <c:pt idx="1506">
                  <c:v>0.7748071979434723</c:v>
                </c:pt>
                <c:pt idx="1507">
                  <c:v>0.77532133676095305</c:v>
                </c:pt>
                <c:pt idx="1508">
                  <c:v>0.7758354755784338</c:v>
                </c:pt>
                <c:pt idx="1509">
                  <c:v>0.77634961439591454</c:v>
                </c:pt>
                <c:pt idx="1510">
                  <c:v>0.77686375321339529</c:v>
                </c:pt>
                <c:pt idx="1511">
                  <c:v>0.77737789203087604</c:v>
                </c:pt>
                <c:pt idx="1512">
                  <c:v>0.77789203084835679</c:v>
                </c:pt>
                <c:pt idx="1513">
                  <c:v>0.77840616966583753</c:v>
                </c:pt>
                <c:pt idx="1514">
                  <c:v>0.77892030848331828</c:v>
                </c:pt>
                <c:pt idx="1515">
                  <c:v>0.77943444730079903</c:v>
                </c:pt>
                <c:pt idx="1516">
                  <c:v>0.77994858611827977</c:v>
                </c:pt>
                <c:pt idx="1517">
                  <c:v>0.78046272493576052</c:v>
                </c:pt>
                <c:pt idx="1518">
                  <c:v>0.78097686375324127</c:v>
                </c:pt>
                <c:pt idx="1519">
                  <c:v>0.78149100257072202</c:v>
                </c:pt>
                <c:pt idx="1520">
                  <c:v>0.78200514138820276</c:v>
                </c:pt>
                <c:pt idx="1521">
                  <c:v>0.78251928020568351</c:v>
                </c:pt>
                <c:pt idx="1522">
                  <c:v>0.78303341902316426</c:v>
                </c:pt>
                <c:pt idx="1523">
                  <c:v>0.783547557840645</c:v>
                </c:pt>
                <c:pt idx="1524">
                  <c:v>0.78406169665812575</c:v>
                </c:pt>
                <c:pt idx="1525">
                  <c:v>0.7845758354756065</c:v>
                </c:pt>
                <c:pt idx="1526">
                  <c:v>0.78508997429308724</c:v>
                </c:pt>
                <c:pt idx="1527">
                  <c:v>0.78560411311056799</c:v>
                </c:pt>
                <c:pt idx="1528">
                  <c:v>0.78611825192804874</c:v>
                </c:pt>
                <c:pt idx="1529">
                  <c:v>0.78663239074552949</c:v>
                </c:pt>
                <c:pt idx="1530">
                  <c:v>0.78714652956301023</c:v>
                </c:pt>
                <c:pt idx="1531">
                  <c:v>0.78766066838049098</c:v>
                </c:pt>
                <c:pt idx="1532">
                  <c:v>0.78817480719797173</c:v>
                </c:pt>
                <c:pt idx="1533">
                  <c:v>0.78868894601545247</c:v>
                </c:pt>
                <c:pt idx="1534">
                  <c:v>0.78920308483293322</c:v>
                </c:pt>
                <c:pt idx="1535">
                  <c:v>0.78971722365041397</c:v>
                </c:pt>
                <c:pt idx="1536">
                  <c:v>0.79023136246789472</c:v>
                </c:pt>
                <c:pt idx="1537">
                  <c:v>0.79074550128537546</c:v>
                </c:pt>
                <c:pt idx="1538">
                  <c:v>0.79125964010285621</c:v>
                </c:pt>
                <c:pt idx="1539">
                  <c:v>0.79177377892033696</c:v>
                </c:pt>
                <c:pt idx="1540">
                  <c:v>0.7922879177378177</c:v>
                </c:pt>
                <c:pt idx="1541">
                  <c:v>0.79280205655529845</c:v>
                </c:pt>
                <c:pt idx="1542">
                  <c:v>0.7933161953727792</c:v>
                </c:pt>
                <c:pt idx="1543">
                  <c:v>0.79383033419025995</c:v>
                </c:pt>
                <c:pt idx="1544">
                  <c:v>0.79434447300774069</c:v>
                </c:pt>
                <c:pt idx="1545">
                  <c:v>0.79485861182522144</c:v>
                </c:pt>
                <c:pt idx="1546">
                  <c:v>0.79537275064270219</c:v>
                </c:pt>
                <c:pt idx="1547">
                  <c:v>0.79588688946018293</c:v>
                </c:pt>
                <c:pt idx="1548">
                  <c:v>0.79640102827766368</c:v>
                </c:pt>
                <c:pt idx="1549">
                  <c:v>0.79691516709514443</c:v>
                </c:pt>
                <c:pt idx="1550">
                  <c:v>0.79742930591262517</c:v>
                </c:pt>
                <c:pt idx="1551">
                  <c:v>0.79794344473010592</c:v>
                </c:pt>
                <c:pt idx="1552">
                  <c:v>0.79845758354758667</c:v>
                </c:pt>
                <c:pt idx="1553">
                  <c:v>0.79897172236506742</c:v>
                </c:pt>
                <c:pt idx="1554">
                  <c:v>0.79948586118254816</c:v>
                </c:pt>
                <c:pt idx="1555">
                  <c:v>0.80000000000002891</c:v>
                </c:pt>
                <c:pt idx="1556">
                  <c:v>0.80051413881750966</c:v>
                </c:pt>
                <c:pt idx="1557">
                  <c:v>0.8010282776349904</c:v>
                </c:pt>
                <c:pt idx="1558">
                  <c:v>0.80154241645247115</c:v>
                </c:pt>
                <c:pt idx="1559">
                  <c:v>0.8020565552699519</c:v>
                </c:pt>
                <c:pt idx="1560">
                  <c:v>0.80257069408743265</c:v>
                </c:pt>
                <c:pt idx="1561">
                  <c:v>0.80308483290491339</c:v>
                </c:pt>
                <c:pt idx="1562">
                  <c:v>0.80359897172239414</c:v>
                </c:pt>
                <c:pt idx="1563">
                  <c:v>0.80411311053987489</c:v>
                </c:pt>
                <c:pt idx="1564">
                  <c:v>0.80462724935735563</c:v>
                </c:pt>
                <c:pt idx="1565">
                  <c:v>0.80514138817483638</c:v>
                </c:pt>
                <c:pt idx="1566">
                  <c:v>0.80565552699231713</c:v>
                </c:pt>
                <c:pt idx="1567">
                  <c:v>0.80616966580979788</c:v>
                </c:pt>
                <c:pt idx="1568">
                  <c:v>0.80668380462727862</c:v>
                </c:pt>
                <c:pt idx="1569">
                  <c:v>0.80719794344475937</c:v>
                </c:pt>
                <c:pt idx="1570">
                  <c:v>0.80771208226224012</c:v>
                </c:pt>
                <c:pt idx="1571">
                  <c:v>0.80822622107972086</c:v>
                </c:pt>
                <c:pt idx="1572">
                  <c:v>0.80874035989720161</c:v>
                </c:pt>
                <c:pt idx="1573">
                  <c:v>0.80925449871468236</c:v>
                </c:pt>
                <c:pt idx="1574">
                  <c:v>0.8097686375321631</c:v>
                </c:pt>
                <c:pt idx="1575">
                  <c:v>0.81028277634964385</c:v>
                </c:pt>
                <c:pt idx="1576">
                  <c:v>0.8107969151671246</c:v>
                </c:pt>
                <c:pt idx="1577">
                  <c:v>0.81131105398460535</c:v>
                </c:pt>
                <c:pt idx="1578">
                  <c:v>0.81182519280208609</c:v>
                </c:pt>
                <c:pt idx="1579">
                  <c:v>0.81233933161956684</c:v>
                </c:pt>
                <c:pt idx="1580">
                  <c:v>0.81285347043704759</c:v>
                </c:pt>
                <c:pt idx="1581">
                  <c:v>0.81336760925452833</c:v>
                </c:pt>
                <c:pt idx="1582">
                  <c:v>0.81388174807200908</c:v>
                </c:pt>
                <c:pt idx="1583">
                  <c:v>0.81439588688948983</c:v>
                </c:pt>
                <c:pt idx="1584">
                  <c:v>0.81491002570697058</c:v>
                </c:pt>
                <c:pt idx="1585">
                  <c:v>0.81542416452445132</c:v>
                </c:pt>
                <c:pt idx="1586">
                  <c:v>0.81593830334193207</c:v>
                </c:pt>
                <c:pt idx="1587">
                  <c:v>0.81645244215941282</c:v>
                </c:pt>
                <c:pt idx="1588">
                  <c:v>0.81696658097689356</c:v>
                </c:pt>
                <c:pt idx="1589">
                  <c:v>0.81748071979437431</c:v>
                </c:pt>
                <c:pt idx="1590">
                  <c:v>0.81799485861185506</c:v>
                </c:pt>
                <c:pt idx="1591">
                  <c:v>0.81850899742933581</c:v>
                </c:pt>
                <c:pt idx="1592">
                  <c:v>0.81902313624681655</c:v>
                </c:pt>
                <c:pt idx="1593">
                  <c:v>0.8195372750642973</c:v>
                </c:pt>
                <c:pt idx="1594">
                  <c:v>0.82005141388177805</c:v>
                </c:pt>
                <c:pt idx="1595">
                  <c:v>0.82056555269925879</c:v>
                </c:pt>
                <c:pt idx="1596">
                  <c:v>0.82107969151673954</c:v>
                </c:pt>
                <c:pt idx="1597">
                  <c:v>0.82159383033422029</c:v>
                </c:pt>
                <c:pt idx="1598">
                  <c:v>0.82210796915170103</c:v>
                </c:pt>
                <c:pt idx="1599">
                  <c:v>0.82262210796918178</c:v>
                </c:pt>
                <c:pt idx="1600">
                  <c:v>0.82313624678666253</c:v>
                </c:pt>
                <c:pt idx="1601">
                  <c:v>0.82365038560414328</c:v>
                </c:pt>
                <c:pt idx="1602">
                  <c:v>0.82416452442162402</c:v>
                </c:pt>
                <c:pt idx="1603">
                  <c:v>0.82467866323910477</c:v>
                </c:pt>
                <c:pt idx="1604">
                  <c:v>0.82519280205658552</c:v>
                </c:pt>
                <c:pt idx="1605">
                  <c:v>0.82570694087406626</c:v>
                </c:pt>
                <c:pt idx="1606">
                  <c:v>0.82622107969154701</c:v>
                </c:pt>
                <c:pt idx="1607">
                  <c:v>0.82673521850902776</c:v>
                </c:pt>
                <c:pt idx="1608">
                  <c:v>0.82724935732650851</c:v>
                </c:pt>
                <c:pt idx="1609">
                  <c:v>0.82776349614398925</c:v>
                </c:pt>
                <c:pt idx="1610">
                  <c:v>0.82827763496147</c:v>
                </c:pt>
                <c:pt idx="1611">
                  <c:v>0.82879177377895075</c:v>
                </c:pt>
                <c:pt idx="1612">
                  <c:v>0.82930591259643149</c:v>
                </c:pt>
                <c:pt idx="1613">
                  <c:v>0.82982005141391224</c:v>
                </c:pt>
                <c:pt idx="1614">
                  <c:v>0.83033419023139299</c:v>
                </c:pt>
                <c:pt idx="1615">
                  <c:v>0.83084832904887373</c:v>
                </c:pt>
                <c:pt idx="1616">
                  <c:v>0.83136246786635448</c:v>
                </c:pt>
                <c:pt idx="1617">
                  <c:v>0.83187660668383523</c:v>
                </c:pt>
                <c:pt idx="1618">
                  <c:v>0.83239074550131598</c:v>
                </c:pt>
                <c:pt idx="1619">
                  <c:v>0.83290488431879672</c:v>
                </c:pt>
                <c:pt idx="1620">
                  <c:v>0.83341902313627747</c:v>
                </c:pt>
                <c:pt idx="1621">
                  <c:v>0.83393316195375822</c:v>
                </c:pt>
                <c:pt idx="1622">
                  <c:v>0.83444730077123896</c:v>
                </c:pt>
                <c:pt idx="1623">
                  <c:v>0.83496143958871971</c:v>
                </c:pt>
                <c:pt idx="1624">
                  <c:v>0.83547557840620046</c:v>
                </c:pt>
                <c:pt idx="1625">
                  <c:v>0.83598971722368121</c:v>
                </c:pt>
                <c:pt idx="1626">
                  <c:v>0.83650385604116195</c:v>
                </c:pt>
                <c:pt idx="1627">
                  <c:v>0.8370179948586427</c:v>
                </c:pt>
                <c:pt idx="1628">
                  <c:v>0.83753213367612345</c:v>
                </c:pt>
                <c:pt idx="1629">
                  <c:v>0.83804627249360419</c:v>
                </c:pt>
                <c:pt idx="1630">
                  <c:v>0.83856041131108494</c:v>
                </c:pt>
                <c:pt idx="1631">
                  <c:v>0.83907455012856569</c:v>
                </c:pt>
                <c:pt idx="1632">
                  <c:v>0.83958868894604644</c:v>
                </c:pt>
                <c:pt idx="1633">
                  <c:v>0.84010282776352718</c:v>
                </c:pt>
                <c:pt idx="1634">
                  <c:v>0.84061696658100793</c:v>
                </c:pt>
                <c:pt idx="1635">
                  <c:v>0.84113110539848868</c:v>
                </c:pt>
                <c:pt idx="1636">
                  <c:v>0.84164524421596942</c:v>
                </c:pt>
                <c:pt idx="1637">
                  <c:v>0.84215938303345017</c:v>
                </c:pt>
                <c:pt idx="1638">
                  <c:v>0.84267352185093092</c:v>
                </c:pt>
                <c:pt idx="1639">
                  <c:v>0.84318766066841166</c:v>
                </c:pt>
                <c:pt idx="1640">
                  <c:v>0.84370179948589241</c:v>
                </c:pt>
                <c:pt idx="1641">
                  <c:v>0.84421593830337316</c:v>
                </c:pt>
                <c:pt idx="1642">
                  <c:v>0.84473007712085391</c:v>
                </c:pt>
                <c:pt idx="1643">
                  <c:v>0.84524421593833465</c:v>
                </c:pt>
                <c:pt idx="1644">
                  <c:v>0.8457583547558154</c:v>
                </c:pt>
                <c:pt idx="1645">
                  <c:v>0.84627249357329615</c:v>
                </c:pt>
                <c:pt idx="1646">
                  <c:v>0.84678663239077689</c:v>
                </c:pt>
                <c:pt idx="1647">
                  <c:v>0.84730077120825764</c:v>
                </c:pt>
                <c:pt idx="1648">
                  <c:v>0.84781491002573839</c:v>
                </c:pt>
                <c:pt idx="1649">
                  <c:v>0.84832904884321914</c:v>
                </c:pt>
                <c:pt idx="1650">
                  <c:v>0.84884318766069988</c:v>
                </c:pt>
                <c:pt idx="1651">
                  <c:v>0.84935732647818063</c:v>
                </c:pt>
                <c:pt idx="1652">
                  <c:v>0.84987146529566138</c:v>
                </c:pt>
                <c:pt idx="1653">
                  <c:v>0.85038560411314212</c:v>
                </c:pt>
                <c:pt idx="1654">
                  <c:v>0.85089974293062287</c:v>
                </c:pt>
                <c:pt idx="1655">
                  <c:v>0.85141388174810362</c:v>
                </c:pt>
                <c:pt idx="1656">
                  <c:v>0.85192802056558437</c:v>
                </c:pt>
                <c:pt idx="1657">
                  <c:v>0.85244215938306511</c:v>
                </c:pt>
                <c:pt idx="1658">
                  <c:v>0.85295629820054586</c:v>
                </c:pt>
                <c:pt idx="1659">
                  <c:v>0.85347043701802661</c:v>
                </c:pt>
                <c:pt idx="1660">
                  <c:v>0.85398457583550735</c:v>
                </c:pt>
                <c:pt idx="1661">
                  <c:v>0.8544987146529881</c:v>
                </c:pt>
                <c:pt idx="1662">
                  <c:v>0.85501285347046885</c:v>
                </c:pt>
                <c:pt idx="1663">
                  <c:v>0.85552699228794959</c:v>
                </c:pt>
                <c:pt idx="1664">
                  <c:v>0.85604113110543034</c:v>
                </c:pt>
                <c:pt idx="1665">
                  <c:v>0.85655526992291109</c:v>
                </c:pt>
                <c:pt idx="1666">
                  <c:v>0.85706940874039184</c:v>
                </c:pt>
                <c:pt idx="1667">
                  <c:v>0.85758354755787258</c:v>
                </c:pt>
                <c:pt idx="1668">
                  <c:v>0.85809768637535333</c:v>
                </c:pt>
                <c:pt idx="1669">
                  <c:v>0.85861182519283408</c:v>
                </c:pt>
                <c:pt idx="1670">
                  <c:v>0.85912596401031482</c:v>
                </c:pt>
                <c:pt idx="1671">
                  <c:v>0.85964010282779557</c:v>
                </c:pt>
                <c:pt idx="1672">
                  <c:v>0.86015424164527632</c:v>
                </c:pt>
                <c:pt idx="1673">
                  <c:v>0.86066838046275707</c:v>
                </c:pt>
                <c:pt idx="1674">
                  <c:v>0.86118251928023781</c:v>
                </c:pt>
                <c:pt idx="1675">
                  <c:v>0.86169665809771856</c:v>
                </c:pt>
                <c:pt idx="1676">
                  <c:v>0.86221079691519931</c:v>
                </c:pt>
                <c:pt idx="1677">
                  <c:v>0.86272493573268005</c:v>
                </c:pt>
                <c:pt idx="1678">
                  <c:v>0.8632390745501608</c:v>
                </c:pt>
                <c:pt idx="1679">
                  <c:v>0.86375321336764155</c:v>
                </c:pt>
                <c:pt idx="1680">
                  <c:v>0.8642673521851223</c:v>
                </c:pt>
                <c:pt idx="1681">
                  <c:v>0.86478149100260304</c:v>
                </c:pt>
                <c:pt idx="1682">
                  <c:v>0.86529562982008379</c:v>
                </c:pt>
                <c:pt idx="1683">
                  <c:v>0.86580976863756454</c:v>
                </c:pt>
                <c:pt idx="1684">
                  <c:v>0.86632390745504528</c:v>
                </c:pt>
                <c:pt idx="1685">
                  <c:v>0.86683804627252603</c:v>
                </c:pt>
                <c:pt idx="1686">
                  <c:v>0.86735218509000678</c:v>
                </c:pt>
                <c:pt idx="1687">
                  <c:v>0.86786632390748752</c:v>
                </c:pt>
                <c:pt idx="1688">
                  <c:v>0.86838046272496827</c:v>
                </c:pt>
                <c:pt idx="1689">
                  <c:v>0.86889460154244902</c:v>
                </c:pt>
                <c:pt idx="1690">
                  <c:v>0.86940874035992977</c:v>
                </c:pt>
                <c:pt idx="1691">
                  <c:v>0.86992287917741051</c:v>
                </c:pt>
                <c:pt idx="1692">
                  <c:v>0.87043701799489126</c:v>
                </c:pt>
                <c:pt idx="1693">
                  <c:v>0.87095115681237201</c:v>
                </c:pt>
                <c:pt idx="1694">
                  <c:v>0.87146529562985275</c:v>
                </c:pt>
                <c:pt idx="1695">
                  <c:v>0.8719794344473335</c:v>
                </c:pt>
                <c:pt idx="1696">
                  <c:v>0.87249357326481425</c:v>
                </c:pt>
                <c:pt idx="1697">
                  <c:v>0.873007712082295</c:v>
                </c:pt>
                <c:pt idx="1698">
                  <c:v>0.87352185089977574</c:v>
                </c:pt>
                <c:pt idx="1699">
                  <c:v>0.87403598971725649</c:v>
                </c:pt>
                <c:pt idx="1700">
                  <c:v>0.87455012853473724</c:v>
                </c:pt>
                <c:pt idx="1701">
                  <c:v>0.87506426735221798</c:v>
                </c:pt>
                <c:pt idx="1702">
                  <c:v>0.87557840616969873</c:v>
                </c:pt>
                <c:pt idx="1703">
                  <c:v>0.87609254498717948</c:v>
                </c:pt>
                <c:pt idx="1704">
                  <c:v>0.87660668380466022</c:v>
                </c:pt>
                <c:pt idx="1705">
                  <c:v>0.87712082262214097</c:v>
                </c:pt>
                <c:pt idx="1706">
                  <c:v>0.87763496143962172</c:v>
                </c:pt>
                <c:pt idx="1707">
                  <c:v>0.87814910025710247</c:v>
                </c:pt>
                <c:pt idx="1708">
                  <c:v>0.87866323907458321</c:v>
                </c:pt>
                <c:pt idx="1709">
                  <c:v>0.87917737789206396</c:v>
                </c:pt>
                <c:pt idx="1710">
                  <c:v>0.87969151670954471</c:v>
                </c:pt>
                <c:pt idx="1711">
                  <c:v>0.88020565552702545</c:v>
                </c:pt>
                <c:pt idx="1712">
                  <c:v>0.8807197943445062</c:v>
                </c:pt>
                <c:pt idx="1713">
                  <c:v>0.88123393316198695</c:v>
                </c:pt>
                <c:pt idx="1714">
                  <c:v>0.8817480719794677</c:v>
                </c:pt>
                <c:pt idx="1715">
                  <c:v>0.88226221079694844</c:v>
                </c:pt>
                <c:pt idx="1716">
                  <c:v>0.88277634961442919</c:v>
                </c:pt>
                <c:pt idx="1717">
                  <c:v>0.88329048843190994</c:v>
                </c:pt>
                <c:pt idx="1718">
                  <c:v>0.88380462724939068</c:v>
                </c:pt>
                <c:pt idx="1719">
                  <c:v>0.88431876606687143</c:v>
                </c:pt>
                <c:pt idx="1720">
                  <c:v>0.88483290488435218</c:v>
                </c:pt>
                <c:pt idx="1721">
                  <c:v>0.88534704370183293</c:v>
                </c:pt>
                <c:pt idx="1722">
                  <c:v>0.88586118251931367</c:v>
                </c:pt>
                <c:pt idx="1723">
                  <c:v>0.88637532133679442</c:v>
                </c:pt>
                <c:pt idx="1724">
                  <c:v>0.88688946015427517</c:v>
                </c:pt>
                <c:pt idx="1725">
                  <c:v>0.88740359897175591</c:v>
                </c:pt>
                <c:pt idx="1726">
                  <c:v>0.88791773778923666</c:v>
                </c:pt>
                <c:pt idx="1727">
                  <c:v>0.88843187660671741</c:v>
                </c:pt>
                <c:pt idx="1728">
                  <c:v>0.88894601542419815</c:v>
                </c:pt>
                <c:pt idx="1729">
                  <c:v>0.8894601542416789</c:v>
                </c:pt>
                <c:pt idx="1730">
                  <c:v>0.88997429305915965</c:v>
                </c:pt>
                <c:pt idx="1731">
                  <c:v>0.8904884318766404</c:v>
                </c:pt>
                <c:pt idx="1732">
                  <c:v>0.89100257069412114</c:v>
                </c:pt>
                <c:pt idx="1733">
                  <c:v>0.89151670951160189</c:v>
                </c:pt>
                <c:pt idx="1734">
                  <c:v>0.89203084832908264</c:v>
                </c:pt>
                <c:pt idx="1735">
                  <c:v>0.89254498714656338</c:v>
                </c:pt>
                <c:pt idx="1736">
                  <c:v>0.89305912596404413</c:v>
                </c:pt>
                <c:pt idx="1737">
                  <c:v>0.89357326478152488</c:v>
                </c:pt>
                <c:pt idx="1738">
                  <c:v>0.89408740359900563</c:v>
                </c:pt>
                <c:pt idx="1739">
                  <c:v>0.89460154241648637</c:v>
                </c:pt>
                <c:pt idx="1740">
                  <c:v>0.89511568123396712</c:v>
                </c:pt>
                <c:pt idx="1741">
                  <c:v>0.89562982005144787</c:v>
                </c:pt>
                <c:pt idx="1742">
                  <c:v>0.89614395886892861</c:v>
                </c:pt>
                <c:pt idx="1743">
                  <c:v>0.89665809768640936</c:v>
                </c:pt>
                <c:pt idx="1744">
                  <c:v>0.89717223650389011</c:v>
                </c:pt>
                <c:pt idx="1745">
                  <c:v>0.89768637532137086</c:v>
                </c:pt>
                <c:pt idx="1746">
                  <c:v>0.8982005141388516</c:v>
                </c:pt>
                <c:pt idx="1747">
                  <c:v>0.89871465295633235</c:v>
                </c:pt>
                <c:pt idx="1748">
                  <c:v>0.8992287917738131</c:v>
                </c:pt>
                <c:pt idx="1749">
                  <c:v>0.89974293059129384</c:v>
                </c:pt>
                <c:pt idx="1750">
                  <c:v>0.90025706940877459</c:v>
                </c:pt>
                <c:pt idx="1751">
                  <c:v>0.90077120822625534</c:v>
                </c:pt>
                <c:pt idx="1752">
                  <c:v>0.90128534704373608</c:v>
                </c:pt>
                <c:pt idx="1753">
                  <c:v>0.90179948586121683</c:v>
                </c:pt>
                <c:pt idx="1754">
                  <c:v>0.90231362467869758</c:v>
                </c:pt>
                <c:pt idx="1755">
                  <c:v>0.90282776349617833</c:v>
                </c:pt>
                <c:pt idx="1756">
                  <c:v>0.90334190231365907</c:v>
                </c:pt>
                <c:pt idx="1757">
                  <c:v>0.90385604113113982</c:v>
                </c:pt>
                <c:pt idx="1758">
                  <c:v>0.90437017994862057</c:v>
                </c:pt>
                <c:pt idx="1759">
                  <c:v>0.90488431876610131</c:v>
                </c:pt>
                <c:pt idx="1760">
                  <c:v>0.90539845758358206</c:v>
                </c:pt>
                <c:pt idx="1761">
                  <c:v>0.90591259640106281</c:v>
                </c:pt>
                <c:pt idx="1762">
                  <c:v>0.90642673521854356</c:v>
                </c:pt>
                <c:pt idx="1763">
                  <c:v>0.9069408740360243</c:v>
                </c:pt>
                <c:pt idx="1764">
                  <c:v>0.90745501285350505</c:v>
                </c:pt>
                <c:pt idx="1765">
                  <c:v>0.9079691516709858</c:v>
                </c:pt>
                <c:pt idx="1766">
                  <c:v>0.90848329048846654</c:v>
                </c:pt>
                <c:pt idx="1767">
                  <c:v>0.90899742930594729</c:v>
                </c:pt>
                <c:pt idx="1768">
                  <c:v>0.90951156812342804</c:v>
                </c:pt>
                <c:pt idx="1769">
                  <c:v>0.91002570694090879</c:v>
                </c:pt>
                <c:pt idx="1770">
                  <c:v>0.91053984575838953</c:v>
                </c:pt>
                <c:pt idx="1771">
                  <c:v>0.91105398457587028</c:v>
                </c:pt>
                <c:pt idx="1772">
                  <c:v>0.91156812339335103</c:v>
                </c:pt>
                <c:pt idx="1773">
                  <c:v>0.91208226221083177</c:v>
                </c:pt>
                <c:pt idx="1774">
                  <c:v>0.91259640102831252</c:v>
                </c:pt>
                <c:pt idx="1775">
                  <c:v>0.91311053984579327</c:v>
                </c:pt>
                <c:pt idx="1776">
                  <c:v>0.91362467866327401</c:v>
                </c:pt>
                <c:pt idx="1777">
                  <c:v>0.91413881748075476</c:v>
                </c:pt>
                <c:pt idx="1778">
                  <c:v>0.91465295629823551</c:v>
                </c:pt>
                <c:pt idx="1779">
                  <c:v>0.91516709511571626</c:v>
                </c:pt>
                <c:pt idx="1780">
                  <c:v>0.915681233933197</c:v>
                </c:pt>
                <c:pt idx="1781">
                  <c:v>0.91619537275067775</c:v>
                </c:pt>
                <c:pt idx="1782">
                  <c:v>0.9167095115681585</c:v>
                </c:pt>
                <c:pt idx="1783">
                  <c:v>0.91722365038563924</c:v>
                </c:pt>
                <c:pt idx="1784">
                  <c:v>0.91773778920311999</c:v>
                </c:pt>
                <c:pt idx="1785">
                  <c:v>0.91825192802060074</c:v>
                </c:pt>
                <c:pt idx="1786">
                  <c:v>0.91876606683808149</c:v>
                </c:pt>
                <c:pt idx="1787">
                  <c:v>0.91928020565556223</c:v>
                </c:pt>
                <c:pt idx="1788">
                  <c:v>0.91979434447304298</c:v>
                </c:pt>
                <c:pt idx="1789">
                  <c:v>0.92030848329052373</c:v>
                </c:pt>
                <c:pt idx="1790">
                  <c:v>0.92082262210800447</c:v>
                </c:pt>
                <c:pt idx="1791">
                  <c:v>0.92133676092548522</c:v>
                </c:pt>
                <c:pt idx="1792">
                  <c:v>0.92185089974296597</c:v>
                </c:pt>
                <c:pt idx="1793">
                  <c:v>0.92236503856044672</c:v>
                </c:pt>
                <c:pt idx="1794">
                  <c:v>0.92287917737792746</c:v>
                </c:pt>
                <c:pt idx="1795">
                  <c:v>0.92339331619540821</c:v>
                </c:pt>
                <c:pt idx="1796">
                  <c:v>0.92390745501288896</c:v>
                </c:pt>
                <c:pt idx="1797">
                  <c:v>0.9244215938303697</c:v>
                </c:pt>
                <c:pt idx="1798">
                  <c:v>0.92493573264785045</c:v>
                </c:pt>
                <c:pt idx="1799">
                  <c:v>0.9254498714653312</c:v>
                </c:pt>
                <c:pt idx="1800">
                  <c:v>0.92596401028281194</c:v>
                </c:pt>
                <c:pt idx="1801">
                  <c:v>0.92647814910029269</c:v>
                </c:pt>
                <c:pt idx="1802">
                  <c:v>0.92699228791777344</c:v>
                </c:pt>
                <c:pt idx="1803">
                  <c:v>0.92750642673525419</c:v>
                </c:pt>
                <c:pt idx="1804">
                  <c:v>0.92802056555273493</c:v>
                </c:pt>
                <c:pt idx="1805">
                  <c:v>0.92853470437021568</c:v>
                </c:pt>
                <c:pt idx="1806">
                  <c:v>0.92904884318769643</c:v>
                </c:pt>
                <c:pt idx="1807">
                  <c:v>0.92956298200517717</c:v>
                </c:pt>
                <c:pt idx="1808">
                  <c:v>0.93007712082265792</c:v>
                </c:pt>
                <c:pt idx="1809">
                  <c:v>0.93059125964013867</c:v>
                </c:pt>
                <c:pt idx="1810">
                  <c:v>0.93110539845761942</c:v>
                </c:pt>
                <c:pt idx="1811">
                  <c:v>0.93161953727510016</c:v>
                </c:pt>
                <c:pt idx="1812">
                  <c:v>0.93213367609258091</c:v>
                </c:pt>
                <c:pt idx="1813">
                  <c:v>0.93264781491006166</c:v>
                </c:pt>
                <c:pt idx="1814">
                  <c:v>0.9331619537275424</c:v>
                </c:pt>
                <c:pt idx="1815">
                  <c:v>0.93367609254502315</c:v>
                </c:pt>
                <c:pt idx="1816">
                  <c:v>0.9341902313625039</c:v>
                </c:pt>
                <c:pt idx="1817">
                  <c:v>0.93470437017998464</c:v>
                </c:pt>
                <c:pt idx="1818">
                  <c:v>0.93521850899746539</c:v>
                </c:pt>
                <c:pt idx="1819">
                  <c:v>0.93573264781494614</c:v>
                </c:pt>
                <c:pt idx="1820">
                  <c:v>0.93624678663242689</c:v>
                </c:pt>
                <c:pt idx="1821">
                  <c:v>0.93676092544990763</c:v>
                </c:pt>
                <c:pt idx="1822">
                  <c:v>0.93727506426738838</c:v>
                </c:pt>
                <c:pt idx="1823">
                  <c:v>0.93778920308486913</c:v>
                </c:pt>
                <c:pt idx="1824">
                  <c:v>0.93830334190234987</c:v>
                </c:pt>
                <c:pt idx="1825">
                  <c:v>0.93881748071983062</c:v>
                </c:pt>
                <c:pt idx="1826">
                  <c:v>0.93933161953731137</c:v>
                </c:pt>
                <c:pt idx="1827">
                  <c:v>0.93984575835479212</c:v>
                </c:pt>
                <c:pt idx="1828">
                  <c:v>0.94035989717227286</c:v>
                </c:pt>
                <c:pt idx="1829">
                  <c:v>0.94087403598975361</c:v>
                </c:pt>
                <c:pt idx="1830">
                  <c:v>0.94138817480723436</c:v>
                </c:pt>
                <c:pt idx="1831">
                  <c:v>0.9419023136247151</c:v>
                </c:pt>
                <c:pt idx="1832">
                  <c:v>0.94241645244219585</c:v>
                </c:pt>
                <c:pt idx="1833">
                  <c:v>0.9429305912596766</c:v>
                </c:pt>
                <c:pt idx="1834">
                  <c:v>0.94344473007715735</c:v>
                </c:pt>
                <c:pt idx="1835">
                  <c:v>0.94395886889463809</c:v>
                </c:pt>
                <c:pt idx="1836">
                  <c:v>0.94447300771211884</c:v>
                </c:pt>
                <c:pt idx="1837">
                  <c:v>0.94498714652959959</c:v>
                </c:pt>
                <c:pt idx="1838">
                  <c:v>0.94550128534708033</c:v>
                </c:pt>
                <c:pt idx="1839">
                  <c:v>0.94601542416456108</c:v>
                </c:pt>
                <c:pt idx="1840">
                  <c:v>0.94652956298204183</c:v>
                </c:pt>
                <c:pt idx="1841">
                  <c:v>0.94704370179952257</c:v>
                </c:pt>
                <c:pt idx="1842">
                  <c:v>0.94755784061700332</c:v>
                </c:pt>
                <c:pt idx="1843">
                  <c:v>0.94807197943448407</c:v>
                </c:pt>
                <c:pt idx="1844">
                  <c:v>0.94858611825196482</c:v>
                </c:pt>
                <c:pt idx="1845">
                  <c:v>0.94910025706944556</c:v>
                </c:pt>
                <c:pt idx="1846">
                  <c:v>0.94961439588692631</c:v>
                </c:pt>
                <c:pt idx="1847">
                  <c:v>0.95012853470440706</c:v>
                </c:pt>
                <c:pt idx="1848">
                  <c:v>0.9506426735218878</c:v>
                </c:pt>
                <c:pt idx="1849">
                  <c:v>0.95115681233936855</c:v>
                </c:pt>
                <c:pt idx="1850">
                  <c:v>0.9516709511568493</c:v>
                </c:pt>
                <c:pt idx="1851">
                  <c:v>0.95218508997433005</c:v>
                </c:pt>
                <c:pt idx="1852">
                  <c:v>0.95269922879181079</c:v>
                </c:pt>
                <c:pt idx="1853">
                  <c:v>0.95321336760929154</c:v>
                </c:pt>
                <c:pt idx="1854">
                  <c:v>0.95372750642677229</c:v>
                </c:pt>
                <c:pt idx="1855">
                  <c:v>0.95424164524425303</c:v>
                </c:pt>
                <c:pt idx="1856">
                  <c:v>0.95475578406173378</c:v>
                </c:pt>
                <c:pt idx="1857">
                  <c:v>0.95526992287921453</c:v>
                </c:pt>
                <c:pt idx="1858">
                  <c:v>0.95578406169669528</c:v>
                </c:pt>
                <c:pt idx="1859">
                  <c:v>0.95629820051417602</c:v>
                </c:pt>
                <c:pt idx="1860">
                  <c:v>0.95681233933165677</c:v>
                </c:pt>
                <c:pt idx="1861">
                  <c:v>0.95732647814913752</c:v>
                </c:pt>
                <c:pt idx="1862">
                  <c:v>0.95784061696661826</c:v>
                </c:pt>
                <c:pt idx="1863">
                  <c:v>0.95835475578409901</c:v>
                </c:pt>
                <c:pt idx="1864">
                  <c:v>0.95886889460157976</c:v>
                </c:pt>
                <c:pt idx="1865">
                  <c:v>0.9593830334190605</c:v>
                </c:pt>
                <c:pt idx="1866">
                  <c:v>0.95989717223654125</c:v>
                </c:pt>
                <c:pt idx="1867">
                  <c:v>0.960411311054022</c:v>
                </c:pt>
                <c:pt idx="1868">
                  <c:v>0.96092544987150275</c:v>
                </c:pt>
                <c:pt idx="1869">
                  <c:v>0.96143958868898349</c:v>
                </c:pt>
                <c:pt idx="1870">
                  <c:v>0.96195372750646424</c:v>
                </c:pt>
                <c:pt idx="1871">
                  <c:v>0.96246786632394499</c:v>
                </c:pt>
                <c:pt idx="1872">
                  <c:v>0.96298200514142573</c:v>
                </c:pt>
                <c:pt idx="1873">
                  <c:v>0.96349614395890648</c:v>
                </c:pt>
                <c:pt idx="1874">
                  <c:v>0.96401028277638723</c:v>
                </c:pt>
                <c:pt idx="1875">
                  <c:v>0.96452442159386798</c:v>
                </c:pt>
                <c:pt idx="1876">
                  <c:v>0.96503856041134872</c:v>
                </c:pt>
                <c:pt idx="1877">
                  <c:v>0.96555269922882947</c:v>
                </c:pt>
                <c:pt idx="1878">
                  <c:v>0.96606683804631022</c:v>
                </c:pt>
                <c:pt idx="1879">
                  <c:v>0.96658097686379096</c:v>
                </c:pt>
                <c:pt idx="1880">
                  <c:v>0.96709511568127171</c:v>
                </c:pt>
                <c:pt idx="1881">
                  <c:v>0.96760925449875246</c:v>
                </c:pt>
                <c:pt idx="1882">
                  <c:v>0.96812339331623321</c:v>
                </c:pt>
                <c:pt idx="1883">
                  <c:v>0.96863753213371395</c:v>
                </c:pt>
                <c:pt idx="1884">
                  <c:v>0.9691516709511947</c:v>
                </c:pt>
                <c:pt idx="1885">
                  <c:v>0.96966580976867545</c:v>
                </c:pt>
                <c:pt idx="1886">
                  <c:v>0.97017994858615619</c:v>
                </c:pt>
                <c:pt idx="1887">
                  <c:v>0.97069408740363694</c:v>
                </c:pt>
                <c:pt idx="1888">
                  <c:v>0.97120822622111769</c:v>
                </c:pt>
                <c:pt idx="1889">
                  <c:v>0.97172236503859843</c:v>
                </c:pt>
                <c:pt idx="1890">
                  <c:v>0.97223650385607918</c:v>
                </c:pt>
                <c:pt idx="1891">
                  <c:v>0.97275064267355993</c:v>
                </c:pt>
                <c:pt idx="1892">
                  <c:v>0.97326478149104068</c:v>
                </c:pt>
                <c:pt idx="1893">
                  <c:v>0.97377892030852142</c:v>
                </c:pt>
                <c:pt idx="1894">
                  <c:v>0.97429305912600217</c:v>
                </c:pt>
                <c:pt idx="1895">
                  <c:v>0.97480719794348292</c:v>
                </c:pt>
                <c:pt idx="1896">
                  <c:v>0.97532133676096366</c:v>
                </c:pt>
                <c:pt idx="1897">
                  <c:v>0.97583547557844441</c:v>
                </c:pt>
                <c:pt idx="1898">
                  <c:v>0.97634961439592516</c:v>
                </c:pt>
                <c:pt idx="1899">
                  <c:v>0.97686375321340591</c:v>
                </c:pt>
                <c:pt idx="1900">
                  <c:v>0.97737789203088665</c:v>
                </c:pt>
                <c:pt idx="1901">
                  <c:v>0.9778920308483674</c:v>
                </c:pt>
                <c:pt idx="1902">
                  <c:v>0.97840616966584815</c:v>
                </c:pt>
                <c:pt idx="1903">
                  <c:v>0.97892030848332889</c:v>
                </c:pt>
                <c:pt idx="1904">
                  <c:v>0.97943444730080964</c:v>
                </c:pt>
                <c:pt idx="1905">
                  <c:v>0.97994858611829039</c:v>
                </c:pt>
                <c:pt idx="1906">
                  <c:v>0.98046272493577113</c:v>
                </c:pt>
                <c:pt idx="1907">
                  <c:v>0.98097686375325188</c:v>
                </c:pt>
                <c:pt idx="1908">
                  <c:v>0.98149100257073263</c:v>
                </c:pt>
                <c:pt idx="1909">
                  <c:v>0.98200514138821338</c:v>
                </c:pt>
                <c:pt idx="1910">
                  <c:v>0.98251928020569412</c:v>
                </c:pt>
                <c:pt idx="1911">
                  <c:v>0.98303341902317487</c:v>
                </c:pt>
                <c:pt idx="1912">
                  <c:v>0.98354755784065562</c:v>
                </c:pt>
                <c:pt idx="1913">
                  <c:v>0.98406169665813636</c:v>
                </c:pt>
                <c:pt idx="1914">
                  <c:v>0.98457583547561711</c:v>
                </c:pt>
                <c:pt idx="1915">
                  <c:v>0.98508997429309786</c:v>
                </c:pt>
                <c:pt idx="1916">
                  <c:v>0.98560411311057861</c:v>
                </c:pt>
                <c:pt idx="1917">
                  <c:v>0.98611825192805935</c:v>
                </c:pt>
                <c:pt idx="1918">
                  <c:v>0.9866323907455401</c:v>
                </c:pt>
                <c:pt idx="1919">
                  <c:v>0.98714652956302085</c:v>
                </c:pt>
                <c:pt idx="1920">
                  <c:v>0.98766066838050159</c:v>
                </c:pt>
                <c:pt idx="1921">
                  <c:v>0.98817480719798234</c:v>
                </c:pt>
                <c:pt idx="1922">
                  <c:v>0.98868894601546309</c:v>
                </c:pt>
                <c:pt idx="1923">
                  <c:v>0.98920308483294384</c:v>
                </c:pt>
                <c:pt idx="1924">
                  <c:v>0.98971722365042458</c:v>
                </c:pt>
                <c:pt idx="1925">
                  <c:v>0.99023136246790533</c:v>
                </c:pt>
                <c:pt idx="1926">
                  <c:v>0.99074550128538608</c:v>
                </c:pt>
                <c:pt idx="1927">
                  <c:v>0.99125964010286682</c:v>
                </c:pt>
                <c:pt idx="1928">
                  <c:v>0.99177377892034757</c:v>
                </c:pt>
                <c:pt idx="1929">
                  <c:v>0.99228791773782832</c:v>
                </c:pt>
                <c:pt idx="1930">
                  <c:v>0.99280205655530906</c:v>
                </c:pt>
                <c:pt idx="1931">
                  <c:v>0.99331619537278981</c:v>
                </c:pt>
                <c:pt idx="1932">
                  <c:v>0.99383033419027056</c:v>
                </c:pt>
                <c:pt idx="1933">
                  <c:v>0.99434447300775131</c:v>
                </c:pt>
                <c:pt idx="1934">
                  <c:v>0.99485861182523205</c:v>
                </c:pt>
                <c:pt idx="1935">
                  <c:v>0.9953727506427128</c:v>
                </c:pt>
                <c:pt idx="1936">
                  <c:v>0.99588688946019355</c:v>
                </c:pt>
                <c:pt idx="1937">
                  <c:v>0.99640102827767429</c:v>
                </c:pt>
                <c:pt idx="1938">
                  <c:v>0.99691516709515504</c:v>
                </c:pt>
                <c:pt idx="1939">
                  <c:v>0.99742930591263579</c:v>
                </c:pt>
                <c:pt idx="1940">
                  <c:v>0.99794344473011654</c:v>
                </c:pt>
                <c:pt idx="1941">
                  <c:v>0.99845758354759728</c:v>
                </c:pt>
                <c:pt idx="1942">
                  <c:v>0.99897172236507803</c:v>
                </c:pt>
                <c:pt idx="1943">
                  <c:v>0.99948586118255878</c:v>
                </c:pt>
                <c:pt idx="1944">
                  <c:v>1.0000000000000395</c:v>
                </c:pt>
              </c:numCache>
            </c:numRef>
          </c:yVal>
          <c:smooth val="0"/>
          <c:extLst>
            <c:ext xmlns:c16="http://schemas.microsoft.com/office/drawing/2014/chart" uri="{C3380CC4-5D6E-409C-BE32-E72D297353CC}">
              <c16:uniqueId val="{00000000-3C4F-46B4-9A22-C1D0BD1008A2}"/>
            </c:ext>
          </c:extLst>
        </c:ser>
        <c:dLbls>
          <c:showLegendKey val="0"/>
          <c:showVal val="0"/>
          <c:showCatName val="0"/>
          <c:showSerName val="0"/>
          <c:showPercent val="0"/>
          <c:showBubbleSize val="0"/>
        </c:dLbls>
        <c:axId val="946487840"/>
        <c:axId val="946488256"/>
      </c:scatterChart>
      <c:valAx>
        <c:axId val="946487840"/>
        <c:scaling>
          <c:orientation val="minMax"/>
          <c:max val="5"/>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Duration Ratio</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46488256"/>
        <c:crosses val="autoZero"/>
        <c:crossBetween val="midCat"/>
        <c:majorUnit val="0.5"/>
        <c:minorUnit val="0.1"/>
      </c:valAx>
      <c:valAx>
        <c:axId val="946488256"/>
        <c:scaling>
          <c:orientation val="minMax"/>
          <c:max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Probability</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4648784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HMI vs. CEI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0"/>
          <c:tx>
            <c:strRef>
              <c:f>'G3_Quad_HMI&amp;CEI'!$B$5</c:f>
              <c:strCache>
                <c:ptCount val="1"/>
                <c:pt idx="0">
                  <c:v>Project 1</c:v>
                </c:pt>
              </c:strCache>
            </c:strRef>
          </c:tx>
          <c:spPr>
            <a:ln w="19050" cap="rnd">
              <a:noFill/>
              <a:round/>
            </a:ln>
            <a:effectLst/>
          </c:spPr>
          <c:marker>
            <c:symbol val="circle"/>
            <c:size val="5"/>
            <c:spPr>
              <a:solidFill>
                <a:schemeClr val="accent2"/>
              </a:solidFill>
              <a:ln w="9525">
                <a:solidFill>
                  <a:schemeClr val="accent2"/>
                </a:solidFill>
              </a:ln>
              <a:effectLst/>
            </c:spPr>
          </c:marker>
          <c:dPt>
            <c:idx val="0"/>
            <c:marker>
              <c:symbol val="circle"/>
              <c:size val="5"/>
              <c:spPr>
                <a:solidFill>
                  <a:schemeClr val="accent2"/>
                </a:solidFill>
                <a:ln w="9525">
                  <a:solidFill>
                    <a:schemeClr val="accent2"/>
                  </a:solidFill>
                </a:ln>
                <a:effectLst/>
              </c:spPr>
            </c:marker>
            <c:bubble3D val="0"/>
            <c:spPr>
              <a:ln w="25400" cap="rnd">
                <a:noFill/>
                <a:round/>
              </a:ln>
              <a:effectLst/>
            </c:spPr>
            <c:extLst>
              <c:ext xmlns:c16="http://schemas.microsoft.com/office/drawing/2014/chart" uri="{C3380CC4-5D6E-409C-BE32-E72D297353CC}">
                <c16:uniqueId val="{00000001-7A1A-48A8-BCCF-5333C03B38AC}"/>
              </c:ext>
            </c:extLst>
          </c:dPt>
          <c:xVal>
            <c:numRef>
              <c:f>'G3_Quad_HMI&amp;CEI'!$C$5</c:f>
              <c:numCache>
                <c:formatCode>General</c:formatCode>
                <c:ptCount val="1"/>
                <c:pt idx="0">
                  <c:v>0.55000000000000004</c:v>
                </c:pt>
              </c:numCache>
            </c:numRef>
          </c:xVal>
          <c:yVal>
            <c:numRef>
              <c:f>'G3_Quad_HMI&amp;CEI'!$D$5</c:f>
              <c:numCache>
                <c:formatCode>General</c:formatCode>
                <c:ptCount val="1"/>
                <c:pt idx="0">
                  <c:v>0.6</c:v>
                </c:pt>
              </c:numCache>
            </c:numRef>
          </c:yVal>
          <c:smooth val="0"/>
          <c:extLst>
            <c:ext xmlns:c16="http://schemas.microsoft.com/office/drawing/2014/chart" uri="{C3380CC4-5D6E-409C-BE32-E72D297353CC}">
              <c16:uniqueId val="{00000002-7A1A-48A8-BCCF-5333C03B38AC}"/>
            </c:ext>
          </c:extLst>
        </c:ser>
        <c:ser>
          <c:idx val="0"/>
          <c:order val="1"/>
          <c:tx>
            <c:strRef>
              <c:f>'G3_Quad_HMI&amp;CEI'!$B$6</c:f>
              <c:strCache>
                <c:ptCount val="1"/>
                <c:pt idx="0">
                  <c:v>Project 2</c:v>
                </c:pt>
              </c:strCache>
            </c:strRef>
          </c:tx>
          <c:spPr>
            <a:ln w="25400" cap="rnd">
              <a:noFill/>
              <a:round/>
            </a:ln>
            <a:effectLst/>
          </c:spPr>
          <c:marker>
            <c:symbol val="circle"/>
            <c:size val="5"/>
            <c:spPr>
              <a:solidFill>
                <a:schemeClr val="accent1"/>
              </a:solidFill>
              <a:ln w="9525">
                <a:solidFill>
                  <a:schemeClr val="accent1"/>
                </a:solidFill>
              </a:ln>
              <a:effectLst/>
            </c:spPr>
          </c:marker>
          <c:xVal>
            <c:numRef>
              <c:f>'G3_Quad_HMI&amp;CEI'!$C$6</c:f>
              <c:numCache>
                <c:formatCode>General</c:formatCode>
                <c:ptCount val="1"/>
                <c:pt idx="0">
                  <c:v>0.63</c:v>
                </c:pt>
              </c:numCache>
            </c:numRef>
          </c:xVal>
          <c:yVal>
            <c:numRef>
              <c:f>'G3_Quad_HMI&amp;CEI'!$D$6</c:f>
              <c:numCache>
                <c:formatCode>General</c:formatCode>
                <c:ptCount val="1"/>
                <c:pt idx="0">
                  <c:v>0.7</c:v>
                </c:pt>
              </c:numCache>
            </c:numRef>
          </c:yVal>
          <c:smooth val="0"/>
          <c:extLst>
            <c:ext xmlns:c16="http://schemas.microsoft.com/office/drawing/2014/chart" uri="{C3380CC4-5D6E-409C-BE32-E72D297353CC}">
              <c16:uniqueId val="{00000003-7A1A-48A8-BCCF-5333C03B38AC}"/>
            </c:ext>
          </c:extLst>
        </c:ser>
        <c:ser>
          <c:idx val="2"/>
          <c:order val="2"/>
          <c:tx>
            <c:strRef>
              <c:f>'G3_Quad_HMI&amp;CEI'!$B$7</c:f>
              <c:strCache>
                <c:ptCount val="1"/>
                <c:pt idx="0">
                  <c:v>Project 3</c:v>
                </c:pt>
              </c:strCache>
            </c:strRef>
          </c:tx>
          <c:spPr>
            <a:ln w="25400" cap="rnd">
              <a:noFill/>
              <a:round/>
            </a:ln>
            <a:effectLst/>
          </c:spPr>
          <c:marker>
            <c:symbol val="circle"/>
            <c:size val="5"/>
            <c:spPr>
              <a:solidFill>
                <a:schemeClr val="accent3"/>
              </a:solidFill>
              <a:ln w="9525">
                <a:solidFill>
                  <a:schemeClr val="accent3"/>
                </a:solidFill>
              </a:ln>
              <a:effectLst/>
            </c:spPr>
          </c:marker>
          <c:xVal>
            <c:numRef>
              <c:f>'G3_Quad_HMI&amp;CEI'!$C$7</c:f>
              <c:numCache>
                <c:formatCode>General</c:formatCode>
                <c:ptCount val="1"/>
                <c:pt idx="0">
                  <c:v>0.1</c:v>
                </c:pt>
              </c:numCache>
            </c:numRef>
          </c:xVal>
          <c:yVal>
            <c:numRef>
              <c:f>'G3_Quad_HMI&amp;CEI'!$D$7</c:f>
              <c:numCache>
                <c:formatCode>General</c:formatCode>
                <c:ptCount val="1"/>
                <c:pt idx="0">
                  <c:v>0.3</c:v>
                </c:pt>
              </c:numCache>
            </c:numRef>
          </c:yVal>
          <c:smooth val="0"/>
          <c:extLst>
            <c:ext xmlns:c16="http://schemas.microsoft.com/office/drawing/2014/chart" uri="{C3380CC4-5D6E-409C-BE32-E72D297353CC}">
              <c16:uniqueId val="{00000004-7A1A-48A8-BCCF-5333C03B38AC}"/>
            </c:ext>
          </c:extLst>
        </c:ser>
        <c:ser>
          <c:idx val="3"/>
          <c:order val="3"/>
          <c:tx>
            <c:strRef>
              <c:f>'G3_Quad_HMI&amp;CEI'!$B$8</c:f>
              <c:strCache>
                <c:ptCount val="1"/>
                <c:pt idx="0">
                  <c:v>Project 4</c:v>
                </c:pt>
              </c:strCache>
            </c:strRef>
          </c:tx>
          <c:spPr>
            <a:ln w="25400" cap="rnd">
              <a:noFill/>
              <a:round/>
            </a:ln>
            <a:effectLst/>
          </c:spPr>
          <c:marker>
            <c:symbol val="circle"/>
            <c:size val="5"/>
            <c:spPr>
              <a:solidFill>
                <a:schemeClr val="accent4"/>
              </a:solidFill>
              <a:ln w="9525">
                <a:solidFill>
                  <a:schemeClr val="accent4"/>
                </a:solidFill>
              </a:ln>
              <a:effectLst/>
            </c:spPr>
          </c:marker>
          <c:xVal>
            <c:numRef>
              <c:f>'G3_Quad_HMI&amp;CEI'!$C$8</c:f>
              <c:numCache>
                <c:formatCode>General</c:formatCode>
                <c:ptCount val="1"/>
                <c:pt idx="0">
                  <c:v>0.95</c:v>
                </c:pt>
              </c:numCache>
            </c:numRef>
          </c:xVal>
          <c:yVal>
            <c:numRef>
              <c:f>'G3_Quad_HMI&amp;CEI'!$D$8</c:f>
              <c:numCache>
                <c:formatCode>General</c:formatCode>
                <c:ptCount val="1"/>
                <c:pt idx="0">
                  <c:v>1</c:v>
                </c:pt>
              </c:numCache>
            </c:numRef>
          </c:yVal>
          <c:smooth val="0"/>
          <c:extLst>
            <c:ext xmlns:c16="http://schemas.microsoft.com/office/drawing/2014/chart" uri="{C3380CC4-5D6E-409C-BE32-E72D297353CC}">
              <c16:uniqueId val="{00000005-7A1A-48A8-BCCF-5333C03B38AC}"/>
            </c:ext>
          </c:extLst>
        </c:ser>
        <c:ser>
          <c:idx val="4"/>
          <c:order val="4"/>
          <c:tx>
            <c:strRef>
              <c:f>'G3_Quad_HMI&amp;CEI'!$B$9</c:f>
              <c:strCache>
                <c:ptCount val="1"/>
                <c:pt idx="0">
                  <c:v>Project 5</c:v>
                </c:pt>
              </c:strCache>
            </c:strRef>
          </c:tx>
          <c:spPr>
            <a:ln w="25400" cap="rnd">
              <a:noFill/>
              <a:round/>
            </a:ln>
            <a:effectLst/>
          </c:spPr>
          <c:marker>
            <c:symbol val="circle"/>
            <c:size val="5"/>
            <c:spPr>
              <a:solidFill>
                <a:schemeClr val="accent5"/>
              </a:solidFill>
              <a:ln w="9525">
                <a:solidFill>
                  <a:schemeClr val="accent5"/>
                </a:solidFill>
              </a:ln>
              <a:effectLst/>
            </c:spPr>
          </c:marker>
          <c:xVal>
            <c:numRef>
              <c:f>'G3_Quad_HMI&amp;CEI'!$C$9</c:f>
              <c:numCache>
                <c:formatCode>General</c:formatCode>
                <c:ptCount val="1"/>
                <c:pt idx="0">
                  <c:v>0.9</c:v>
                </c:pt>
              </c:numCache>
            </c:numRef>
          </c:xVal>
          <c:yVal>
            <c:numRef>
              <c:f>'G3_Quad_HMI&amp;CEI'!$D$9</c:f>
              <c:numCache>
                <c:formatCode>General</c:formatCode>
                <c:ptCount val="1"/>
                <c:pt idx="0">
                  <c:v>0.95</c:v>
                </c:pt>
              </c:numCache>
            </c:numRef>
          </c:yVal>
          <c:smooth val="0"/>
          <c:extLst>
            <c:ext xmlns:c16="http://schemas.microsoft.com/office/drawing/2014/chart" uri="{C3380CC4-5D6E-409C-BE32-E72D297353CC}">
              <c16:uniqueId val="{00000006-7A1A-48A8-BCCF-5333C03B38AC}"/>
            </c:ext>
          </c:extLst>
        </c:ser>
        <c:ser>
          <c:idx val="5"/>
          <c:order val="5"/>
          <c:tx>
            <c:strRef>
              <c:f>'G3_Quad_HMI&amp;CEI'!$B$10</c:f>
              <c:strCache>
                <c:ptCount val="1"/>
                <c:pt idx="0">
                  <c:v>Project 6</c:v>
                </c:pt>
              </c:strCache>
            </c:strRef>
          </c:tx>
          <c:spPr>
            <a:ln w="25400" cap="rnd">
              <a:noFill/>
              <a:round/>
            </a:ln>
            <a:effectLst/>
          </c:spPr>
          <c:marker>
            <c:symbol val="circle"/>
            <c:size val="5"/>
            <c:spPr>
              <a:solidFill>
                <a:schemeClr val="accent6"/>
              </a:solidFill>
              <a:ln w="9525">
                <a:solidFill>
                  <a:schemeClr val="accent6"/>
                </a:solidFill>
              </a:ln>
              <a:effectLst/>
            </c:spPr>
          </c:marker>
          <c:xVal>
            <c:numRef>
              <c:f>'G3_Quad_HMI&amp;CEI'!$C$10</c:f>
              <c:numCache>
                <c:formatCode>General</c:formatCode>
                <c:ptCount val="1"/>
                <c:pt idx="0">
                  <c:v>0.15</c:v>
                </c:pt>
              </c:numCache>
            </c:numRef>
          </c:xVal>
          <c:yVal>
            <c:numRef>
              <c:f>'G3_Quad_HMI&amp;CEI'!$D$10</c:f>
              <c:numCache>
                <c:formatCode>General</c:formatCode>
                <c:ptCount val="1"/>
                <c:pt idx="0">
                  <c:v>0.8</c:v>
                </c:pt>
              </c:numCache>
            </c:numRef>
          </c:yVal>
          <c:smooth val="0"/>
          <c:extLst>
            <c:ext xmlns:c16="http://schemas.microsoft.com/office/drawing/2014/chart" uri="{C3380CC4-5D6E-409C-BE32-E72D297353CC}">
              <c16:uniqueId val="{00000007-7A1A-48A8-BCCF-5333C03B38AC}"/>
            </c:ext>
          </c:extLst>
        </c:ser>
        <c:ser>
          <c:idx val="6"/>
          <c:order val="6"/>
          <c:tx>
            <c:strRef>
              <c:f>'G3_Quad_HMI&amp;CEI'!$B$11</c:f>
              <c:strCache>
                <c:ptCount val="1"/>
                <c:pt idx="0">
                  <c:v>Project 7</c:v>
                </c:pt>
              </c:strCache>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xVal>
            <c:numRef>
              <c:f>'G3_Quad_HMI&amp;CEI'!$C$11</c:f>
              <c:numCache>
                <c:formatCode>General</c:formatCode>
                <c:ptCount val="1"/>
                <c:pt idx="0">
                  <c:v>0.7</c:v>
                </c:pt>
              </c:numCache>
            </c:numRef>
          </c:xVal>
          <c:yVal>
            <c:numRef>
              <c:f>'G3_Quad_HMI&amp;CEI'!$D$11</c:f>
              <c:numCache>
                <c:formatCode>General</c:formatCode>
                <c:ptCount val="1"/>
                <c:pt idx="0">
                  <c:v>0.5</c:v>
                </c:pt>
              </c:numCache>
            </c:numRef>
          </c:yVal>
          <c:smooth val="0"/>
          <c:extLst>
            <c:ext xmlns:c16="http://schemas.microsoft.com/office/drawing/2014/chart" uri="{C3380CC4-5D6E-409C-BE32-E72D297353CC}">
              <c16:uniqueId val="{00000008-7A1A-48A8-BCCF-5333C03B38AC}"/>
            </c:ext>
          </c:extLst>
        </c:ser>
        <c:ser>
          <c:idx val="7"/>
          <c:order val="7"/>
          <c:tx>
            <c:strRef>
              <c:f>'G3_Quad_HMI&amp;CEI'!$B$12</c:f>
              <c:strCache>
                <c:ptCount val="1"/>
                <c:pt idx="0">
                  <c:v>Project 8</c:v>
                </c:pt>
              </c:strCache>
            </c:strRef>
          </c:tx>
          <c:spPr>
            <a:ln w="25400" cap="rnd">
              <a:noFill/>
              <a:round/>
            </a:ln>
            <a:effectLst/>
          </c:spPr>
          <c:marker>
            <c:symbol val="circle"/>
            <c:size val="5"/>
            <c:spPr>
              <a:solidFill>
                <a:schemeClr val="accent2">
                  <a:lumMod val="60000"/>
                </a:schemeClr>
              </a:solidFill>
              <a:ln w="9525">
                <a:solidFill>
                  <a:schemeClr val="accent2">
                    <a:lumMod val="60000"/>
                  </a:schemeClr>
                </a:solidFill>
              </a:ln>
              <a:effectLst/>
            </c:spPr>
          </c:marker>
          <c:xVal>
            <c:numRef>
              <c:f>'G3_Quad_HMI&amp;CEI'!$C$12</c:f>
              <c:numCache>
                <c:formatCode>General</c:formatCode>
                <c:ptCount val="1"/>
                <c:pt idx="0">
                  <c:v>0.1</c:v>
                </c:pt>
              </c:numCache>
            </c:numRef>
          </c:xVal>
          <c:yVal>
            <c:numRef>
              <c:f>'G3_Quad_HMI&amp;CEI'!$D$12</c:f>
              <c:numCache>
                <c:formatCode>General</c:formatCode>
                <c:ptCount val="1"/>
                <c:pt idx="0">
                  <c:v>0.2</c:v>
                </c:pt>
              </c:numCache>
            </c:numRef>
          </c:yVal>
          <c:smooth val="0"/>
          <c:extLst>
            <c:ext xmlns:c16="http://schemas.microsoft.com/office/drawing/2014/chart" uri="{C3380CC4-5D6E-409C-BE32-E72D297353CC}">
              <c16:uniqueId val="{00000009-7A1A-48A8-BCCF-5333C03B38AC}"/>
            </c:ext>
          </c:extLst>
        </c:ser>
        <c:ser>
          <c:idx val="8"/>
          <c:order val="8"/>
          <c:tx>
            <c:strRef>
              <c:f>'G3_Quad_HMI&amp;CEI'!$B$13</c:f>
              <c:strCache>
                <c:ptCount val="1"/>
                <c:pt idx="0">
                  <c:v>Project 9</c:v>
                </c:pt>
              </c:strCache>
            </c:strRef>
          </c:tx>
          <c:spPr>
            <a:ln w="25400" cap="rnd">
              <a:noFill/>
              <a:round/>
            </a:ln>
            <a:effectLst/>
          </c:spPr>
          <c:marker>
            <c:symbol val="circle"/>
            <c:size val="5"/>
            <c:spPr>
              <a:solidFill>
                <a:schemeClr val="accent3">
                  <a:lumMod val="60000"/>
                </a:schemeClr>
              </a:solidFill>
              <a:ln w="9525">
                <a:solidFill>
                  <a:schemeClr val="accent3">
                    <a:lumMod val="60000"/>
                  </a:schemeClr>
                </a:solidFill>
              </a:ln>
              <a:effectLst/>
            </c:spPr>
          </c:marker>
          <c:xVal>
            <c:numRef>
              <c:f>'G3_Quad_HMI&amp;CEI'!$C$13</c:f>
              <c:numCache>
                <c:formatCode>General</c:formatCode>
                <c:ptCount val="1"/>
                <c:pt idx="0">
                  <c:v>0.35</c:v>
                </c:pt>
              </c:numCache>
            </c:numRef>
          </c:xVal>
          <c:yVal>
            <c:numRef>
              <c:f>'G3_Quad_HMI&amp;CEI'!$D$13</c:f>
              <c:numCache>
                <c:formatCode>General</c:formatCode>
                <c:ptCount val="1"/>
                <c:pt idx="0">
                  <c:v>0.5</c:v>
                </c:pt>
              </c:numCache>
            </c:numRef>
          </c:yVal>
          <c:smooth val="0"/>
          <c:extLst>
            <c:ext xmlns:c16="http://schemas.microsoft.com/office/drawing/2014/chart" uri="{C3380CC4-5D6E-409C-BE32-E72D297353CC}">
              <c16:uniqueId val="{0000000A-7A1A-48A8-BCCF-5333C03B38AC}"/>
            </c:ext>
          </c:extLst>
        </c:ser>
        <c:ser>
          <c:idx val="9"/>
          <c:order val="9"/>
          <c:tx>
            <c:strRef>
              <c:f>'G3_Quad_HMI&amp;CEI'!$B$14</c:f>
              <c:strCache>
                <c:ptCount val="1"/>
                <c:pt idx="0">
                  <c:v>Project 10</c:v>
                </c:pt>
              </c:strCache>
            </c:strRef>
          </c:tx>
          <c:spPr>
            <a:ln w="25400" cap="rnd">
              <a:noFill/>
              <a:round/>
            </a:ln>
            <a:effectLst/>
          </c:spPr>
          <c:marker>
            <c:symbol val="circle"/>
            <c:size val="5"/>
            <c:spPr>
              <a:solidFill>
                <a:schemeClr val="accent4">
                  <a:lumMod val="60000"/>
                </a:schemeClr>
              </a:solidFill>
              <a:ln w="9525">
                <a:solidFill>
                  <a:schemeClr val="accent4">
                    <a:lumMod val="60000"/>
                  </a:schemeClr>
                </a:solidFill>
              </a:ln>
              <a:effectLst/>
            </c:spPr>
          </c:marker>
          <c:xVal>
            <c:numRef>
              <c:f>'G3_Quad_HMI&amp;CEI'!$C$14</c:f>
              <c:numCache>
                <c:formatCode>General</c:formatCode>
                <c:ptCount val="1"/>
                <c:pt idx="0">
                  <c:v>0.2</c:v>
                </c:pt>
              </c:numCache>
            </c:numRef>
          </c:xVal>
          <c:yVal>
            <c:numRef>
              <c:f>'G3_Quad_HMI&amp;CEI'!$D$14</c:f>
              <c:numCache>
                <c:formatCode>General</c:formatCode>
                <c:ptCount val="1"/>
                <c:pt idx="0">
                  <c:v>0.4</c:v>
                </c:pt>
              </c:numCache>
            </c:numRef>
          </c:yVal>
          <c:smooth val="0"/>
          <c:extLst>
            <c:ext xmlns:c16="http://schemas.microsoft.com/office/drawing/2014/chart" uri="{C3380CC4-5D6E-409C-BE32-E72D297353CC}">
              <c16:uniqueId val="{0000000B-7A1A-48A8-BCCF-5333C03B38AC}"/>
            </c:ext>
          </c:extLst>
        </c:ser>
        <c:ser>
          <c:idx val="10"/>
          <c:order val="10"/>
          <c:tx>
            <c:strRef>
              <c:f>'G3_Quad_HMI&amp;CEI'!$B$15</c:f>
              <c:strCache>
                <c:ptCount val="1"/>
                <c:pt idx="0">
                  <c:v>Project 11</c:v>
                </c:pt>
              </c:strCache>
            </c:strRef>
          </c:tx>
          <c:spPr>
            <a:ln w="25400" cap="rnd">
              <a:noFill/>
              <a:round/>
            </a:ln>
            <a:effectLst/>
          </c:spPr>
          <c:marker>
            <c:symbol val="circle"/>
            <c:size val="5"/>
            <c:spPr>
              <a:solidFill>
                <a:schemeClr val="accent5">
                  <a:lumMod val="60000"/>
                </a:schemeClr>
              </a:solidFill>
              <a:ln w="9525">
                <a:solidFill>
                  <a:schemeClr val="accent5">
                    <a:lumMod val="60000"/>
                  </a:schemeClr>
                </a:solidFill>
              </a:ln>
              <a:effectLst/>
            </c:spPr>
          </c:marker>
          <c:xVal>
            <c:numRef>
              <c:f>'G3_Quad_HMI&amp;CEI'!$C$15</c:f>
              <c:numCache>
                <c:formatCode>General</c:formatCode>
                <c:ptCount val="1"/>
                <c:pt idx="0">
                  <c:v>0.3</c:v>
                </c:pt>
              </c:numCache>
            </c:numRef>
          </c:xVal>
          <c:yVal>
            <c:numRef>
              <c:f>'G3_Quad_HMI&amp;CEI'!$D$15</c:f>
              <c:numCache>
                <c:formatCode>General</c:formatCode>
                <c:ptCount val="1"/>
                <c:pt idx="0">
                  <c:v>0.8</c:v>
                </c:pt>
              </c:numCache>
            </c:numRef>
          </c:yVal>
          <c:smooth val="0"/>
          <c:extLst>
            <c:ext xmlns:c16="http://schemas.microsoft.com/office/drawing/2014/chart" uri="{C3380CC4-5D6E-409C-BE32-E72D297353CC}">
              <c16:uniqueId val="{0000000C-7A1A-48A8-BCCF-5333C03B38AC}"/>
            </c:ext>
          </c:extLst>
        </c:ser>
        <c:ser>
          <c:idx val="11"/>
          <c:order val="11"/>
          <c:tx>
            <c:strRef>
              <c:f>'G3_Quad_HMI&amp;CEI'!$B$16</c:f>
              <c:strCache>
                <c:ptCount val="1"/>
                <c:pt idx="0">
                  <c:v>Project 12</c:v>
                </c:pt>
              </c:strCache>
            </c:strRef>
          </c:tx>
          <c:spPr>
            <a:ln w="25400" cap="rnd">
              <a:noFill/>
              <a:round/>
            </a:ln>
            <a:effectLst/>
          </c:spPr>
          <c:marker>
            <c:symbol val="circle"/>
            <c:size val="5"/>
            <c:spPr>
              <a:solidFill>
                <a:schemeClr val="accent6">
                  <a:lumMod val="60000"/>
                </a:schemeClr>
              </a:solidFill>
              <a:ln w="9525">
                <a:solidFill>
                  <a:schemeClr val="accent6">
                    <a:lumMod val="60000"/>
                  </a:schemeClr>
                </a:solidFill>
              </a:ln>
              <a:effectLst/>
            </c:spPr>
          </c:marker>
          <c:xVal>
            <c:numRef>
              <c:f>'G3_Quad_HMI&amp;CEI'!$C$16</c:f>
              <c:numCache>
                <c:formatCode>General</c:formatCode>
                <c:ptCount val="1"/>
                <c:pt idx="0">
                  <c:v>0.9</c:v>
                </c:pt>
              </c:numCache>
            </c:numRef>
          </c:xVal>
          <c:yVal>
            <c:numRef>
              <c:f>'G3_Quad_HMI&amp;CEI'!$D$16</c:f>
              <c:numCache>
                <c:formatCode>General</c:formatCode>
                <c:ptCount val="1"/>
                <c:pt idx="0">
                  <c:v>1</c:v>
                </c:pt>
              </c:numCache>
            </c:numRef>
          </c:yVal>
          <c:smooth val="0"/>
          <c:extLst>
            <c:ext xmlns:c16="http://schemas.microsoft.com/office/drawing/2014/chart" uri="{C3380CC4-5D6E-409C-BE32-E72D297353CC}">
              <c16:uniqueId val="{0000000D-7A1A-48A8-BCCF-5333C03B38AC}"/>
            </c:ext>
          </c:extLst>
        </c:ser>
        <c:dLbls>
          <c:showLegendKey val="0"/>
          <c:showVal val="0"/>
          <c:showCatName val="0"/>
          <c:showSerName val="0"/>
          <c:showPercent val="0"/>
          <c:showBubbleSize val="0"/>
        </c:dLbls>
        <c:axId val="2014523184"/>
        <c:axId val="2014513584"/>
      </c:scatterChart>
      <c:valAx>
        <c:axId val="2014523184"/>
        <c:scaling>
          <c:orientation val="minMax"/>
        </c:scaling>
        <c:delete val="0"/>
        <c:axPos val="b"/>
        <c:majorGridlines>
          <c:spPr>
            <a:ln w="9525" cap="flat" cmpd="sng" algn="ctr">
              <a:solidFill>
                <a:schemeClr val="tx1">
                  <a:lumMod val="15000"/>
                  <a:lumOff val="85000"/>
                </a:schemeClr>
              </a:solidFill>
              <a:round/>
            </a:ln>
            <a:effectLst/>
          </c:spPr>
        </c:majorGridlines>
        <c:title>
          <c:tx>
            <c:strRef>
              <c:f>'G3_Quad_HMI&amp;CEI'!$C$4</c:f>
              <c:strCache>
                <c:ptCount val="1"/>
                <c:pt idx="0">
                  <c:v>HMI</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513584"/>
        <c:crosses val="autoZero"/>
        <c:crossBetween val="midCat"/>
      </c:valAx>
      <c:valAx>
        <c:axId val="2014513584"/>
        <c:scaling>
          <c:orientation val="minMax"/>
          <c:max val="1"/>
        </c:scaling>
        <c:delete val="0"/>
        <c:axPos val="l"/>
        <c:majorGridlines>
          <c:spPr>
            <a:ln w="9525" cap="flat" cmpd="sng" algn="ctr">
              <a:solidFill>
                <a:schemeClr val="tx1">
                  <a:lumMod val="15000"/>
                  <a:lumOff val="85000"/>
                </a:schemeClr>
              </a:solidFill>
              <a:round/>
            </a:ln>
            <a:effectLst/>
          </c:spPr>
        </c:majorGridlines>
        <c:title>
          <c:tx>
            <c:strRef>
              <c:f>'G3_Quad_HMI&amp;CEI'!$D$4</c:f>
              <c:strCache>
                <c:ptCount val="1"/>
                <c:pt idx="0">
                  <c:v>CEI</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52318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Starts vs. Finishes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'G6_Quad_S-ratioVsF-ratio'!$G$11</c:f>
              <c:strCache>
                <c:ptCount val="1"/>
                <c:pt idx="0">
                  <c:v>Project 1</c:v>
                </c:pt>
              </c:strCache>
            </c:strRef>
          </c:tx>
          <c:spPr>
            <a:ln w="19050" cap="rnd">
              <a:noFill/>
              <a:round/>
            </a:ln>
            <a:effectLst/>
          </c:spPr>
          <c:marker>
            <c:symbol val="circle"/>
            <c:size val="5"/>
            <c:spPr>
              <a:solidFill>
                <a:schemeClr val="accent1"/>
              </a:solidFill>
              <a:ln w="9525">
                <a:solidFill>
                  <a:schemeClr val="accent1"/>
                </a:solidFill>
              </a:ln>
              <a:effectLst/>
            </c:spPr>
          </c:marker>
          <c:xVal>
            <c:numRef>
              <c:f>'G6_Quad_S-ratioVsF-ratio'!$H$11</c:f>
              <c:numCache>
                <c:formatCode>0.0</c:formatCode>
                <c:ptCount val="1"/>
                <c:pt idx="0">
                  <c:v>4.07258064516129</c:v>
                </c:pt>
              </c:numCache>
            </c:numRef>
          </c:xVal>
          <c:yVal>
            <c:numRef>
              <c:f>'G6_Quad_S-ratioVsF-ratio'!$I$11</c:f>
              <c:numCache>
                <c:formatCode>0.0</c:formatCode>
                <c:ptCount val="1"/>
                <c:pt idx="0">
                  <c:v>4.2109375</c:v>
                </c:pt>
              </c:numCache>
            </c:numRef>
          </c:yVal>
          <c:smooth val="0"/>
          <c:extLst>
            <c:ext xmlns:c16="http://schemas.microsoft.com/office/drawing/2014/chart" uri="{C3380CC4-5D6E-409C-BE32-E72D297353CC}">
              <c16:uniqueId val="{00000000-4141-49E0-A713-6CA5112B9665}"/>
            </c:ext>
          </c:extLst>
        </c:ser>
        <c:ser>
          <c:idx val="1"/>
          <c:order val="1"/>
          <c:tx>
            <c:strRef>
              <c:f>'G6_Quad_S-ratioVsF-ratio'!$G$12</c:f>
              <c:strCache>
                <c:ptCount val="1"/>
                <c:pt idx="0">
                  <c:v>Project 2</c:v>
                </c:pt>
              </c:strCache>
            </c:strRef>
          </c:tx>
          <c:spPr>
            <a:ln w="19050" cap="rnd">
              <a:noFill/>
              <a:round/>
            </a:ln>
            <a:effectLst/>
          </c:spPr>
          <c:marker>
            <c:symbol val="circle"/>
            <c:size val="5"/>
            <c:spPr>
              <a:solidFill>
                <a:schemeClr val="accent2"/>
              </a:solidFill>
              <a:ln w="9525">
                <a:solidFill>
                  <a:schemeClr val="accent2"/>
                </a:solidFill>
              </a:ln>
              <a:effectLst/>
            </c:spPr>
          </c:marker>
          <c:xVal>
            <c:numRef>
              <c:f>'G6_Quad_S-ratioVsF-ratio'!$H$12</c:f>
              <c:numCache>
                <c:formatCode>0.0</c:formatCode>
                <c:ptCount val="1"/>
                <c:pt idx="0">
                  <c:v>1.0870712401055409</c:v>
                </c:pt>
              </c:numCache>
            </c:numRef>
          </c:xVal>
          <c:yVal>
            <c:numRef>
              <c:f>'G6_Quad_S-ratioVsF-ratio'!$I$12</c:f>
              <c:numCache>
                <c:formatCode>0.0</c:formatCode>
                <c:ptCount val="1"/>
                <c:pt idx="0">
                  <c:v>1.0799031476997578</c:v>
                </c:pt>
              </c:numCache>
            </c:numRef>
          </c:yVal>
          <c:smooth val="0"/>
          <c:extLst>
            <c:ext xmlns:c16="http://schemas.microsoft.com/office/drawing/2014/chart" uri="{C3380CC4-5D6E-409C-BE32-E72D297353CC}">
              <c16:uniqueId val="{00000001-4141-49E0-A713-6CA5112B9665}"/>
            </c:ext>
          </c:extLst>
        </c:ser>
        <c:ser>
          <c:idx val="2"/>
          <c:order val="2"/>
          <c:tx>
            <c:strRef>
              <c:f>'G6_Quad_S-ratioVsF-ratio'!$G$13</c:f>
              <c:strCache>
                <c:ptCount val="1"/>
                <c:pt idx="0">
                  <c:v>Project 3</c:v>
                </c:pt>
              </c:strCache>
            </c:strRef>
          </c:tx>
          <c:spPr>
            <a:ln w="25400" cap="rnd">
              <a:noFill/>
              <a:round/>
            </a:ln>
            <a:effectLst/>
          </c:spPr>
          <c:marker>
            <c:symbol val="circle"/>
            <c:size val="5"/>
            <c:spPr>
              <a:solidFill>
                <a:schemeClr val="accent3"/>
              </a:solidFill>
              <a:ln w="9525">
                <a:solidFill>
                  <a:schemeClr val="accent3"/>
                </a:solidFill>
              </a:ln>
              <a:effectLst/>
            </c:spPr>
          </c:marker>
          <c:xVal>
            <c:numRef>
              <c:f>'G6_Quad_S-ratioVsF-ratio'!$H$13</c:f>
              <c:numCache>
                <c:formatCode>0.0</c:formatCode>
                <c:ptCount val="1"/>
                <c:pt idx="0">
                  <c:v>1.2432432432432432</c:v>
                </c:pt>
              </c:numCache>
            </c:numRef>
          </c:xVal>
          <c:yVal>
            <c:numRef>
              <c:f>'G6_Quad_S-ratioVsF-ratio'!$I$13</c:f>
              <c:numCache>
                <c:formatCode>0.0</c:formatCode>
                <c:ptCount val="1"/>
                <c:pt idx="0">
                  <c:v>1.2564102564102564</c:v>
                </c:pt>
              </c:numCache>
            </c:numRef>
          </c:yVal>
          <c:smooth val="0"/>
          <c:extLst>
            <c:ext xmlns:c16="http://schemas.microsoft.com/office/drawing/2014/chart" uri="{C3380CC4-5D6E-409C-BE32-E72D297353CC}">
              <c16:uniqueId val="{00000002-4141-49E0-A713-6CA5112B9665}"/>
            </c:ext>
          </c:extLst>
        </c:ser>
        <c:ser>
          <c:idx val="3"/>
          <c:order val="3"/>
          <c:tx>
            <c:strRef>
              <c:f>'G6_Quad_S-ratioVsF-ratio'!$G$14</c:f>
              <c:strCache>
                <c:ptCount val="1"/>
                <c:pt idx="0">
                  <c:v>Project 4</c:v>
                </c:pt>
              </c:strCache>
            </c:strRef>
          </c:tx>
          <c:spPr>
            <a:ln w="25400" cap="rnd">
              <a:noFill/>
              <a:round/>
            </a:ln>
            <a:effectLst/>
          </c:spPr>
          <c:marker>
            <c:symbol val="circle"/>
            <c:size val="5"/>
            <c:spPr>
              <a:solidFill>
                <a:schemeClr val="accent4"/>
              </a:solidFill>
              <a:ln w="9525">
                <a:solidFill>
                  <a:schemeClr val="accent4"/>
                </a:solidFill>
              </a:ln>
              <a:effectLst/>
            </c:spPr>
          </c:marker>
          <c:xVal>
            <c:numRef>
              <c:f>'G6_Quad_S-ratioVsF-ratio'!$H$14</c:f>
              <c:numCache>
                <c:formatCode>0.0</c:formatCode>
                <c:ptCount val="1"/>
                <c:pt idx="0">
                  <c:v>1</c:v>
                </c:pt>
              </c:numCache>
            </c:numRef>
          </c:xVal>
          <c:yVal>
            <c:numRef>
              <c:f>'G6_Quad_S-ratioVsF-ratio'!$I$14</c:f>
              <c:numCache>
                <c:formatCode>0.0</c:formatCode>
                <c:ptCount val="1"/>
                <c:pt idx="0">
                  <c:v>1</c:v>
                </c:pt>
              </c:numCache>
            </c:numRef>
          </c:yVal>
          <c:smooth val="0"/>
          <c:extLst>
            <c:ext xmlns:c16="http://schemas.microsoft.com/office/drawing/2014/chart" uri="{C3380CC4-5D6E-409C-BE32-E72D297353CC}">
              <c16:uniqueId val="{00000003-4141-49E0-A713-6CA5112B9665}"/>
            </c:ext>
          </c:extLst>
        </c:ser>
        <c:ser>
          <c:idx val="4"/>
          <c:order val="4"/>
          <c:tx>
            <c:strRef>
              <c:f>'G6_Quad_S-ratioVsF-ratio'!$G$15</c:f>
              <c:strCache>
                <c:ptCount val="1"/>
                <c:pt idx="0">
                  <c:v>Project 5</c:v>
                </c:pt>
              </c:strCache>
            </c:strRef>
          </c:tx>
          <c:spPr>
            <a:ln w="25400" cap="rnd">
              <a:noFill/>
              <a:round/>
            </a:ln>
            <a:effectLst/>
          </c:spPr>
          <c:marker>
            <c:symbol val="circle"/>
            <c:size val="5"/>
            <c:spPr>
              <a:solidFill>
                <a:schemeClr val="accent5"/>
              </a:solidFill>
              <a:ln w="9525">
                <a:solidFill>
                  <a:schemeClr val="accent5"/>
                </a:solidFill>
              </a:ln>
              <a:effectLst/>
            </c:spPr>
          </c:marker>
          <c:xVal>
            <c:numRef>
              <c:f>'G6_Quad_S-ratioVsF-ratio'!$H$15</c:f>
              <c:numCache>
                <c:formatCode>0.0</c:formatCode>
                <c:ptCount val="1"/>
                <c:pt idx="0">
                  <c:v>0</c:v>
                </c:pt>
              </c:numCache>
            </c:numRef>
          </c:xVal>
          <c:yVal>
            <c:numRef>
              <c:f>'G6_Quad_S-ratioVsF-ratio'!$I$15</c:f>
              <c:numCache>
                <c:formatCode>0.0</c:formatCode>
                <c:ptCount val="1"/>
                <c:pt idx="0">
                  <c:v>0</c:v>
                </c:pt>
              </c:numCache>
            </c:numRef>
          </c:yVal>
          <c:smooth val="0"/>
          <c:extLst>
            <c:ext xmlns:c16="http://schemas.microsoft.com/office/drawing/2014/chart" uri="{C3380CC4-5D6E-409C-BE32-E72D297353CC}">
              <c16:uniqueId val="{00000004-4141-49E0-A713-6CA5112B9665}"/>
            </c:ext>
          </c:extLst>
        </c:ser>
        <c:ser>
          <c:idx val="5"/>
          <c:order val="5"/>
          <c:tx>
            <c:strRef>
              <c:f>'G6_Quad_S-ratioVsF-ratio'!$G$16</c:f>
              <c:strCache>
                <c:ptCount val="1"/>
                <c:pt idx="0">
                  <c:v>Project 6</c:v>
                </c:pt>
              </c:strCache>
            </c:strRef>
          </c:tx>
          <c:spPr>
            <a:ln w="25400" cap="rnd">
              <a:noFill/>
              <a:round/>
            </a:ln>
            <a:effectLst/>
          </c:spPr>
          <c:marker>
            <c:symbol val="circle"/>
            <c:size val="5"/>
            <c:spPr>
              <a:solidFill>
                <a:schemeClr val="accent6"/>
              </a:solidFill>
              <a:ln w="9525">
                <a:solidFill>
                  <a:schemeClr val="accent6"/>
                </a:solidFill>
              </a:ln>
              <a:effectLst/>
            </c:spPr>
          </c:marker>
          <c:xVal>
            <c:numRef>
              <c:f>'G6_Quad_S-ratioVsF-ratio'!$H$16</c:f>
              <c:numCache>
                <c:formatCode>0.0</c:formatCode>
                <c:ptCount val="1"/>
                <c:pt idx="0">
                  <c:v>1</c:v>
                </c:pt>
              </c:numCache>
            </c:numRef>
          </c:xVal>
          <c:yVal>
            <c:numRef>
              <c:f>'G6_Quad_S-ratioVsF-ratio'!$I$16</c:f>
              <c:numCache>
                <c:formatCode>0.0</c:formatCode>
                <c:ptCount val="1"/>
                <c:pt idx="0">
                  <c:v>1</c:v>
                </c:pt>
              </c:numCache>
            </c:numRef>
          </c:yVal>
          <c:smooth val="0"/>
          <c:extLst>
            <c:ext xmlns:c16="http://schemas.microsoft.com/office/drawing/2014/chart" uri="{C3380CC4-5D6E-409C-BE32-E72D297353CC}">
              <c16:uniqueId val="{00000005-4141-49E0-A713-6CA5112B9665}"/>
            </c:ext>
          </c:extLst>
        </c:ser>
        <c:ser>
          <c:idx val="6"/>
          <c:order val="6"/>
          <c:tx>
            <c:strRef>
              <c:f>'G6_Quad_S-ratioVsF-ratio'!$G$17</c:f>
              <c:strCache>
                <c:ptCount val="1"/>
                <c:pt idx="0">
                  <c:v>Project 7</c:v>
                </c:pt>
              </c:strCache>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xVal>
            <c:numRef>
              <c:f>'G6_Quad_S-ratioVsF-ratio'!$H$17</c:f>
              <c:numCache>
                <c:formatCode>0.0</c:formatCode>
                <c:ptCount val="1"/>
                <c:pt idx="0">
                  <c:v>1.4</c:v>
                </c:pt>
              </c:numCache>
            </c:numRef>
          </c:xVal>
          <c:yVal>
            <c:numRef>
              <c:f>'G6_Quad_S-ratioVsF-ratio'!$I$17</c:f>
              <c:numCache>
                <c:formatCode>0.0</c:formatCode>
                <c:ptCount val="1"/>
                <c:pt idx="0">
                  <c:v>1.4</c:v>
                </c:pt>
              </c:numCache>
            </c:numRef>
          </c:yVal>
          <c:smooth val="0"/>
          <c:extLst>
            <c:ext xmlns:c16="http://schemas.microsoft.com/office/drawing/2014/chart" uri="{C3380CC4-5D6E-409C-BE32-E72D297353CC}">
              <c16:uniqueId val="{00000006-4141-49E0-A713-6CA5112B9665}"/>
            </c:ext>
          </c:extLst>
        </c:ser>
        <c:ser>
          <c:idx val="7"/>
          <c:order val="7"/>
          <c:tx>
            <c:strRef>
              <c:f>'G6_Quad_S-ratioVsF-ratio'!$G$18</c:f>
              <c:strCache>
                <c:ptCount val="1"/>
                <c:pt idx="0">
                  <c:v>Project 8</c:v>
                </c:pt>
              </c:strCache>
            </c:strRef>
          </c:tx>
          <c:spPr>
            <a:ln w="25400" cap="rnd">
              <a:noFill/>
              <a:round/>
            </a:ln>
            <a:effectLst/>
          </c:spPr>
          <c:marker>
            <c:symbol val="circle"/>
            <c:size val="5"/>
            <c:spPr>
              <a:solidFill>
                <a:schemeClr val="accent2">
                  <a:lumMod val="60000"/>
                </a:schemeClr>
              </a:solidFill>
              <a:ln w="9525">
                <a:solidFill>
                  <a:schemeClr val="accent2">
                    <a:lumMod val="60000"/>
                  </a:schemeClr>
                </a:solidFill>
              </a:ln>
              <a:effectLst/>
            </c:spPr>
          </c:marker>
          <c:xVal>
            <c:numRef>
              <c:f>'G6_Quad_S-ratioVsF-ratio'!$H$18</c:f>
              <c:numCache>
                <c:formatCode>0.0</c:formatCode>
                <c:ptCount val="1"/>
                <c:pt idx="0">
                  <c:v>1</c:v>
                </c:pt>
              </c:numCache>
            </c:numRef>
          </c:xVal>
          <c:yVal>
            <c:numRef>
              <c:f>'G6_Quad_S-ratioVsF-ratio'!$I$18</c:f>
              <c:numCache>
                <c:formatCode>0.0</c:formatCode>
                <c:ptCount val="1"/>
                <c:pt idx="0">
                  <c:v>1</c:v>
                </c:pt>
              </c:numCache>
            </c:numRef>
          </c:yVal>
          <c:smooth val="0"/>
          <c:extLst>
            <c:ext xmlns:c16="http://schemas.microsoft.com/office/drawing/2014/chart" uri="{C3380CC4-5D6E-409C-BE32-E72D297353CC}">
              <c16:uniqueId val="{00000007-4141-49E0-A713-6CA5112B9665}"/>
            </c:ext>
          </c:extLst>
        </c:ser>
        <c:ser>
          <c:idx val="8"/>
          <c:order val="8"/>
          <c:tx>
            <c:strRef>
              <c:f>'G6_Quad_S-ratioVsF-ratio'!$G$19</c:f>
              <c:strCache>
                <c:ptCount val="1"/>
                <c:pt idx="0">
                  <c:v>Project 9</c:v>
                </c:pt>
              </c:strCache>
            </c:strRef>
          </c:tx>
          <c:spPr>
            <a:ln w="25400" cap="rnd">
              <a:noFill/>
              <a:round/>
            </a:ln>
            <a:effectLst/>
          </c:spPr>
          <c:marker>
            <c:symbol val="circle"/>
            <c:size val="5"/>
            <c:spPr>
              <a:solidFill>
                <a:schemeClr val="accent3">
                  <a:lumMod val="60000"/>
                </a:schemeClr>
              </a:solidFill>
              <a:ln w="9525">
                <a:solidFill>
                  <a:schemeClr val="accent3">
                    <a:lumMod val="60000"/>
                  </a:schemeClr>
                </a:solidFill>
              </a:ln>
              <a:effectLst/>
            </c:spPr>
          </c:marker>
          <c:xVal>
            <c:numRef>
              <c:f>'G6_Quad_S-ratioVsF-ratio'!$H$19</c:f>
              <c:numCache>
                <c:formatCode>0.0</c:formatCode>
                <c:ptCount val="1"/>
                <c:pt idx="0">
                  <c:v>5.3272727272727272</c:v>
                </c:pt>
              </c:numCache>
            </c:numRef>
          </c:xVal>
          <c:yVal>
            <c:numRef>
              <c:f>'G6_Quad_S-ratioVsF-ratio'!$I$19</c:f>
              <c:numCache>
                <c:formatCode>0.0</c:formatCode>
                <c:ptCount val="1"/>
                <c:pt idx="0">
                  <c:v>5.8644067796610173</c:v>
                </c:pt>
              </c:numCache>
            </c:numRef>
          </c:yVal>
          <c:smooth val="0"/>
          <c:extLst>
            <c:ext xmlns:c16="http://schemas.microsoft.com/office/drawing/2014/chart" uri="{C3380CC4-5D6E-409C-BE32-E72D297353CC}">
              <c16:uniqueId val="{00000008-4141-49E0-A713-6CA5112B9665}"/>
            </c:ext>
          </c:extLst>
        </c:ser>
        <c:dLbls>
          <c:showLegendKey val="0"/>
          <c:showVal val="0"/>
          <c:showCatName val="0"/>
          <c:showSerName val="0"/>
          <c:showPercent val="0"/>
          <c:showBubbleSize val="0"/>
        </c:dLbls>
        <c:axId val="383816095"/>
        <c:axId val="383809855"/>
      </c:scatterChart>
      <c:valAx>
        <c:axId val="383816095"/>
        <c:scaling>
          <c:orientation val="minMax"/>
        </c:scaling>
        <c:delete val="0"/>
        <c:axPos val="b"/>
        <c:majorGridlines>
          <c:spPr>
            <a:ln w="9525" cap="flat" cmpd="sng" algn="ctr">
              <a:solidFill>
                <a:schemeClr val="tx1">
                  <a:lumMod val="15000"/>
                  <a:lumOff val="85000"/>
                </a:schemeClr>
              </a:solidFill>
              <a:round/>
            </a:ln>
            <a:effectLst/>
          </c:spPr>
        </c:majorGridlines>
        <c:title>
          <c:tx>
            <c:strRef>
              <c:f>'G6_Quad_S-ratioVsF-ratio'!$H$10</c:f>
              <c:strCache>
                <c:ptCount val="1"/>
                <c:pt idx="0">
                  <c:v>To-Go Starts vs. Baseline Starts</c:v>
                </c:pt>
              </c:strCache>
            </c:strRef>
          </c:tx>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809855"/>
        <c:crosses val="autoZero"/>
        <c:crossBetween val="midCat"/>
      </c:valAx>
      <c:valAx>
        <c:axId val="383809855"/>
        <c:scaling>
          <c:orientation val="minMax"/>
          <c:max val="6"/>
        </c:scaling>
        <c:delete val="0"/>
        <c:axPos val="l"/>
        <c:majorGridlines>
          <c:spPr>
            <a:ln w="9525" cap="flat" cmpd="sng" algn="ctr">
              <a:solidFill>
                <a:schemeClr val="tx1">
                  <a:lumMod val="15000"/>
                  <a:lumOff val="85000"/>
                </a:schemeClr>
              </a:solidFill>
              <a:round/>
            </a:ln>
            <a:effectLst/>
          </c:spPr>
        </c:majorGridlines>
        <c:title>
          <c:tx>
            <c:strRef>
              <c:f>'G6_Quad_S-ratioVsF-ratio'!$I$10</c:f>
              <c:strCache>
                <c:ptCount val="1"/>
                <c:pt idx="0">
                  <c:v>To-Go Finishes vs. Baseline Finishes</c:v>
                </c:pt>
              </c:strCache>
            </c:strRef>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81609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 of Critical Activites vs. Baseline</a:t>
            </a:r>
            <a:r>
              <a:rPr lang="en-US" b="1" baseline="0"/>
              <a:t> Execution</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'G7_Quad_BEIvsCP%'!$B$7</c:f>
              <c:strCache>
                <c:ptCount val="1"/>
                <c:pt idx="0">
                  <c:v>Project 1</c:v>
                </c:pt>
              </c:strCache>
            </c:strRef>
          </c:tx>
          <c:spPr>
            <a:ln w="19050" cap="rnd">
              <a:noFill/>
              <a:round/>
            </a:ln>
            <a:effectLst/>
          </c:spPr>
          <c:marker>
            <c:symbol val="circle"/>
            <c:size val="5"/>
            <c:spPr>
              <a:solidFill>
                <a:schemeClr val="accent1"/>
              </a:solidFill>
              <a:ln w="9525">
                <a:solidFill>
                  <a:schemeClr val="accent1"/>
                </a:solidFill>
              </a:ln>
              <a:effectLst/>
            </c:spPr>
          </c:marker>
          <c:xVal>
            <c:numRef>
              <c:f>'G7_Quad_BEIvsCP%'!$C$7</c:f>
              <c:numCache>
                <c:formatCode>General</c:formatCode>
                <c:ptCount val="1"/>
                <c:pt idx="0">
                  <c:v>0.86</c:v>
                </c:pt>
              </c:numCache>
            </c:numRef>
          </c:xVal>
          <c:yVal>
            <c:numRef>
              <c:f>'G7_Quad_BEIvsCP%'!$G$7</c:f>
              <c:numCache>
                <c:formatCode>0.00</c:formatCode>
                <c:ptCount val="1"/>
                <c:pt idx="0">
                  <c:v>3.7831021437578813E-2</c:v>
                </c:pt>
              </c:numCache>
            </c:numRef>
          </c:yVal>
          <c:smooth val="0"/>
          <c:extLst>
            <c:ext xmlns:c16="http://schemas.microsoft.com/office/drawing/2014/chart" uri="{C3380CC4-5D6E-409C-BE32-E72D297353CC}">
              <c16:uniqueId val="{00000000-2CB2-4420-A7B8-F5B367349C0A}"/>
            </c:ext>
          </c:extLst>
        </c:ser>
        <c:ser>
          <c:idx val="1"/>
          <c:order val="1"/>
          <c:tx>
            <c:strRef>
              <c:f>'G7_Quad_BEIvsCP%'!$B$8</c:f>
              <c:strCache>
                <c:ptCount val="1"/>
                <c:pt idx="0">
                  <c:v>Project 2</c:v>
                </c:pt>
              </c:strCache>
            </c:strRef>
          </c:tx>
          <c:spPr>
            <a:ln w="19050" cap="rnd">
              <a:noFill/>
              <a:round/>
            </a:ln>
            <a:effectLst/>
          </c:spPr>
          <c:marker>
            <c:symbol val="circle"/>
            <c:size val="5"/>
            <c:spPr>
              <a:solidFill>
                <a:schemeClr val="accent2"/>
              </a:solidFill>
              <a:ln w="9525">
                <a:solidFill>
                  <a:schemeClr val="accent2"/>
                </a:solidFill>
              </a:ln>
              <a:effectLst/>
            </c:spPr>
          </c:marker>
          <c:xVal>
            <c:numRef>
              <c:f>'G7_Quad_BEIvsCP%'!$C$8</c:f>
              <c:numCache>
                <c:formatCode>General</c:formatCode>
                <c:ptCount val="1"/>
                <c:pt idx="0">
                  <c:v>0.5</c:v>
                </c:pt>
              </c:numCache>
            </c:numRef>
          </c:xVal>
          <c:yVal>
            <c:numRef>
              <c:f>'G7_Quad_BEIvsCP%'!$G$8</c:f>
              <c:numCache>
                <c:formatCode>0.00</c:formatCode>
                <c:ptCount val="1"/>
                <c:pt idx="0">
                  <c:v>0.2440119760479042</c:v>
                </c:pt>
              </c:numCache>
            </c:numRef>
          </c:yVal>
          <c:smooth val="0"/>
          <c:extLst>
            <c:ext xmlns:c16="http://schemas.microsoft.com/office/drawing/2014/chart" uri="{C3380CC4-5D6E-409C-BE32-E72D297353CC}">
              <c16:uniqueId val="{00000001-2CB2-4420-A7B8-F5B367349C0A}"/>
            </c:ext>
          </c:extLst>
        </c:ser>
        <c:ser>
          <c:idx val="2"/>
          <c:order val="2"/>
          <c:tx>
            <c:strRef>
              <c:f>'G7_Quad_BEIvsCP%'!$B$9</c:f>
              <c:strCache>
                <c:ptCount val="1"/>
                <c:pt idx="0">
                  <c:v>Project 3</c:v>
                </c:pt>
              </c:strCache>
            </c:strRef>
          </c:tx>
          <c:spPr>
            <a:ln w="25400" cap="rnd">
              <a:noFill/>
              <a:round/>
            </a:ln>
            <a:effectLst/>
          </c:spPr>
          <c:marker>
            <c:symbol val="circle"/>
            <c:size val="5"/>
            <c:spPr>
              <a:solidFill>
                <a:schemeClr val="accent3"/>
              </a:solidFill>
              <a:ln w="9525">
                <a:solidFill>
                  <a:schemeClr val="accent3"/>
                </a:solidFill>
              </a:ln>
              <a:effectLst/>
            </c:spPr>
          </c:marker>
          <c:xVal>
            <c:numRef>
              <c:f>'G7_Quad_BEIvsCP%'!$C$9</c:f>
              <c:numCache>
                <c:formatCode>General</c:formatCode>
                <c:ptCount val="1"/>
                <c:pt idx="0">
                  <c:v>0.35</c:v>
                </c:pt>
              </c:numCache>
            </c:numRef>
          </c:xVal>
          <c:yVal>
            <c:numRef>
              <c:f>'G7_Quad_BEIvsCP%'!$G$9</c:f>
              <c:numCache>
                <c:formatCode>0.00</c:formatCode>
                <c:ptCount val="1"/>
                <c:pt idx="0">
                  <c:v>0.48529411764705882</c:v>
                </c:pt>
              </c:numCache>
            </c:numRef>
          </c:yVal>
          <c:smooth val="0"/>
          <c:extLst>
            <c:ext xmlns:c16="http://schemas.microsoft.com/office/drawing/2014/chart" uri="{C3380CC4-5D6E-409C-BE32-E72D297353CC}">
              <c16:uniqueId val="{00000002-2CB2-4420-A7B8-F5B367349C0A}"/>
            </c:ext>
          </c:extLst>
        </c:ser>
        <c:ser>
          <c:idx val="3"/>
          <c:order val="3"/>
          <c:tx>
            <c:strRef>
              <c:f>'G7_Quad_BEIvsCP%'!$B$10</c:f>
              <c:strCache>
                <c:ptCount val="1"/>
                <c:pt idx="0">
                  <c:v>Project 4</c:v>
                </c:pt>
              </c:strCache>
            </c:strRef>
          </c:tx>
          <c:spPr>
            <a:ln w="25400" cap="rnd">
              <a:noFill/>
              <a:round/>
            </a:ln>
            <a:effectLst/>
          </c:spPr>
          <c:marker>
            <c:symbol val="circle"/>
            <c:size val="5"/>
            <c:spPr>
              <a:solidFill>
                <a:schemeClr val="accent4"/>
              </a:solidFill>
              <a:ln w="9525">
                <a:solidFill>
                  <a:schemeClr val="accent4"/>
                </a:solidFill>
              </a:ln>
              <a:effectLst/>
            </c:spPr>
          </c:marker>
          <c:xVal>
            <c:numRef>
              <c:f>'G7_Quad_BEIvsCP%'!$C$10</c:f>
              <c:numCache>
                <c:formatCode>General</c:formatCode>
                <c:ptCount val="1"/>
                <c:pt idx="0">
                  <c:v>0.7</c:v>
                </c:pt>
              </c:numCache>
            </c:numRef>
          </c:xVal>
          <c:yVal>
            <c:numRef>
              <c:f>'G7_Quad_BEIvsCP%'!$G$10</c:f>
              <c:numCache>
                <c:formatCode>0.00</c:formatCode>
                <c:ptCount val="1"/>
                <c:pt idx="0">
                  <c:v>5.4054054054054057E-2</c:v>
                </c:pt>
              </c:numCache>
            </c:numRef>
          </c:yVal>
          <c:smooth val="0"/>
          <c:extLst>
            <c:ext xmlns:c16="http://schemas.microsoft.com/office/drawing/2014/chart" uri="{C3380CC4-5D6E-409C-BE32-E72D297353CC}">
              <c16:uniqueId val="{00000003-2CB2-4420-A7B8-F5B367349C0A}"/>
            </c:ext>
          </c:extLst>
        </c:ser>
        <c:ser>
          <c:idx val="4"/>
          <c:order val="4"/>
          <c:tx>
            <c:strRef>
              <c:f>'G7_Quad_BEIvsCP%'!$B$11</c:f>
              <c:strCache>
                <c:ptCount val="1"/>
                <c:pt idx="0">
                  <c:v>Project 5</c:v>
                </c:pt>
              </c:strCache>
            </c:strRef>
          </c:tx>
          <c:spPr>
            <a:ln w="25400" cap="rnd">
              <a:noFill/>
              <a:round/>
            </a:ln>
            <a:effectLst/>
          </c:spPr>
          <c:marker>
            <c:symbol val="circle"/>
            <c:size val="5"/>
            <c:spPr>
              <a:solidFill>
                <a:schemeClr val="accent5"/>
              </a:solidFill>
              <a:ln w="9525">
                <a:solidFill>
                  <a:schemeClr val="accent5"/>
                </a:solidFill>
              </a:ln>
              <a:effectLst/>
            </c:spPr>
          </c:marker>
          <c:xVal>
            <c:numRef>
              <c:f>'G7_Quad_BEIvsCP%'!$C$11</c:f>
              <c:numCache>
                <c:formatCode>General</c:formatCode>
                <c:ptCount val="1"/>
                <c:pt idx="0">
                  <c:v>0</c:v>
                </c:pt>
              </c:numCache>
            </c:numRef>
          </c:xVal>
          <c:yVal>
            <c:numRef>
              <c:f>'G7_Quad_BEIvsCP%'!$G$11</c:f>
              <c:numCache>
                <c:formatCode>0.00</c:formatCode>
                <c:ptCount val="1"/>
                <c:pt idx="0">
                  <c:v>0</c:v>
                </c:pt>
              </c:numCache>
            </c:numRef>
          </c:yVal>
          <c:smooth val="0"/>
          <c:extLst>
            <c:ext xmlns:c16="http://schemas.microsoft.com/office/drawing/2014/chart" uri="{C3380CC4-5D6E-409C-BE32-E72D297353CC}">
              <c16:uniqueId val="{00000004-2CB2-4420-A7B8-F5B367349C0A}"/>
            </c:ext>
          </c:extLst>
        </c:ser>
        <c:ser>
          <c:idx val="5"/>
          <c:order val="5"/>
          <c:tx>
            <c:strRef>
              <c:f>'G7_Quad_BEIvsCP%'!$B$12</c:f>
              <c:strCache>
                <c:ptCount val="1"/>
                <c:pt idx="0">
                  <c:v>Project 6</c:v>
                </c:pt>
              </c:strCache>
            </c:strRef>
          </c:tx>
          <c:spPr>
            <a:ln w="25400" cap="rnd">
              <a:noFill/>
              <a:round/>
            </a:ln>
            <a:effectLst/>
          </c:spPr>
          <c:marker>
            <c:symbol val="circle"/>
            <c:size val="5"/>
            <c:spPr>
              <a:solidFill>
                <a:schemeClr val="accent6"/>
              </a:solidFill>
              <a:ln w="9525">
                <a:solidFill>
                  <a:schemeClr val="accent6"/>
                </a:solidFill>
              </a:ln>
              <a:effectLst/>
            </c:spPr>
          </c:marker>
          <c:xVal>
            <c:numRef>
              <c:f>'G7_Quad_BEIvsCP%'!$C$12</c:f>
              <c:numCache>
                <c:formatCode>General</c:formatCode>
                <c:ptCount val="1"/>
                <c:pt idx="0">
                  <c:v>0.9</c:v>
                </c:pt>
              </c:numCache>
            </c:numRef>
          </c:xVal>
          <c:yVal>
            <c:numRef>
              <c:f>'G7_Quad_BEIvsCP%'!$G$12</c:f>
              <c:numCache>
                <c:formatCode>0.00</c:formatCode>
                <c:ptCount val="1"/>
                <c:pt idx="0">
                  <c:v>5.8219178082191778E-2</c:v>
                </c:pt>
              </c:numCache>
            </c:numRef>
          </c:yVal>
          <c:smooth val="0"/>
          <c:extLst>
            <c:ext xmlns:c16="http://schemas.microsoft.com/office/drawing/2014/chart" uri="{C3380CC4-5D6E-409C-BE32-E72D297353CC}">
              <c16:uniqueId val="{00000005-2CB2-4420-A7B8-F5B367349C0A}"/>
            </c:ext>
          </c:extLst>
        </c:ser>
        <c:ser>
          <c:idx val="6"/>
          <c:order val="6"/>
          <c:tx>
            <c:strRef>
              <c:f>'G7_Quad_BEIvsCP%'!$B$13</c:f>
              <c:strCache>
                <c:ptCount val="1"/>
                <c:pt idx="0">
                  <c:v>Project 7</c:v>
                </c:pt>
              </c:strCache>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xVal>
            <c:numRef>
              <c:f>'G7_Quad_BEIvsCP%'!$C$13</c:f>
              <c:numCache>
                <c:formatCode>General</c:formatCode>
                <c:ptCount val="1"/>
                <c:pt idx="0">
                  <c:v>0.25</c:v>
                </c:pt>
              </c:numCache>
            </c:numRef>
          </c:xVal>
          <c:yVal>
            <c:numRef>
              <c:f>'G7_Quad_BEIvsCP%'!$G$13</c:f>
              <c:numCache>
                <c:formatCode>0.00</c:formatCode>
                <c:ptCount val="1"/>
                <c:pt idx="0">
                  <c:v>0.125</c:v>
                </c:pt>
              </c:numCache>
            </c:numRef>
          </c:yVal>
          <c:smooth val="0"/>
          <c:extLst>
            <c:ext xmlns:c16="http://schemas.microsoft.com/office/drawing/2014/chart" uri="{C3380CC4-5D6E-409C-BE32-E72D297353CC}">
              <c16:uniqueId val="{00000006-2CB2-4420-A7B8-F5B367349C0A}"/>
            </c:ext>
          </c:extLst>
        </c:ser>
        <c:dLbls>
          <c:showLegendKey val="0"/>
          <c:showVal val="0"/>
          <c:showCatName val="0"/>
          <c:showSerName val="0"/>
          <c:showPercent val="0"/>
          <c:showBubbleSize val="0"/>
        </c:dLbls>
        <c:axId val="383780575"/>
        <c:axId val="383761375"/>
      </c:scatterChart>
      <c:valAx>
        <c:axId val="383780575"/>
        <c:scaling>
          <c:orientation val="minMax"/>
          <c:max val="1"/>
        </c:scaling>
        <c:delete val="0"/>
        <c:axPos val="b"/>
        <c:majorGridlines>
          <c:spPr>
            <a:ln w="9525" cap="flat" cmpd="sng" algn="ctr">
              <a:solidFill>
                <a:schemeClr val="tx1">
                  <a:lumMod val="15000"/>
                  <a:lumOff val="85000"/>
                </a:schemeClr>
              </a:solidFill>
              <a:round/>
            </a:ln>
            <a:effectLst/>
          </c:spPr>
        </c:majorGridlines>
        <c:title>
          <c:tx>
            <c:strRef>
              <c:f>'G7_Quad_BEIvsCP%'!$C$6</c:f>
              <c:strCache>
                <c:ptCount val="1"/>
                <c:pt idx="0">
                  <c:v>BEI - Value Tasks</c:v>
                </c:pt>
              </c:strCache>
            </c:strRef>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761375"/>
        <c:crosses val="autoZero"/>
        <c:crossBetween val="midCat"/>
        <c:majorUnit val="0.1"/>
      </c:valAx>
      <c:valAx>
        <c:axId val="383761375"/>
        <c:scaling>
          <c:orientation val="minMax"/>
          <c:max val="1"/>
        </c:scaling>
        <c:delete val="0"/>
        <c:axPos val="l"/>
        <c:majorGridlines>
          <c:spPr>
            <a:ln w="9525" cap="flat" cmpd="sng" algn="ctr">
              <a:solidFill>
                <a:schemeClr val="tx1">
                  <a:lumMod val="15000"/>
                  <a:lumOff val="85000"/>
                </a:schemeClr>
              </a:solidFill>
              <a:round/>
            </a:ln>
            <a:effectLst/>
          </c:spPr>
        </c:majorGridlines>
        <c:title>
          <c:tx>
            <c:strRef>
              <c:f>'G7_Quad_BEIvsCP%'!$G$6</c:f>
              <c:strCache>
                <c:ptCount val="1"/>
                <c:pt idx="0">
                  <c:v>% Critical Path To-Go Activities</c:v>
                </c:pt>
              </c:strCache>
            </c:strRef>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78057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Duration Ratio - Middle 70% of Data</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Duration Ratio - Middle 70% of Data</a:t>
          </a:r>
        </a:p>
      </cx:txPr>
    </cx:title>
    <cx:plotArea>
      <cx:plotAreaRegion>
        <cx:series layoutId="clusteredColumn" uniqueId="{9E12AA55-9B62-44D1-8C77-47EE8602CE43}">
          <cx:dataId val="0"/>
          <cx:layoutPr>
            <cx:binning intervalClosed="r"/>
          </cx:layoutPr>
        </cx:series>
      </cx:plotAreaRegion>
      <cx:axis id="0">
        <cx:catScaling gapWidth="0"/>
        <cx:tickLabels/>
      </cx:axis>
      <cx:axis id="1">
        <cx:valScaling max="1000"/>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15.xml"/></Relationships>
</file>

<file path=xl/drawings/_rels/drawing7.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chart" Target="../charts/chart16.xml"/><Relationship Id="rId4" Type="http://schemas.openxmlformats.org/officeDocument/2006/relationships/image" Target="../media/image6.png"/></Relationships>
</file>

<file path=xl/drawings/_rels/drawing8.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chart" Target="../charts/chart17.xml"/></Relationships>
</file>

<file path=xl/drawings/_rels/drawing9.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xdr:row>
      <xdr:rowOff>123826</xdr:rowOff>
    </xdr:from>
    <xdr:to>
      <xdr:col>4</xdr:col>
      <xdr:colOff>549677</xdr:colOff>
      <xdr:row>38</xdr:row>
      <xdr:rowOff>158246</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940255"/>
          <a:ext cx="7448498" cy="6565848"/>
        </a:xfrm>
        <a:prstGeom prst="rect">
          <a:avLst/>
        </a:prstGeom>
      </xdr:spPr>
    </xdr:pic>
    <xdr:clientData/>
  </xdr:twoCellAnchor>
  <xdr:twoCellAnchor editAs="oneCell">
    <xdr:from>
      <xdr:col>1</xdr:col>
      <xdr:colOff>0</xdr:colOff>
      <xdr:row>41</xdr:row>
      <xdr:rowOff>0</xdr:rowOff>
    </xdr:from>
    <xdr:to>
      <xdr:col>2</xdr:col>
      <xdr:colOff>856902</xdr:colOff>
      <xdr:row>52</xdr:row>
      <xdr:rowOff>36150</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0" y="7892143"/>
          <a:ext cx="2775509" cy="2145258"/>
        </a:xfrm>
        <a:prstGeom prst="rect">
          <a:avLst/>
        </a:prstGeom>
      </xdr:spPr>
    </xdr:pic>
    <xdr:clientData/>
  </xdr:twoCellAnchor>
  <xdr:twoCellAnchor editAs="oneCell">
    <xdr:from>
      <xdr:col>1</xdr:col>
      <xdr:colOff>0</xdr:colOff>
      <xdr:row>57</xdr:row>
      <xdr:rowOff>38100</xdr:rowOff>
    </xdr:from>
    <xdr:to>
      <xdr:col>4</xdr:col>
      <xdr:colOff>56281</xdr:colOff>
      <xdr:row>90</xdr:row>
      <xdr:rowOff>180093</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0" y="14458950"/>
          <a:ext cx="6952381" cy="6409524"/>
        </a:xfrm>
        <a:prstGeom prst="rect">
          <a:avLst/>
        </a:prstGeom>
      </xdr:spPr>
    </xdr:pic>
    <xdr:clientData/>
  </xdr:twoCellAnchor>
  <xdr:twoCellAnchor>
    <xdr:from>
      <xdr:col>8</xdr:col>
      <xdr:colOff>41742</xdr:colOff>
      <xdr:row>57</xdr:row>
      <xdr:rowOff>10285</xdr:rowOff>
    </xdr:from>
    <xdr:to>
      <xdr:col>22</xdr:col>
      <xdr:colOff>489698</xdr:colOff>
      <xdr:row>71</xdr:row>
      <xdr:rowOff>86485</xdr:rowOff>
    </xdr:to>
    <xdr:graphicFrame macro="">
      <xdr:nvGraphicFramePr>
        <xdr:cNvPr id="5" name="Chart 4">
          <a:extLst>
            <a:ext uri="{FF2B5EF4-FFF2-40B4-BE49-F238E27FC236}">
              <a16:creationId xmlns:a16="http://schemas.microsoft.com/office/drawing/2014/main" id="{00000000-0008-0000-01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44824</xdr:colOff>
      <xdr:row>41</xdr:row>
      <xdr:rowOff>33618</xdr:rowOff>
    </xdr:from>
    <xdr:to>
      <xdr:col>22</xdr:col>
      <xdr:colOff>492780</xdr:colOff>
      <xdr:row>55</xdr:row>
      <xdr:rowOff>109818</xdr:rowOff>
    </xdr:to>
    <xdr:graphicFrame macro="">
      <xdr:nvGraphicFramePr>
        <xdr:cNvPr id="6" name="Chart 5">
          <a:extLst>
            <a:ext uri="{FF2B5EF4-FFF2-40B4-BE49-F238E27FC236}">
              <a16:creationId xmlns:a16="http://schemas.microsoft.com/office/drawing/2014/main" id="{00000000-0008-0000-0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0</xdr:colOff>
      <xdr:row>74</xdr:row>
      <xdr:rowOff>0</xdr:rowOff>
    </xdr:from>
    <xdr:to>
      <xdr:col>22</xdr:col>
      <xdr:colOff>447956</xdr:colOff>
      <xdr:row>88</xdr:row>
      <xdr:rowOff>76200</xdr:rowOff>
    </xdr:to>
    <xdr:graphicFrame macro="">
      <xdr:nvGraphicFramePr>
        <xdr:cNvPr id="7" name="Chart 6">
          <a:extLst>
            <a:ext uri="{FF2B5EF4-FFF2-40B4-BE49-F238E27FC236}">
              <a16:creationId xmlns:a16="http://schemas.microsoft.com/office/drawing/2014/main" id="{00000000-0008-0000-01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0</xdr:colOff>
      <xdr:row>91</xdr:row>
      <xdr:rowOff>0</xdr:rowOff>
    </xdr:from>
    <xdr:to>
      <xdr:col>22</xdr:col>
      <xdr:colOff>447956</xdr:colOff>
      <xdr:row>105</xdr:row>
      <xdr:rowOff>76200</xdr:rowOff>
    </xdr:to>
    <xdr:graphicFrame macro="">
      <xdr:nvGraphicFramePr>
        <xdr:cNvPr id="8" name="Chart 7">
          <a:extLst>
            <a:ext uri="{FF2B5EF4-FFF2-40B4-BE49-F238E27FC236}">
              <a16:creationId xmlns:a16="http://schemas.microsoft.com/office/drawing/2014/main" id="{00000000-0008-0000-01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259</xdr:col>
      <xdr:colOff>381000</xdr:colOff>
      <xdr:row>34</xdr:row>
      <xdr:rowOff>69270</xdr:rowOff>
    </xdr:from>
    <xdr:to>
      <xdr:col>295</xdr:col>
      <xdr:colOff>505691</xdr:colOff>
      <xdr:row>65</xdr:row>
      <xdr:rowOff>107370</xdr:rowOff>
    </xdr:to>
    <xdr:graphicFrame macro="">
      <xdr:nvGraphicFramePr>
        <xdr:cNvPr id="4" name="Chart 3">
          <a:extLst>
            <a:ext uri="{FF2B5EF4-FFF2-40B4-BE49-F238E27FC236}">
              <a16:creationId xmlns:a16="http://schemas.microsoft.com/office/drawing/2014/main" id="{00000000-0008-0000-0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296</xdr:col>
      <xdr:colOff>190500</xdr:colOff>
      <xdr:row>2</xdr:row>
      <xdr:rowOff>103909</xdr:rowOff>
    </xdr:from>
    <xdr:to>
      <xdr:col>332</xdr:col>
      <xdr:colOff>315191</xdr:colOff>
      <xdr:row>32</xdr:row>
      <xdr:rowOff>159328</xdr:rowOff>
    </xdr:to>
    <xdr:graphicFrame macro="">
      <xdr:nvGraphicFramePr>
        <xdr:cNvPr id="5" name="Chart 4">
          <a:extLst>
            <a:ext uri="{FF2B5EF4-FFF2-40B4-BE49-F238E27FC236}">
              <a16:creationId xmlns:a16="http://schemas.microsoft.com/office/drawing/2014/main" id="{00000000-0008-0000-0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296</xdr:col>
      <xdr:colOff>51955</xdr:colOff>
      <xdr:row>34</xdr:row>
      <xdr:rowOff>103909</xdr:rowOff>
    </xdr:from>
    <xdr:to>
      <xdr:col>332</xdr:col>
      <xdr:colOff>176646</xdr:colOff>
      <xdr:row>65</xdr:row>
      <xdr:rowOff>142009</xdr:rowOff>
    </xdr:to>
    <xdr:graphicFrame macro="">
      <xdr:nvGraphicFramePr>
        <xdr:cNvPr id="6" name="Chart 5">
          <a:extLst>
            <a:ext uri="{FF2B5EF4-FFF2-40B4-BE49-F238E27FC236}">
              <a16:creationId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259</xdr:col>
      <xdr:colOff>462643</xdr:colOff>
      <xdr:row>2</xdr:row>
      <xdr:rowOff>163284</xdr:rowOff>
    </xdr:from>
    <xdr:to>
      <xdr:col>295</xdr:col>
      <xdr:colOff>587334</xdr:colOff>
      <xdr:row>33</xdr:row>
      <xdr:rowOff>28203</xdr:rowOff>
    </xdr:to>
    <xdr:graphicFrame macro="">
      <xdr:nvGraphicFramePr>
        <xdr:cNvPr id="8" name="Chart 7">
          <a:extLst>
            <a:ext uri="{FF2B5EF4-FFF2-40B4-BE49-F238E27FC236}">
              <a16:creationId xmlns:a16="http://schemas.microsoft.com/office/drawing/2014/main" id="{00000000-0008-0000-02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259</xdr:col>
      <xdr:colOff>218514</xdr:colOff>
      <xdr:row>2</xdr:row>
      <xdr:rowOff>101971</xdr:rowOff>
    </xdr:from>
    <xdr:to>
      <xdr:col>293</xdr:col>
      <xdr:colOff>421822</xdr:colOff>
      <xdr:row>32</xdr:row>
      <xdr:rowOff>0</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259</xdr:col>
      <xdr:colOff>225136</xdr:colOff>
      <xdr:row>33</xdr:row>
      <xdr:rowOff>17316</xdr:rowOff>
    </xdr:from>
    <xdr:to>
      <xdr:col>293</xdr:col>
      <xdr:colOff>428443</xdr:colOff>
      <xdr:row>66</xdr:row>
      <xdr:rowOff>103909</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295</xdr:col>
      <xdr:colOff>0</xdr:colOff>
      <xdr:row>2</xdr:row>
      <xdr:rowOff>0</xdr:rowOff>
    </xdr:from>
    <xdr:to>
      <xdr:col>329</xdr:col>
      <xdr:colOff>203308</xdr:colOff>
      <xdr:row>31</xdr:row>
      <xdr:rowOff>88529</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295</xdr:col>
      <xdr:colOff>0</xdr:colOff>
      <xdr:row>33</xdr:row>
      <xdr:rowOff>0</xdr:rowOff>
    </xdr:from>
    <xdr:to>
      <xdr:col>329</xdr:col>
      <xdr:colOff>203307</xdr:colOff>
      <xdr:row>66</xdr:row>
      <xdr:rowOff>86593</xdr:rowOff>
    </xdr:to>
    <xdr:graphicFrame macro="">
      <xdr:nvGraphicFramePr>
        <xdr:cNvPr id="5" name="Chart 4">
          <a:extLst>
            <a:ext uri="{FF2B5EF4-FFF2-40B4-BE49-F238E27FC236}">
              <a16:creationId xmlns:a16="http://schemas.microsoft.com/office/drawing/2014/main" id="{00000000-0008-0000-03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108</xdr:col>
      <xdr:colOff>119061</xdr:colOff>
      <xdr:row>4</xdr:row>
      <xdr:rowOff>14286</xdr:rowOff>
    </xdr:from>
    <xdr:to>
      <xdr:col>126</xdr:col>
      <xdr:colOff>266700</xdr:colOff>
      <xdr:row>22</xdr:row>
      <xdr:rowOff>28575</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108</xdr:col>
      <xdr:colOff>142875</xdr:colOff>
      <xdr:row>23</xdr:row>
      <xdr:rowOff>142875</xdr:rowOff>
    </xdr:from>
    <xdr:to>
      <xdr:col>126</xdr:col>
      <xdr:colOff>290514</xdr:colOff>
      <xdr:row>41</xdr:row>
      <xdr:rowOff>185739</xdr:rowOff>
    </xdr:to>
    <xdr:graphicFrame macro="">
      <xdr:nvGraphicFramePr>
        <xdr:cNvPr id="3" name="Chart 2">
          <a:extLst>
            <a:ext uri="{FF2B5EF4-FFF2-40B4-BE49-F238E27FC236}">
              <a16:creationId xmlns:a16="http://schemas.microsoft.com/office/drawing/2014/main" i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19</xdr:col>
      <xdr:colOff>81710</xdr:colOff>
      <xdr:row>5</xdr:row>
      <xdr:rowOff>81642</xdr:rowOff>
    </xdr:from>
    <xdr:to>
      <xdr:col>36</xdr:col>
      <xdr:colOff>313765</xdr:colOff>
      <xdr:row>36</xdr:row>
      <xdr:rowOff>156882</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392211</xdr:colOff>
      <xdr:row>12</xdr:row>
      <xdr:rowOff>4082</xdr:rowOff>
    </xdr:from>
    <xdr:to>
      <xdr:col>28</xdr:col>
      <xdr:colOff>216840</xdr:colOff>
      <xdr:row>30</xdr:row>
      <xdr:rowOff>134471</xdr:rowOff>
    </xdr:to>
    <xdr:sp macro="" textlink="">
      <xdr:nvSpPr>
        <xdr:cNvPr id="7" name="Rectangle 6">
          <a:extLst>
            <a:ext uri="{FF2B5EF4-FFF2-40B4-BE49-F238E27FC236}">
              <a16:creationId xmlns:a16="http://schemas.microsoft.com/office/drawing/2014/main" id="{00000000-0008-0000-0500-000007000000}"/>
            </a:ext>
          </a:extLst>
        </xdr:cNvPr>
        <xdr:cNvSpPr/>
      </xdr:nvSpPr>
      <xdr:spPr>
        <a:xfrm>
          <a:off x="17738917" y="3108111"/>
          <a:ext cx="3455335" cy="3559389"/>
        </a:xfrm>
        <a:prstGeom prst="rect">
          <a:avLst/>
        </a:prstGeom>
        <a:noFill/>
        <a:ln w="19050">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683201</xdr:colOff>
      <xdr:row>42</xdr:row>
      <xdr:rowOff>0</xdr:rowOff>
    </xdr:from>
    <xdr:to>
      <xdr:col>36</xdr:col>
      <xdr:colOff>51954</xdr:colOff>
      <xdr:row>61</xdr:row>
      <xdr:rowOff>69272</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5199301" y="9658350"/>
              <a:ext cx="11370253" cy="368877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c:userShapes xmlns:c="http://schemas.openxmlformats.org/drawingml/2006/chart">
  <cdr:relSizeAnchor xmlns:cdr="http://schemas.openxmlformats.org/drawingml/2006/chartDrawing">
    <cdr:from>
      <cdr:x>0.25276</cdr:x>
      <cdr:y>0.28876</cdr:y>
    </cdr:from>
    <cdr:to>
      <cdr:x>0.31951</cdr:x>
      <cdr:y>0.70689</cdr:y>
    </cdr:to>
    <cdr:sp macro="" textlink="">
      <cdr:nvSpPr>
        <cdr:cNvPr id="2" name="TextBox 12">
          <a:extLst xmlns:a="http://schemas.openxmlformats.org/drawingml/2006/main">
            <a:ext uri="{FF2B5EF4-FFF2-40B4-BE49-F238E27FC236}">
              <a16:creationId xmlns:a16="http://schemas.microsoft.com/office/drawing/2014/main" id="{ED54751B-9F34-4EA1-9C40-A33C30CA4A11}"/>
            </a:ext>
          </a:extLst>
        </cdr:cNvPr>
        <cdr:cNvSpPr txBox="1"/>
      </cdr:nvSpPr>
      <cdr:spPr>
        <a:xfrm xmlns:a="http://schemas.openxmlformats.org/drawingml/2006/main">
          <a:off x="2798208" y="1804308"/>
          <a:ext cx="738992" cy="2612598"/>
        </a:xfrm>
        <a:prstGeom xmlns:a="http://schemas.openxmlformats.org/drawingml/2006/main" prst="rect">
          <a:avLst/>
        </a:prstGeom>
        <a:noFill xmlns:a="http://schemas.openxmlformats.org/drawingml/2006/main"/>
        <a:ln xmlns:a="http://schemas.openxmlformats.org/drawingml/2006/main" w="19050" cmpd="sng">
          <a:solidFill>
            <a:srgbClr val="FF0000"/>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endParaRPr lang="en-US" sz="1100">
            <a:ln>
              <a:solidFill>
                <a:srgbClr val="FF0000"/>
              </a:solidFill>
            </a:ln>
          </a:endParaRPr>
        </a:p>
      </cdr:txBody>
    </cdr:sp>
  </cdr:relSizeAnchor>
</c:userShapes>
</file>

<file path=xl/drawings/drawing7.xml><?xml version="1.0" encoding="utf-8"?>
<xdr:wsDr xmlns:xdr="http://schemas.openxmlformats.org/drawingml/2006/spreadsheetDrawing" xmlns:a="http://schemas.openxmlformats.org/drawingml/2006/main">
  <xdr:twoCellAnchor>
    <xdr:from>
      <xdr:col>6</xdr:col>
      <xdr:colOff>323851</xdr:colOff>
      <xdr:row>6</xdr:row>
      <xdr:rowOff>52387</xdr:rowOff>
    </xdr:from>
    <xdr:to>
      <xdr:col>16</xdr:col>
      <xdr:colOff>600075</xdr:colOff>
      <xdr:row>24</xdr:row>
      <xdr:rowOff>47625</xdr:rowOff>
    </xdr:to>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28</xdr:row>
      <xdr:rowOff>85725</xdr:rowOff>
    </xdr:from>
    <xdr:to>
      <xdr:col>17</xdr:col>
      <xdr:colOff>287065</xdr:colOff>
      <xdr:row>46</xdr:row>
      <xdr:rowOff>89070</xdr:rowOff>
    </xdr:to>
    <xdr:grpSp>
      <xdr:nvGrpSpPr>
        <xdr:cNvPr id="3" name="Group 2">
          <a:extLst>
            <a:ext uri="{FF2B5EF4-FFF2-40B4-BE49-F238E27FC236}">
              <a16:creationId xmlns:a16="http://schemas.microsoft.com/office/drawing/2014/main" id="{00000000-0008-0000-0700-000003000000}"/>
            </a:ext>
          </a:extLst>
        </xdr:cNvPr>
        <xdr:cNvGrpSpPr/>
      </xdr:nvGrpSpPr>
      <xdr:grpSpPr>
        <a:xfrm>
          <a:off x="3854824" y="5464549"/>
          <a:ext cx="6338241" cy="3566815"/>
          <a:chOff x="2904467" y="1712827"/>
          <a:chExt cx="6383065" cy="3432345"/>
        </a:xfrm>
      </xdr:grpSpPr>
      <xdr:pic>
        <xdr:nvPicPr>
          <xdr:cNvPr id="4" name="Picture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2"/>
          <a:stretch>
            <a:fillRect/>
          </a:stretch>
        </xdr:blipFill>
        <xdr:spPr>
          <a:xfrm>
            <a:off x="2904467" y="1712827"/>
            <a:ext cx="6383065" cy="3432345"/>
          </a:xfrm>
          <a:prstGeom prst="rect">
            <a:avLst/>
          </a:prstGeom>
          <a:effectLst>
            <a:outerShdw blurRad="63500" sx="102000" sy="102000" algn="ctr" rotWithShape="0">
              <a:prstClr val="black">
                <a:alpha val="40000"/>
              </a:prstClr>
            </a:outerShdw>
          </a:effectLst>
        </xdr:spPr>
      </xdr:pic>
      <xdr:sp macro="" textlink="">
        <xdr:nvSpPr>
          <xdr:cNvPr id="5" name="Rectangle 4">
            <a:extLst>
              <a:ext uri="{FF2B5EF4-FFF2-40B4-BE49-F238E27FC236}">
                <a16:creationId xmlns:a16="http://schemas.microsoft.com/office/drawing/2014/main" id="{00000000-0008-0000-0700-000005000000}"/>
              </a:ext>
            </a:extLst>
          </xdr:cNvPr>
          <xdr:cNvSpPr/>
        </xdr:nvSpPr>
        <xdr:spPr>
          <a:xfrm>
            <a:off x="3520440" y="3152280"/>
            <a:ext cx="3890136" cy="1423530"/>
          </a:xfrm>
          <a:prstGeom prst="rect">
            <a:avLst/>
          </a:prstGeom>
          <a:solidFill>
            <a:srgbClr val="FF0000">
              <a:alpha val="2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6" name="Rectangle 5">
            <a:extLst>
              <a:ext uri="{FF2B5EF4-FFF2-40B4-BE49-F238E27FC236}">
                <a16:creationId xmlns:a16="http://schemas.microsoft.com/office/drawing/2014/main" id="{00000000-0008-0000-0700-000006000000}"/>
              </a:ext>
            </a:extLst>
          </xdr:cNvPr>
          <xdr:cNvSpPr/>
        </xdr:nvSpPr>
        <xdr:spPr>
          <a:xfrm>
            <a:off x="3520439" y="2194560"/>
            <a:ext cx="3890138" cy="957720"/>
          </a:xfrm>
          <a:prstGeom prst="rect">
            <a:avLst/>
          </a:prstGeom>
          <a:solidFill>
            <a:schemeClr val="accent4">
              <a:alpha val="2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7" name="Rectangle 6">
            <a:extLst>
              <a:ext uri="{FF2B5EF4-FFF2-40B4-BE49-F238E27FC236}">
                <a16:creationId xmlns:a16="http://schemas.microsoft.com/office/drawing/2014/main" id="{00000000-0008-0000-0700-000007000000}"/>
              </a:ext>
            </a:extLst>
          </xdr:cNvPr>
          <xdr:cNvSpPr/>
        </xdr:nvSpPr>
        <xdr:spPr>
          <a:xfrm>
            <a:off x="7410577" y="3152280"/>
            <a:ext cx="949832" cy="1423530"/>
          </a:xfrm>
          <a:prstGeom prst="rect">
            <a:avLst/>
          </a:prstGeom>
          <a:solidFill>
            <a:schemeClr val="accent4">
              <a:alpha val="2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8" name="Rectangle 7">
            <a:extLst>
              <a:ext uri="{FF2B5EF4-FFF2-40B4-BE49-F238E27FC236}">
                <a16:creationId xmlns:a16="http://schemas.microsoft.com/office/drawing/2014/main" id="{00000000-0008-0000-0700-000008000000}"/>
              </a:ext>
            </a:extLst>
          </xdr:cNvPr>
          <xdr:cNvSpPr/>
        </xdr:nvSpPr>
        <xdr:spPr>
          <a:xfrm>
            <a:off x="7410578" y="2194560"/>
            <a:ext cx="949831" cy="957720"/>
          </a:xfrm>
          <a:prstGeom prst="rect">
            <a:avLst/>
          </a:prstGeom>
          <a:solidFill>
            <a:schemeClr val="accent6">
              <a:alpha val="2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pSp>
    <xdr:clientData/>
  </xdr:twoCellAnchor>
  <xdr:twoCellAnchor editAs="oneCell">
    <xdr:from>
      <xdr:col>1</xdr:col>
      <xdr:colOff>0</xdr:colOff>
      <xdr:row>29</xdr:row>
      <xdr:rowOff>0</xdr:rowOff>
    </xdr:from>
    <xdr:to>
      <xdr:col>3</xdr:col>
      <xdr:colOff>354772</xdr:colOff>
      <xdr:row>33</xdr:row>
      <xdr:rowOff>98760</xdr:rowOff>
    </xdr:to>
    <xdr:pic>
      <xdr:nvPicPr>
        <xdr:cNvPr id="9" name="Picture 8">
          <a:extLst>
            <a:ext uri="{FF2B5EF4-FFF2-40B4-BE49-F238E27FC236}">
              <a16:creationId xmlns:a16="http://schemas.microsoft.com/office/drawing/2014/main" id="{00000000-0008-0000-0700-000009000000}"/>
            </a:ext>
          </a:extLst>
        </xdr:cNvPr>
        <xdr:cNvPicPr>
          <a:picLocks noChangeAspect="1"/>
        </xdr:cNvPicPr>
      </xdr:nvPicPr>
      <xdr:blipFill>
        <a:blip xmlns:r="http://schemas.openxmlformats.org/officeDocument/2006/relationships" r:embed="rId3"/>
        <a:stretch>
          <a:fillRect/>
        </a:stretch>
      </xdr:blipFill>
      <xdr:spPr>
        <a:xfrm>
          <a:off x="219075" y="5572125"/>
          <a:ext cx="1573972" cy="879810"/>
        </a:xfrm>
        <a:prstGeom prst="rect">
          <a:avLst/>
        </a:prstGeom>
      </xdr:spPr>
    </xdr:pic>
    <xdr:clientData/>
  </xdr:twoCellAnchor>
  <xdr:twoCellAnchor editAs="oneCell">
    <xdr:from>
      <xdr:col>1</xdr:col>
      <xdr:colOff>0</xdr:colOff>
      <xdr:row>36</xdr:row>
      <xdr:rowOff>0</xdr:rowOff>
    </xdr:from>
    <xdr:to>
      <xdr:col>3</xdr:col>
      <xdr:colOff>295086</xdr:colOff>
      <xdr:row>39</xdr:row>
      <xdr:rowOff>152308</xdr:rowOff>
    </xdr:to>
    <xdr:pic>
      <xdr:nvPicPr>
        <xdr:cNvPr id="10" name="Picture 9">
          <a:extLst>
            <a:ext uri="{FF2B5EF4-FFF2-40B4-BE49-F238E27FC236}">
              <a16:creationId xmlns:a16="http://schemas.microsoft.com/office/drawing/2014/main" id="{00000000-0008-0000-0700-00000A000000}"/>
            </a:ext>
          </a:extLst>
        </xdr:cNvPr>
        <xdr:cNvPicPr>
          <a:picLocks noChangeAspect="1"/>
        </xdr:cNvPicPr>
      </xdr:nvPicPr>
      <xdr:blipFill>
        <a:blip xmlns:r="http://schemas.openxmlformats.org/officeDocument/2006/relationships" r:embed="rId4"/>
        <a:stretch>
          <a:fillRect/>
        </a:stretch>
      </xdr:blipFill>
      <xdr:spPr>
        <a:xfrm>
          <a:off x="219075" y="6953250"/>
          <a:ext cx="1514286" cy="73333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10</xdr:col>
      <xdr:colOff>576262</xdr:colOff>
      <xdr:row>1</xdr:row>
      <xdr:rowOff>161925</xdr:rowOff>
    </xdr:from>
    <xdr:to>
      <xdr:col>19</xdr:col>
      <xdr:colOff>28576</xdr:colOff>
      <xdr:row>18</xdr:row>
      <xdr:rowOff>171449</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590551</xdr:colOff>
      <xdr:row>21</xdr:row>
      <xdr:rowOff>133350</xdr:rowOff>
    </xdr:from>
    <xdr:to>
      <xdr:col>19</xdr:col>
      <xdr:colOff>342901</xdr:colOff>
      <xdr:row>43</xdr:row>
      <xdr:rowOff>180975</xdr:rowOff>
    </xdr:to>
    <xdr:grpSp>
      <xdr:nvGrpSpPr>
        <xdr:cNvPr id="4" name="Group 3">
          <a:extLst>
            <a:ext uri="{FF2B5EF4-FFF2-40B4-BE49-F238E27FC236}">
              <a16:creationId xmlns:a16="http://schemas.microsoft.com/office/drawing/2014/main" id="{00000000-0008-0000-0800-000004000000}"/>
            </a:ext>
          </a:extLst>
        </xdr:cNvPr>
        <xdr:cNvGrpSpPr/>
      </xdr:nvGrpSpPr>
      <xdr:grpSpPr>
        <a:xfrm>
          <a:off x="7414933" y="5209615"/>
          <a:ext cx="5198409" cy="4238625"/>
          <a:chOff x="5495636" y="1134622"/>
          <a:chExt cx="6151263" cy="5264935"/>
        </a:xfrm>
      </xdr:grpSpPr>
      <xdr:pic>
        <xdr:nvPicPr>
          <xdr:cNvPr id="5" name="Picture 4">
            <a:extLst>
              <a:ext uri="{FF2B5EF4-FFF2-40B4-BE49-F238E27FC236}">
                <a16:creationId xmlns:a16="http://schemas.microsoft.com/office/drawing/2014/main" id="{00000000-0008-0000-0800-000005000000}"/>
              </a:ext>
            </a:extLst>
          </xdr:cNvPr>
          <xdr:cNvPicPr>
            <a:picLocks noChangeAspect="1"/>
          </xdr:cNvPicPr>
        </xdr:nvPicPr>
        <xdr:blipFill>
          <a:blip xmlns:r="http://schemas.openxmlformats.org/officeDocument/2006/relationships" r:embed="rId2"/>
          <a:stretch>
            <a:fillRect/>
          </a:stretch>
        </xdr:blipFill>
        <xdr:spPr>
          <a:xfrm>
            <a:off x="5495636" y="1134622"/>
            <a:ext cx="6151263" cy="5264935"/>
          </a:xfrm>
          <a:prstGeom prst="rect">
            <a:avLst/>
          </a:prstGeom>
          <a:effectLst>
            <a:outerShdw blurRad="63500" sx="102000" sy="102000" algn="ctr" rotWithShape="0">
              <a:prstClr val="black">
                <a:alpha val="40000"/>
              </a:prstClr>
            </a:outerShdw>
          </a:effectLst>
        </xdr:spPr>
      </xdr:pic>
      <xdr:sp macro="" textlink="">
        <xdr:nvSpPr>
          <xdr:cNvPr id="6" name="Rectangle 5">
            <a:extLst>
              <a:ext uri="{FF2B5EF4-FFF2-40B4-BE49-F238E27FC236}">
                <a16:creationId xmlns:a16="http://schemas.microsoft.com/office/drawing/2014/main" id="{00000000-0008-0000-0800-000006000000}"/>
              </a:ext>
            </a:extLst>
          </xdr:cNvPr>
          <xdr:cNvSpPr/>
        </xdr:nvSpPr>
        <xdr:spPr>
          <a:xfrm>
            <a:off x="6261100" y="1734765"/>
            <a:ext cx="4248150" cy="2623490"/>
          </a:xfrm>
          <a:prstGeom prst="rect">
            <a:avLst/>
          </a:prstGeom>
          <a:solidFill>
            <a:srgbClr val="FF0000">
              <a:alpha val="2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7" name="Rectangle 6">
            <a:extLst>
              <a:ext uri="{FF2B5EF4-FFF2-40B4-BE49-F238E27FC236}">
                <a16:creationId xmlns:a16="http://schemas.microsoft.com/office/drawing/2014/main" id="{00000000-0008-0000-0800-000007000000}"/>
              </a:ext>
            </a:extLst>
          </xdr:cNvPr>
          <xdr:cNvSpPr/>
        </xdr:nvSpPr>
        <xdr:spPr>
          <a:xfrm>
            <a:off x="6261100" y="4359592"/>
            <a:ext cx="704850" cy="562031"/>
          </a:xfrm>
          <a:prstGeom prst="rect">
            <a:avLst/>
          </a:prstGeom>
          <a:solidFill>
            <a:schemeClr val="accent4">
              <a:alpha val="2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8" name="Rectangle 7">
            <a:extLst>
              <a:ext uri="{FF2B5EF4-FFF2-40B4-BE49-F238E27FC236}">
                <a16:creationId xmlns:a16="http://schemas.microsoft.com/office/drawing/2014/main" id="{00000000-0008-0000-0800-000008000000}"/>
              </a:ext>
            </a:extLst>
          </xdr:cNvPr>
          <xdr:cNvSpPr/>
        </xdr:nvSpPr>
        <xdr:spPr>
          <a:xfrm>
            <a:off x="6261099" y="4921625"/>
            <a:ext cx="812053" cy="747742"/>
          </a:xfrm>
          <a:prstGeom prst="rect">
            <a:avLst/>
          </a:prstGeom>
          <a:solidFill>
            <a:schemeClr val="accent6">
              <a:alpha val="2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9" name="Rectangle 8">
            <a:extLst>
              <a:ext uri="{FF2B5EF4-FFF2-40B4-BE49-F238E27FC236}">
                <a16:creationId xmlns:a16="http://schemas.microsoft.com/office/drawing/2014/main" id="{00000000-0008-0000-0800-000009000000}"/>
              </a:ext>
            </a:extLst>
          </xdr:cNvPr>
          <xdr:cNvSpPr/>
        </xdr:nvSpPr>
        <xdr:spPr>
          <a:xfrm>
            <a:off x="7073152" y="5030355"/>
            <a:ext cx="610526" cy="637674"/>
          </a:xfrm>
          <a:prstGeom prst="rect">
            <a:avLst/>
          </a:prstGeom>
          <a:solidFill>
            <a:schemeClr val="accent4">
              <a:alpha val="2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xnSp macro="">
        <xdr:nvCxnSpPr>
          <xdr:cNvPr id="10" name="Straight Connector 9">
            <a:extLst>
              <a:ext uri="{FF2B5EF4-FFF2-40B4-BE49-F238E27FC236}">
                <a16:creationId xmlns:a16="http://schemas.microsoft.com/office/drawing/2014/main" id="{00000000-0008-0000-0800-00000A000000}"/>
              </a:ext>
            </a:extLst>
          </xdr:cNvPr>
          <xdr:cNvCxnSpPr>
            <a:cxnSpLocks/>
          </xdr:cNvCxnSpPr>
        </xdr:nvCxnSpPr>
        <xdr:spPr>
          <a:xfrm flipV="1">
            <a:off x="6261100" y="1732090"/>
            <a:ext cx="4248150" cy="3935939"/>
          </a:xfrm>
          <a:prstGeom prst="line">
            <a:avLst/>
          </a:prstGeom>
        </xdr:spPr>
        <xdr:style>
          <a:lnRef idx="3">
            <a:schemeClr val="accent1"/>
          </a:lnRef>
          <a:fillRef idx="0">
            <a:schemeClr val="accent1"/>
          </a:fillRef>
          <a:effectRef idx="2">
            <a:schemeClr val="accent1"/>
          </a:effectRef>
          <a:fontRef idx="minor">
            <a:schemeClr val="tx1"/>
          </a:fontRef>
        </xdr:style>
      </xdr:cxnSp>
      <xdr:sp macro="" textlink="">
        <xdr:nvSpPr>
          <xdr:cNvPr id="11" name="Rectangle 10">
            <a:extLst>
              <a:ext uri="{FF2B5EF4-FFF2-40B4-BE49-F238E27FC236}">
                <a16:creationId xmlns:a16="http://schemas.microsoft.com/office/drawing/2014/main" id="{00000000-0008-0000-0800-00000B000000}"/>
              </a:ext>
            </a:extLst>
          </xdr:cNvPr>
          <xdr:cNvSpPr/>
        </xdr:nvSpPr>
        <xdr:spPr>
          <a:xfrm>
            <a:off x="6972389" y="4359593"/>
            <a:ext cx="704850" cy="669424"/>
          </a:xfrm>
          <a:prstGeom prst="rect">
            <a:avLst/>
          </a:prstGeom>
          <a:solidFill>
            <a:schemeClr val="accent4">
              <a:alpha val="2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2" name="Rectangle 11">
            <a:extLst>
              <a:ext uri="{FF2B5EF4-FFF2-40B4-BE49-F238E27FC236}">
                <a16:creationId xmlns:a16="http://schemas.microsoft.com/office/drawing/2014/main" id="{00000000-0008-0000-0800-00000C000000}"/>
              </a:ext>
            </a:extLst>
          </xdr:cNvPr>
          <xdr:cNvSpPr/>
        </xdr:nvSpPr>
        <xdr:spPr>
          <a:xfrm>
            <a:off x="7673885" y="4358255"/>
            <a:ext cx="2835365" cy="1309773"/>
          </a:xfrm>
          <a:prstGeom prst="rect">
            <a:avLst/>
          </a:prstGeom>
          <a:solidFill>
            <a:srgbClr val="FF0000">
              <a:alpha val="2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8</xdr:col>
      <xdr:colOff>114299</xdr:colOff>
      <xdr:row>2</xdr:row>
      <xdr:rowOff>219075</xdr:rowOff>
    </xdr:from>
    <xdr:to>
      <xdr:col>16</xdr:col>
      <xdr:colOff>104774</xdr:colOff>
      <xdr:row>16</xdr:row>
      <xdr:rowOff>133350</xdr:rowOff>
    </xdr:to>
    <xdr:graphicFrame macro="">
      <xdr:nvGraphicFramePr>
        <xdr:cNvPr id="2" name="Chart 1">
          <a:extLst>
            <a:ext uri="{FF2B5EF4-FFF2-40B4-BE49-F238E27FC236}">
              <a16:creationId xmlns:a16="http://schemas.microsoft.com/office/drawing/2014/main" id="{00000000-0008-0000-0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470647</xdr:colOff>
      <xdr:row>24</xdr:row>
      <xdr:rowOff>89647</xdr:rowOff>
    </xdr:from>
    <xdr:to>
      <xdr:col>16</xdr:col>
      <xdr:colOff>208430</xdr:colOff>
      <xdr:row>48</xdr:row>
      <xdr:rowOff>32497</xdr:rowOff>
    </xdr:to>
    <xdr:grpSp>
      <xdr:nvGrpSpPr>
        <xdr:cNvPr id="3" name="Group 2">
          <a:extLst>
            <a:ext uri="{FF2B5EF4-FFF2-40B4-BE49-F238E27FC236}">
              <a16:creationId xmlns:a16="http://schemas.microsoft.com/office/drawing/2014/main" id="{00000000-0008-0000-0900-000003000000}"/>
            </a:ext>
          </a:extLst>
        </xdr:cNvPr>
        <xdr:cNvGrpSpPr/>
      </xdr:nvGrpSpPr>
      <xdr:grpSpPr>
        <a:xfrm>
          <a:off x="6656294" y="5065059"/>
          <a:ext cx="4578724" cy="4514850"/>
          <a:chOff x="5926102" y="1144365"/>
          <a:chExt cx="5740118" cy="5220374"/>
        </a:xfrm>
      </xdr:grpSpPr>
      <xdr:pic>
        <xdr:nvPicPr>
          <xdr:cNvPr id="4" name="Picture 3">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2"/>
          <a:stretch>
            <a:fillRect/>
          </a:stretch>
        </xdr:blipFill>
        <xdr:spPr>
          <a:xfrm>
            <a:off x="5926102" y="1144365"/>
            <a:ext cx="5740118" cy="5220374"/>
          </a:xfrm>
          <a:prstGeom prst="rect">
            <a:avLst/>
          </a:prstGeom>
          <a:effectLst>
            <a:outerShdw blurRad="63500" sx="102000" sy="102000" algn="ctr" rotWithShape="0">
              <a:prstClr val="black">
                <a:alpha val="40000"/>
              </a:prstClr>
            </a:outerShdw>
          </a:effectLst>
        </xdr:spPr>
      </xdr:pic>
      <xdr:sp macro="" textlink="">
        <xdr:nvSpPr>
          <xdr:cNvPr id="5" name="Rectangle 4">
            <a:extLst>
              <a:ext uri="{FF2B5EF4-FFF2-40B4-BE49-F238E27FC236}">
                <a16:creationId xmlns:a16="http://schemas.microsoft.com/office/drawing/2014/main" id="{00000000-0008-0000-0900-000005000000}"/>
              </a:ext>
            </a:extLst>
          </xdr:cNvPr>
          <xdr:cNvSpPr/>
        </xdr:nvSpPr>
        <xdr:spPr>
          <a:xfrm>
            <a:off x="6769190" y="1741114"/>
            <a:ext cx="1130119" cy="3908337"/>
          </a:xfrm>
          <a:prstGeom prst="rect">
            <a:avLst/>
          </a:prstGeom>
          <a:solidFill>
            <a:srgbClr val="FF0000">
              <a:alpha val="2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6" name="Rectangle 5">
            <a:extLst>
              <a:ext uri="{FF2B5EF4-FFF2-40B4-BE49-F238E27FC236}">
                <a16:creationId xmlns:a16="http://schemas.microsoft.com/office/drawing/2014/main" id="{00000000-0008-0000-0900-000006000000}"/>
              </a:ext>
            </a:extLst>
          </xdr:cNvPr>
          <xdr:cNvSpPr/>
        </xdr:nvSpPr>
        <xdr:spPr>
          <a:xfrm>
            <a:off x="8645613" y="5063817"/>
            <a:ext cx="1870075" cy="393373"/>
          </a:xfrm>
          <a:prstGeom prst="rect">
            <a:avLst/>
          </a:prstGeom>
          <a:solidFill>
            <a:schemeClr val="accent6">
              <a:alpha val="2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7" name="Rectangle 6">
            <a:extLst>
              <a:ext uri="{FF2B5EF4-FFF2-40B4-BE49-F238E27FC236}">
                <a16:creationId xmlns:a16="http://schemas.microsoft.com/office/drawing/2014/main" id="{00000000-0008-0000-0900-000007000000}"/>
              </a:ext>
            </a:extLst>
          </xdr:cNvPr>
          <xdr:cNvSpPr/>
        </xdr:nvSpPr>
        <xdr:spPr>
          <a:xfrm>
            <a:off x="8645614" y="5457190"/>
            <a:ext cx="1870075" cy="192261"/>
          </a:xfrm>
          <a:prstGeom prst="rect">
            <a:avLst/>
          </a:prstGeom>
          <a:solidFill>
            <a:schemeClr val="accent4">
              <a:alpha val="2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8" name="Rectangle 7">
            <a:extLst>
              <a:ext uri="{FF2B5EF4-FFF2-40B4-BE49-F238E27FC236}">
                <a16:creationId xmlns:a16="http://schemas.microsoft.com/office/drawing/2014/main" id="{00000000-0008-0000-0900-000008000000}"/>
              </a:ext>
            </a:extLst>
          </xdr:cNvPr>
          <xdr:cNvSpPr/>
        </xdr:nvSpPr>
        <xdr:spPr>
          <a:xfrm>
            <a:off x="7899311" y="4470773"/>
            <a:ext cx="2616199" cy="597155"/>
          </a:xfrm>
          <a:prstGeom prst="rect">
            <a:avLst/>
          </a:prstGeom>
          <a:solidFill>
            <a:schemeClr val="accent4">
              <a:alpha val="2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9" name="Rectangle 8">
            <a:extLst>
              <a:ext uri="{FF2B5EF4-FFF2-40B4-BE49-F238E27FC236}">
                <a16:creationId xmlns:a16="http://schemas.microsoft.com/office/drawing/2014/main" id="{00000000-0008-0000-0900-000009000000}"/>
              </a:ext>
            </a:extLst>
          </xdr:cNvPr>
          <xdr:cNvSpPr/>
        </xdr:nvSpPr>
        <xdr:spPr>
          <a:xfrm>
            <a:off x="7899309" y="5063817"/>
            <a:ext cx="746124" cy="585634"/>
          </a:xfrm>
          <a:prstGeom prst="rect">
            <a:avLst/>
          </a:prstGeom>
          <a:solidFill>
            <a:schemeClr val="accent4">
              <a:alpha val="2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0" name="Rectangle 9">
            <a:extLst>
              <a:ext uri="{FF2B5EF4-FFF2-40B4-BE49-F238E27FC236}">
                <a16:creationId xmlns:a16="http://schemas.microsoft.com/office/drawing/2014/main" id="{00000000-0008-0000-0900-00000A000000}"/>
              </a:ext>
            </a:extLst>
          </xdr:cNvPr>
          <xdr:cNvSpPr/>
        </xdr:nvSpPr>
        <xdr:spPr>
          <a:xfrm>
            <a:off x="8645524" y="1737409"/>
            <a:ext cx="1869986" cy="2733364"/>
          </a:xfrm>
          <a:prstGeom prst="rect">
            <a:avLst/>
          </a:prstGeom>
          <a:solidFill>
            <a:srgbClr val="FF0000">
              <a:alpha val="2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1" name="Rectangle 10">
            <a:extLst>
              <a:ext uri="{FF2B5EF4-FFF2-40B4-BE49-F238E27FC236}">
                <a16:creationId xmlns:a16="http://schemas.microsoft.com/office/drawing/2014/main" id="{00000000-0008-0000-0900-00000B000000}"/>
              </a:ext>
            </a:extLst>
          </xdr:cNvPr>
          <xdr:cNvSpPr/>
        </xdr:nvSpPr>
        <xdr:spPr>
          <a:xfrm>
            <a:off x="7899310" y="1741114"/>
            <a:ext cx="746170" cy="2729659"/>
          </a:xfrm>
          <a:prstGeom prst="rect">
            <a:avLst/>
          </a:prstGeom>
          <a:solidFill>
            <a:srgbClr val="FF0000">
              <a:alpha val="2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nasa-my.sharepoint.com/Users/mtking/Documents/OCFO/SID/0.0%20APARC/1.5%20Consulting/IRBs/MSR%20IRB/Analysis/smartinsights2_MSR.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nasa-my.sharepoint.com/Users/rksmith1/Documents/OCFO/SID/Schedule%20Initative/SMART/SMART_Tool_Version%202.0_.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nasa-my.sharepoint.com/Users/mtking/Documents/OCFO/SID/0.0%20APARC/1.5%20Consulting/IRBs/MSR%20IRB/Analysis/Mars%202020%20KDP-D%20Datasheet%205-21-1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R Charts (2)"/>
      <sheetName val="MSR Charts"/>
      <sheetName val="Analogies_no ATP (2)"/>
      <sheetName val="Analogies_no ATP (3)"/>
      <sheetName val="Chart1"/>
      <sheetName val="Insight"/>
      <sheetName val="Chart2"/>
      <sheetName val="Sheet2"/>
      <sheetName val="Analogies"/>
      <sheetName val="Analogies_no ATP"/>
      <sheetName val="Lunar"/>
      <sheetName val="Earth Orbiting"/>
      <sheetName val="Planetary"/>
      <sheetName val="Astr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1">
          <cell r="A1" t="str">
            <v>IN</v>
          </cell>
          <cell r="B1" t="str">
            <v>Mission</v>
          </cell>
          <cell r="C1" t="str">
            <v>Class</v>
          </cell>
          <cell r="D1" t="str">
            <v>Sub-Class/Program</v>
          </cell>
          <cell r="E1" t="str">
            <v>ATP</v>
          </cell>
          <cell r="F1" t="str">
            <v>SRR</v>
          </cell>
          <cell r="G1" t="str">
            <v>PDR</v>
          </cell>
          <cell r="H1" t="str">
            <v>CDR</v>
          </cell>
          <cell r="I1" t="str">
            <v>SIR</v>
          </cell>
          <cell r="J1" t="str">
            <v>Launch</v>
          </cell>
          <cell r="K1" t="str">
            <v>ATP-SRR</v>
          </cell>
          <cell r="L1" t="str">
            <v>SRR-PDR</v>
          </cell>
          <cell r="M1" t="str">
            <v>PDR-CDR</v>
          </cell>
          <cell r="N1" t="str">
            <v>CDR-SIR</v>
          </cell>
          <cell r="O1" t="str">
            <v>SIR-Launch</v>
          </cell>
          <cell r="P1" t="str">
            <v>ATP-Launch</v>
          </cell>
          <cell r="Q1" t="str">
            <v>atp-launch</v>
          </cell>
          <cell r="R1" t="str">
            <v>SRR-Launch</v>
          </cell>
          <cell r="S1" t="str">
            <v>ATP-SRR</v>
          </cell>
          <cell r="T1" t="str">
            <v>SRR-PDR</v>
          </cell>
          <cell r="U1" t="str">
            <v>PDR-CDR</v>
          </cell>
          <cell r="V1" t="str">
            <v>CDR-SIR</v>
          </cell>
          <cell r="W1" t="str">
            <v>SIR-Launch</v>
          </cell>
          <cell r="X1" t="str">
            <v>ATP-Launch</v>
          </cell>
          <cell r="Y1" t="str">
            <v>SRR-Launch</v>
          </cell>
          <cell r="Z1" t="str">
            <v>Dry Mass (kg)</v>
          </cell>
          <cell r="AA1" t="str">
            <v>Design Life (mo)</v>
          </cell>
          <cell r="AB1" t="str">
            <v>BOL Power (W)</v>
          </cell>
          <cell r="AC1" t="str">
            <v>Max Data Rate (kbps)</v>
          </cell>
          <cell r="AD1" t="str">
            <v>Instrument Count</v>
          </cell>
          <cell r="AE1" t="str">
            <v>Start Year</v>
          </cell>
          <cell r="AF1" t="str">
            <v>Destination</v>
          </cell>
          <cell r="AG1" t="str">
            <v>Primary NASA Center</v>
          </cell>
          <cell r="AH1" t="str">
            <v>Number of Contractors</v>
          </cell>
          <cell r="AI1" t="str">
            <v>Source</v>
          </cell>
        </row>
        <row r="2">
          <cell r="B2" t="str">
            <v>Cassini &amp; Huygens Probe</v>
          </cell>
        </row>
        <row r="3">
          <cell r="B3" t="str">
            <v>CONTOUR</v>
          </cell>
        </row>
        <row r="4">
          <cell r="B4" t="str">
            <v>Dawn</v>
          </cell>
        </row>
        <row r="5">
          <cell r="B5" t="str">
            <v>Deep Impact (Impactor and Flyby S/C)</v>
          </cell>
        </row>
        <row r="6">
          <cell r="B6" t="str">
            <v>Deep Space 1</v>
          </cell>
        </row>
        <row r="7">
          <cell r="B7" t="str">
            <v>Galileo (Orbiter and Probe)</v>
          </cell>
        </row>
        <row r="8">
          <cell r="B8" t="str">
            <v>InSight</v>
          </cell>
        </row>
        <row r="9">
          <cell r="B9" t="str">
            <v>Juno</v>
          </cell>
        </row>
        <row r="10">
          <cell r="B10" t="str">
            <v>MAP</v>
          </cell>
        </row>
        <row r="11">
          <cell r="B11" t="str">
            <v>Mars Climate Orbiter</v>
          </cell>
        </row>
        <row r="12">
          <cell r="B12" t="str">
            <v>Mars Global Surveyor</v>
          </cell>
        </row>
        <row r="13">
          <cell r="B13" t="str">
            <v>Mars Observer</v>
          </cell>
        </row>
        <row r="14">
          <cell r="B14" t="str">
            <v>Mars Odyssey</v>
          </cell>
        </row>
        <row r="15">
          <cell r="B15" t="str">
            <v>Mars Pathfinder</v>
          </cell>
        </row>
        <row r="16">
          <cell r="B16" t="str">
            <v>Mars Polar Lander</v>
          </cell>
        </row>
        <row r="17">
          <cell r="B17" t="str">
            <v>MAVEN</v>
          </cell>
        </row>
        <row r="18">
          <cell r="B18" t="str">
            <v>MER-A</v>
          </cell>
        </row>
        <row r="19">
          <cell r="B19" t="str">
            <v>MER-B</v>
          </cell>
        </row>
        <row r="20">
          <cell r="B20" t="str">
            <v>MESSENGER</v>
          </cell>
        </row>
        <row r="21">
          <cell r="B21" t="str">
            <v>MRO</v>
          </cell>
        </row>
        <row r="22">
          <cell r="B22" t="str">
            <v>MSL</v>
          </cell>
        </row>
        <row r="23">
          <cell r="B23" t="str">
            <v>New Horizons</v>
          </cell>
        </row>
        <row r="24">
          <cell r="B24" t="str">
            <v>OSIRIS-REX</v>
          </cell>
        </row>
        <row r="25">
          <cell r="B25" t="str">
            <v>Phoenix</v>
          </cell>
        </row>
        <row r="26">
          <cell r="B26" t="str">
            <v>Stardust (Including Sample Return Capsule)</v>
          </cell>
        </row>
        <row r="27">
          <cell r="B27" t="str">
            <v>Viking Lander (Viking 1 Lander)</v>
          </cell>
        </row>
        <row r="28">
          <cell r="B28" t="str">
            <v>Viking Orbiter (Viking 1 Orbiter)</v>
          </cell>
        </row>
        <row r="29">
          <cell r="B29" t="str">
            <v>Voyager (Parameters Reflect One S/C)</v>
          </cell>
        </row>
        <row r="30">
          <cell r="B30" t="str">
            <v>M2020</v>
          </cell>
        </row>
        <row r="31">
          <cell r="B31" t="str">
            <v>Psyche</v>
          </cell>
        </row>
        <row r="32">
          <cell r="B32" t="str">
            <v>MSR</v>
          </cell>
        </row>
      </sheetData>
      <sheetData sheetId="9" refreshError="1"/>
      <sheetData sheetId="10" refreshError="1"/>
      <sheetData sheetId="11" refreshError="1"/>
      <sheetData sheetId="12" refreshError="1"/>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End"/>
      <sheetName val="Analogies"/>
      <sheetName val="Input Distributions"/>
      <sheetName val="Analysis Results"/>
      <sheetName val="QuickCost SERs"/>
      <sheetName val="MCR SERs"/>
      <sheetName val="SAIC SERs"/>
      <sheetName val="SAIC Output"/>
      <sheetName val="NASA SERs"/>
      <sheetName val="Back End"/>
      <sheetName val="Raw Results"/>
      <sheetName val="Raw Scores"/>
      <sheetName val="QuickCost Satellite DB"/>
    </sheetNames>
    <sheetDataSet>
      <sheetData sheetId="0">
        <row r="12">
          <cell r="F12">
            <v>63</v>
          </cell>
        </row>
        <row r="25">
          <cell r="F25" t="str">
            <v>Planetary</v>
          </cell>
        </row>
        <row r="26">
          <cell r="F26" t="str">
            <v>Any</v>
          </cell>
        </row>
      </sheetData>
      <sheetData sheetId="1" refreshError="1"/>
      <sheetData sheetId="2" refreshError="1"/>
      <sheetData sheetId="3" refreshError="1"/>
      <sheetData sheetId="4" refreshError="1"/>
      <sheetData sheetId="5" refreshError="1"/>
      <sheetData sheetId="6" refreshError="1"/>
      <sheetData sheetId="7" refreshError="1"/>
      <sheetData sheetId="8">
        <row r="5">
          <cell r="E5">
            <v>1668</v>
          </cell>
        </row>
        <row r="6">
          <cell r="E6">
            <v>24</v>
          </cell>
        </row>
        <row r="8">
          <cell r="E8">
            <v>58</v>
          </cell>
        </row>
        <row r="9">
          <cell r="E9">
            <v>3800</v>
          </cell>
        </row>
        <row r="10">
          <cell r="E10">
            <v>9</v>
          </cell>
        </row>
      </sheetData>
      <sheetData sheetId="9">
        <row r="4">
          <cell r="D4" t="b">
            <v>1</v>
          </cell>
        </row>
        <row r="5">
          <cell r="D5">
            <v>34</v>
          </cell>
        </row>
        <row r="76">
          <cell r="S76">
            <v>0</v>
          </cell>
          <cell r="T76">
            <v>0</v>
          </cell>
        </row>
      </sheetData>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gency Totals"/>
      <sheetName val="SMD"/>
      <sheetName val="HEOMD &amp; STMD"/>
      <sheetName val="HEOMD &amp; STMD Breakout"/>
      <sheetName val="Sheet1"/>
    </sheetNames>
    <sheetDataSet>
      <sheetData sheetId="0" refreshError="1"/>
      <sheetData sheetId="1" refreshError="1"/>
      <sheetData sheetId="2" refreshError="1"/>
      <sheetData sheetId="3" refreshError="1"/>
      <sheetData sheetId="4">
        <row r="1">
          <cell r="A1" t="str">
            <v>SMD WBS1</v>
          </cell>
          <cell r="B1" t="str">
            <v>Tech Development</v>
          </cell>
          <cell r="E1" t="str">
            <v>SMD WBS</v>
          </cell>
        </row>
        <row r="2">
          <cell r="A2" t="str">
            <v>SMD WBS2</v>
          </cell>
          <cell r="B2" t="str">
            <v>Aircraft/Spacecraft</v>
          </cell>
          <cell r="E2" t="str">
            <v>SLS WBS</v>
          </cell>
        </row>
        <row r="3">
          <cell r="A3" t="str">
            <v>SMD WBS3</v>
          </cell>
          <cell r="B3" t="str">
            <v>Payload(s)</v>
          </cell>
          <cell r="E3" t="str">
            <v>SGSS WBS</v>
          </cell>
        </row>
        <row r="4">
          <cell r="A4" t="str">
            <v>SMD WBS4</v>
          </cell>
          <cell r="B4" t="str">
            <v>Systems I&amp;T</v>
          </cell>
          <cell r="E4" t="str">
            <v>EGS-GSDO WBS</v>
          </cell>
        </row>
        <row r="5">
          <cell r="A5" t="str">
            <v>SMD WBS5</v>
          </cell>
          <cell r="B5" t="str">
            <v>Launch Vehicle/Services</v>
          </cell>
          <cell r="E5" t="str">
            <v>Orion WBS</v>
          </cell>
        </row>
        <row r="6">
          <cell r="A6" t="str">
            <v>SMD WBS6</v>
          </cell>
          <cell r="B6" t="str">
            <v>Ground Systems</v>
          </cell>
        </row>
        <row r="7">
          <cell r="A7" t="str">
            <v>SMD WBS7</v>
          </cell>
          <cell r="B7" t="str">
            <v>Science Technology</v>
          </cell>
        </row>
        <row r="8">
          <cell r="A8" t="str">
            <v>SMD WBS8</v>
          </cell>
          <cell r="B8" t="str">
            <v>Other direct project cost</v>
          </cell>
        </row>
        <row r="9">
          <cell r="A9" t="str">
            <v>SMD WBS9</v>
          </cell>
          <cell r="B9" t="str">
            <v>Project-managed UFE</v>
          </cell>
        </row>
        <row r="10">
          <cell r="A10" t="str">
            <v>SLS WBS1</v>
          </cell>
          <cell r="B10" t="str">
            <v>Stages Element</v>
          </cell>
        </row>
        <row r="11">
          <cell r="A11" t="str">
            <v>SLS WBS2</v>
          </cell>
          <cell r="B11" t="str">
            <v>Liquid Engines Office</v>
          </cell>
        </row>
        <row r="12">
          <cell r="A12" t="str">
            <v>SLS WBS3</v>
          </cell>
          <cell r="B12" t="str">
            <v>Booster Element</v>
          </cell>
        </row>
        <row r="13">
          <cell r="A13" t="str">
            <v>SLS WBS4</v>
          </cell>
          <cell r="B13" t="str">
            <v>SPIE</v>
          </cell>
        </row>
        <row r="14">
          <cell r="A14" t="str">
            <v>SLS WBS5</v>
          </cell>
          <cell r="B14" t="str">
            <v>Other direct project cost</v>
          </cell>
        </row>
        <row r="15">
          <cell r="A15" t="str">
            <v>SLS WBS6</v>
          </cell>
          <cell r="B15" t="str">
            <v>Program-managed UFE</v>
          </cell>
        </row>
        <row r="16">
          <cell r="A16" t="str">
            <v>SGSS WBS1</v>
          </cell>
          <cell r="B16" t="str">
            <v>Project Management</v>
          </cell>
        </row>
        <row r="17">
          <cell r="A17" t="str">
            <v>SGSS WBS2</v>
          </cell>
          <cell r="B17" t="str">
            <v>Ground Systems</v>
          </cell>
        </row>
        <row r="18">
          <cell r="A18" t="str">
            <v>SGSS WBS3</v>
          </cell>
          <cell r="B18" t="str">
            <v>System I&amp;T</v>
          </cell>
        </row>
        <row r="19">
          <cell r="A19" t="str">
            <v>SGSS WBS4</v>
          </cell>
          <cell r="B19" t="str">
            <v>Deployment/Transition</v>
          </cell>
        </row>
        <row r="20">
          <cell r="A20" t="str">
            <v>SGSS WBS5</v>
          </cell>
          <cell r="B20" t="str">
            <v>Other direct project cost</v>
          </cell>
        </row>
        <row r="21">
          <cell r="A21" t="str">
            <v>SGSS WBS6</v>
          </cell>
          <cell r="B21" t="str">
            <v>Project Level UFE</v>
          </cell>
        </row>
        <row r="22">
          <cell r="A22" t="str">
            <v>EGS-GSDO WBS1</v>
          </cell>
          <cell r="B22" t="str">
            <v>Mobile Launcher</v>
          </cell>
        </row>
        <row r="23">
          <cell r="A23" t="str">
            <v>EGS-GSDO WBS2</v>
          </cell>
          <cell r="B23" t="str">
            <v>LC-39B Pad</v>
          </cell>
        </row>
        <row r="24">
          <cell r="A24" t="str">
            <v>EGS-GSDO WBS3</v>
          </cell>
          <cell r="B24" t="str">
            <v>VAB</v>
          </cell>
        </row>
        <row r="25">
          <cell r="A25" t="str">
            <v>EGS-GSDO WBS4</v>
          </cell>
          <cell r="B25" t="str">
            <v>Command, Control &amp; Comm</v>
          </cell>
        </row>
        <row r="26">
          <cell r="A26" t="str">
            <v>EGS-GSDO WBS5</v>
          </cell>
          <cell r="B26" t="str">
            <v>Offline Processing &amp; Infrastructure</v>
          </cell>
        </row>
        <row r="27">
          <cell r="A27" t="str">
            <v>EGS-GSDO WBS6</v>
          </cell>
          <cell r="B27" t="str">
            <v>Other direct project cost</v>
          </cell>
        </row>
        <row r="28">
          <cell r="A28" t="str">
            <v>EGS-GSDO WBS7</v>
          </cell>
          <cell r="B28" t="str">
            <v>Project-Managed UFE</v>
          </cell>
        </row>
        <row r="29">
          <cell r="A29" t="str">
            <v>Orion WBS1</v>
          </cell>
          <cell r="B29" t="str">
            <v>Program Management</v>
          </cell>
        </row>
        <row r="30">
          <cell r="A30" t="str">
            <v>Orion WBS2</v>
          </cell>
          <cell r="B30" t="str">
            <v>Systems Engineering</v>
          </cell>
        </row>
        <row r="31">
          <cell r="A31" t="str">
            <v>Orion WBS3</v>
          </cell>
          <cell r="B31" t="str">
            <v>Safety and Mission Assurance</v>
          </cell>
        </row>
        <row r="32">
          <cell r="A32" t="str">
            <v>Orion WBS4</v>
          </cell>
          <cell r="B32" t="str">
            <v>Spacecraft and Payload Integration</v>
          </cell>
        </row>
        <row r="33">
          <cell r="A33" t="str">
            <v>Orion WBS5</v>
          </cell>
          <cell r="B33" t="str">
            <v>Mission Operations System</v>
          </cell>
        </row>
        <row r="34">
          <cell r="A34" t="str">
            <v>Orion WBS6</v>
          </cell>
          <cell r="B34" t="str">
            <v>Test &amp; Verification</v>
          </cell>
        </row>
        <row r="35">
          <cell r="A35" t="str">
            <v>Orion WBS7</v>
          </cell>
          <cell r="B35" t="str">
            <v>Other direct project cost</v>
          </cell>
        </row>
        <row r="36">
          <cell r="A36" t="str">
            <v>Orion WBS8</v>
          </cell>
          <cell r="B36" t="str">
            <v>Project-Managed UFE</v>
          </cell>
        </row>
      </sheetData>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672F0-2616-4BC5-BB4D-273993F31728}">
  <sheetPr>
    <tabColor rgb="FFFFFF00"/>
  </sheetPr>
  <dimension ref="A1:A3"/>
  <sheetViews>
    <sheetView workbookViewId="0">
      <selection activeCell="E10" sqref="E10"/>
    </sheetView>
  </sheetViews>
  <sheetFormatPr defaultRowHeight="15" x14ac:dyDescent="0.25"/>
  <cols>
    <col min="1" max="1" width="79.140625" customWidth="1"/>
  </cols>
  <sheetData>
    <row r="1" spans="1:1" x14ac:dyDescent="0.25">
      <c r="A1" t="s">
        <v>136</v>
      </c>
    </row>
    <row r="3" spans="1:1" ht="75" x14ac:dyDescent="0.25">
      <c r="A3" s="522" t="s">
        <v>235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AF6DC-7009-4B14-8167-E10A1D77CCB9}">
  <sheetPr>
    <tabColor theme="4" tint="0.59999389629810485"/>
  </sheetPr>
  <dimension ref="B1:FT134"/>
  <sheetViews>
    <sheetView topLeftCell="I97" zoomScale="85" zoomScaleNormal="85" workbookViewId="0">
      <selection activeCell="I112" sqref="I112"/>
    </sheetView>
  </sheetViews>
  <sheetFormatPr defaultRowHeight="15" x14ac:dyDescent="0.25"/>
  <cols>
    <col min="1" max="1" width="5.42578125" customWidth="1"/>
    <col min="2" max="2" width="28.85546875" customWidth="1"/>
    <col min="3" max="3" width="65.42578125" customWidth="1"/>
    <col min="7" max="7" width="53.5703125" bestFit="1" customWidth="1"/>
    <col min="8" max="8" width="30.85546875" bestFit="1" customWidth="1"/>
    <col min="112" max="176" width="9.140625" customWidth="1"/>
  </cols>
  <sheetData>
    <row r="1" spans="2:176" ht="18.75" x14ac:dyDescent="0.3">
      <c r="B1" s="231" t="s">
        <v>162</v>
      </c>
    </row>
    <row r="3" spans="2:176" x14ac:dyDescent="0.25">
      <c r="B3" t="s">
        <v>75</v>
      </c>
    </row>
    <row r="4" spans="2:176" x14ac:dyDescent="0.25">
      <c r="B4" t="s">
        <v>76</v>
      </c>
    </row>
    <row r="7" spans="2:176" ht="15.75" thickBot="1" x14ac:dyDescent="0.3"/>
    <row r="8" spans="2:176" ht="16.5" thickBot="1" x14ac:dyDescent="0.3">
      <c r="G8" s="7"/>
      <c r="H8" s="2">
        <v>43101</v>
      </c>
      <c r="I8" s="2">
        <v>43132</v>
      </c>
      <c r="J8" s="2">
        <v>43160</v>
      </c>
      <c r="K8" s="2">
        <v>43191</v>
      </c>
      <c r="L8" s="2">
        <v>43221</v>
      </c>
      <c r="M8" s="2">
        <v>43252</v>
      </c>
      <c r="N8" s="2">
        <v>43282</v>
      </c>
      <c r="O8" s="2">
        <v>43313</v>
      </c>
      <c r="P8" s="2">
        <v>43344</v>
      </c>
      <c r="Q8" s="2">
        <v>43374</v>
      </c>
      <c r="R8" s="2">
        <v>43405</v>
      </c>
      <c r="S8" s="2">
        <v>43435</v>
      </c>
      <c r="T8" s="2">
        <v>43466</v>
      </c>
      <c r="U8" s="2">
        <v>43497</v>
      </c>
      <c r="V8" s="2">
        <v>43525</v>
      </c>
      <c r="W8" s="2">
        <v>43556</v>
      </c>
      <c r="X8" s="2">
        <v>43586</v>
      </c>
      <c r="Y8" s="2">
        <v>43617</v>
      </c>
      <c r="Z8" s="2">
        <v>43647</v>
      </c>
      <c r="AA8" s="2">
        <v>43678</v>
      </c>
      <c r="AB8" s="2">
        <v>43709</v>
      </c>
      <c r="AC8" s="2">
        <v>43739</v>
      </c>
      <c r="AD8" s="2">
        <v>43770</v>
      </c>
      <c r="AE8" s="2">
        <v>43800</v>
      </c>
      <c r="AF8" s="2">
        <v>43831</v>
      </c>
      <c r="AG8" s="2">
        <v>43862</v>
      </c>
      <c r="AH8" s="2">
        <v>43891</v>
      </c>
      <c r="AI8" s="2">
        <v>43922</v>
      </c>
      <c r="AJ8" s="2">
        <v>43952</v>
      </c>
      <c r="AK8" s="2">
        <v>43983</v>
      </c>
      <c r="AL8" s="2">
        <v>44013</v>
      </c>
      <c r="AM8" s="2">
        <v>44044</v>
      </c>
      <c r="AN8" s="2">
        <v>44075</v>
      </c>
      <c r="AO8" s="2">
        <v>44105</v>
      </c>
      <c r="AP8" s="2">
        <v>44136</v>
      </c>
      <c r="AQ8" s="2">
        <v>44166</v>
      </c>
      <c r="AR8" s="2">
        <v>44197</v>
      </c>
      <c r="AS8" s="2">
        <v>44228</v>
      </c>
      <c r="AT8" s="2">
        <v>44256</v>
      </c>
      <c r="AU8" s="2">
        <v>44287</v>
      </c>
      <c r="AV8" s="2">
        <v>44317</v>
      </c>
      <c r="AW8" s="2">
        <v>44348</v>
      </c>
      <c r="AX8" s="2">
        <v>44378</v>
      </c>
      <c r="AY8" s="2">
        <v>44409</v>
      </c>
      <c r="AZ8" s="2">
        <v>44440</v>
      </c>
      <c r="BA8" s="2">
        <v>44470</v>
      </c>
      <c r="BB8" s="2">
        <v>44501</v>
      </c>
      <c r="BC8" s="2">
        <v>44531</v>
      </c>
      <c r="BD8" s="2">
        <v>44562</v>
      </c>
      <c r="BE8" s="2">
        <v>44593</v>
      </c>
      <c r="BF8" s="2">
        <v>44621</v>
      </c>
      <c r="BG8" s="2">
        <v>44652</v>
      </c>
      <c r="BH8" s="2">
        <v>44682</v>
      </c>
      <c r="BI8" s="2">
        <v>44713</v>
      </c>
      <c r="BJ8" s="2">
        <v>44743</v>
      </c>
      <c r="BK8" s="2">
        <v>44774</v>
      </c>
      <c r="BL8" s="2">
        <v>44805</v>
      </c>
      <c r="BM8" s="2">
        <v>44835</v>
      </c>
      <c r="BN8" s="2">
        <v>44866</v>
      </c>
      <c r="BO8" s="2">
        <v>44896</v>
      </c>
      <c r="BP8" s="2">
        <v>44927</v>
      </c>
      <c r="BQ8" s="2">
        <v>44958</v>
      </c>
      <c r="BR8" s="2">
        <v>44986</v>
      </c>
      <c r="BS8" s="2">
        <v>45017</v>
      </c>
      <c r="BT8" s="2">
        <v>45047</v>
      </c>
      <c r="BU8" s="2">
        <v>45078</v>
      </c>
      <c r="BV8" s="2">
        <v>45108</v>
      </c>
      <c r="BW8" s="2">
        <v>45139</v>
      </c>
      <c r="BX8" s="2">
        <v>45170</v>
      </c>
      <c r="BY8" s="2">
        <v>45200</v>
      </c>
      <c r="BZ8" s="2">
        <v>45231</v>
      </c>
      <c r="CA8" s="2">
        <v>45261</v>
      </c>
      <c r="CB8" s="2">
        <v>45292</v>
      </c>
      <c r="CC8" s="2">
        <v>45323</v>
      </c>
      <c r="CD8" s="2">
        <v>45352</v>
      </c>
      <c r="CE8" s="2">
        <v>45383</v>
      </c>
      <c r="CF8" s="2">
        <v>45413</v>
      </c>
      <c r="CG8" s="2">
        <v>45444</v>
      </c>
      <c r="CH8" s="2">
        <v>45474</v>
      </c>
      <c r="CI8" s="2">
        <v>45505</v>
      </c>
      <c r="CJ8" s="2">
        <v>45536</v>
      </c>
      <c r="CK8" s="2">
        <v>45566</v>
      </c>
      <c r="CL8" s="2">
        <v>45597</v>
      </c>
      <c r="CM8" s="2">
        <v>45627</v>
      </c>
      <c r="CN8" s="2">
        <v>45658</v>
      </c>
      <c r="CO8" s="2">
        <v>45689</v>
      </c>
      <c r="CP8" s="2">
        <v>45717</v>
      </c>
      <c r="CQ8" s="2">
        <v>45748</v>
      </c>
      <c r="CR8" s="2">
        <v>45778</v>
      </c>
      <c r="CS8" s="2">
        <v>45809</v>
      </c>
      <c r="CT8" s="2">
        <v>45839</v>
      </c>
      <c r="CU8" s="2">
        <v>45870</v>
      </c>
      <c r="CV8" s="2">
        <v>45901</v>
      </c>
      <c r="CW8" s="2">
        <v>45931</v>
      </c>
      <c r="CX8" s="2">
        <v>45962</v>
      </c>
      <c r="CY8" s="2">
        <v>45992</v>
      </c>
      <c r="CZ8" s="2">
        <v>46023</v>
      </c>
      <c r="DA8" s="2">
        <v>46054</v>
      </c>
      <c r="DB8" s="2">
        <v>46082</v>
      </c>
      <c r="DC8" s="2">
        <v>46113</v>
      </c>
      <c r="DD8" s="2">
        <v>46143</v>
      </c>
      <c r="DE8" s="2">
        <v>46174</v>
      </c>
      <c r="DF8" s="2">
        <v>46204</v>
      </c>
      <c r="DG8" s="2">
        <v>46235</v>
      </c>
      <c r="DH8" s="2">
        <v>46266</v>
      </c>
      <c r="DI8" s="2">
        <v>46296</v>
      </c>
      <c r="DJ8" s="2">
        <v>46327</v>
      </c>
      <c r="DK8" s="2">
        <v>46357</v>
      </c>
      <c r="DL8" s="2">
        <v>46388</v>
      </c>
      <c r="DM8" s="2">
        <v>46419</v>
      </c>
      <c r="DN8" s="2">
        <v>46447</v>
      </c>
      <c r="DO8" s="2">
        <v>46478</v>
      </c>
      <c r="DP8" s="2">
        <v>46508</v>
      </c>
      <c r="DQ8" s="2">
        <v>46539</v>
      </c>
      <c r="DR8" s="2">
        <v>46569</v>
      </c>
      <c r="DS8" s="2">
        <v>46600</v>
      </c>
      <c r="DT8" s="2">
        <v>46631</v>
      </c>
      <c r="DU8" s="2">
        <v>46661</v>
      </c>
      <c r="DV8" s="2">
        <v>46692</v>
      </c>
      <c r="DW8" s="2">
        <v>46722</v>
      </c>
      <c r="DX8" s="2">
        <v>46753</v>
      </c>
      <c r="DY8" s="2">
        <v>46784</v>
      </c>
      <c r="DZ8" s="2">
        <v>46813</v>
      </c>
      <c r="EA8" s="2">
        <v>46844</v>
      </c>
      <c r="EB8" s="2">
        <v>46874</v>
      </c>
      <c r="EC8" s="2">
        <v>46905</v>
      </c>
      <c r="ED8" s="2">
        <v>46935</v>
      </c>
      <c r="EE8" s="2">
        <v>46966</v>
      </c>
      <c r="EF8" s="2">
        <v>46997</v>
      </c>
      <c r="EG8" s="2">
        <v>47027</v>
      </c>
      <c r="EH8" s="2">
        <v>47058</v>
      </c>
      <c r="EI8" s="2">
        <v>47088</v>
      </c>
      <c r="EJ8" s="2">
        <v>47119</v>
      </c>
      <c r="EK8" s="2">
        <v>47150</v>
      </c>
      <c r="EL8" s="2">
        <v>47178</v>
      </c>
      <c r="EM8" s="2">
        <v>47209</v>
      </c>
      <c r="EN8" s="2">
        <v>47239</v>
      </c>
      <c r="EO8" s="2">
        <v>47270</v>
      </c>
      <c r="EP8" s="2">
        <v>47300</v>
      </c>
      <c r="EQ8" s="2">
        <v>47331</v>
      </c>
      <c r="ER8" s="2">
        <v>47362</v>
      </c>
      <c r="ES8" s="2">
        <v>47392</v>
      </c>
      <c r="ET8" s="2">
        <v>47423</v>
      </c>
      <c r="EU8" s="2">
        <v>47453</v>
      </c>
      <c r="EV8" s="2">
        <v>47484</v>
      </c>
      <c r="EW8" s="2">
        <v>47515</v>
      </c>
      <c r="EX8" s="2">
        <v>47543</v>
      </c>
      <c r="EY8" s="2">
        <v>47574</v>
      </c>
      <c r="EZ8" s="2">
        <v>47604</v>
      </c>
      <c r="FA8" s="2">
        <v>47635</v>
      </c>
      <c r="FB8" s="2">
        <v>47665</v>
      </c>
      <c r="FC8" s="2">
        <v>47696</v>
      </c>
      <c r="FD8" s="2">
        <v>47727</v>
      </c>
      <c r="FE8" s="2">
        <v>47757</v>
      </c>
      <c r="FF8" s="2">
        <v>47788</v>
      </c>
      <c r="FG8" s="2">
        <v>47818</v>
      </c>
      <c r="FH8" s="2">
        <v>47849</v>
      </c>
      <c r="FI8" s="2">
        <v>47880</v>
      </c>
      <c r="FJ8" s="2">
        <v>47908</v>
      </c>
      <c r="FK8" s="2">
        <v>47939</v>
      </c>
      <c r="FL8" s="2">
        <v>47969</v>
      </c>
      <c r="FM8" s="2">
        <v>48000</v>
      </c>
      <c r="FN8" s="2">
        <v>48030</v>
      </c>
      <c r="FO8" s="2">
        <v>48061</v>
      </c>
      <c r="FP8" s="2">
        <v>48092</v>
      </c>
      <c r="FQ8" s="2">
        <v>48122</v>
      </c>
      <c r="FR8" s="2">
        <v>48153</v>
      </c>
      <c r="FS8" s="2">
        <v>48183</v>
      </c>
      <c r="FT8" s="31">
        <v>48214</v>
      </c>
    </row>
    <row r="9" spans="2:176" x14ac:dyDescent="0.25">
      <c r="G9" s="9" t="s">
        <v>21</v>
      </c>
      <c r="H9" s="332">
        <v>45746</v>
      </c>
      <c r="I9" s="332">
        <v>45746</v>
      </c>
      <c r="J9" s="332">
        <v>45746</v>
      </c>
      <c r="K9" s="332">
        <v>45746</v>
      </c>
      <c r="L9" s="332">
        <v>45746</v>
      </c>
      <c r="M9" s="332">
        <v>45746</v>
      </c>
      <c r="N9" s="332">
        <v>45746</v>
      </c>
      <c r="O9" s="332">
        <v>45746</v>
      </c>
      <c r="P9" s="332">
        <v>45746</v>
      </c>
      <c r="Q9" s="332">
        <v>45746</v>
      </c>
      <c r="R9" s="332">
        <v>45746</v>
      </c>
      <c r="S9" s="332">
        <v>45746</v>
      </c>
      <c r="T9" s="332">
        <v>45746</v>
      </c>
      <c r="U9" s="332">
        <v>45746</v>
      </c>
      <c r="V9" s="332">
        <v>45746</v>
      </c>
      <c r="W9" s="332">
        <v>45746</v>
      </c>
      <c r="X9" s="332">
        <v>45746</v>
      </c>
      <c r="Y9" s="332">
        <v>45746</v>
      </c>
      <c r="Z9" s="332">
        <v>45746</v>
      </c>
      <c r="AA9" s="332">
        <v>45746</v>
      </c>
      <c r="AB9" s="332">
        <v>45746</v>
      </c>
      <c r="AC9" s="332">
        <v>45746</v>
      </c>
      <c r="AD9" s="332">
        <v>45746</v>
      </c>
      <c r="AE9" s="332">
        <v>45746</v>
      </c>
      <c r="AF9" s="332">
        <v>45746</v>
      </c>
      <c r="AG9" s="332">
        <v>45746</v>
      </c>
      <c r="AH9" s="332">
        <v>45746</v>
      </c>
      <c r="AI9" s="332">
        <v>45746</v>
      </c>
      <c r="AJ9" s="332">
        <v>45746</v>
      </c>
      <c r="AK9" s="332">
        <v>45746</v>
      </c>
      <c r="AL9" s="332">
        <v>45746</v>
      </c>
      <c r="AM9" s="332">
        <v>45746</v>
      </c>
      <c r="AN9" s="332">
        <v>45746</v>
      </c>
      <c r="AO9" s="332">
        <v>45746</v>
      </c>
      <c r="AP9" s="332">
        <v>45746</v>
      </c>
      <c r="AQ9" s="332">
        <v>45746</v>
      </c>
      <c r="AR9" s="332">
        <v>45746</v>
      </c>
      <c r="AS9" s="332">
        <v>45746</v>
      </c>
      <c r="AT9" s="332">
        <v>45746</v>
      </c>
      <c r="AU9" s="332">
        <v>45746</v>
      </c>
      <c r="AV9" s="332">
        <v>45746</v>
      </c>
      <c r="AW9" s="332">
        <v>45746</v>
      </c>
      <c r="AX9" s="332">
        <v>45746</v>
      </c>
      <c r="AY9" s="332">
        <v>45746</v>
      </c>
      <c r="AZ9" s="332">
        <v>45746</v>
      </c>
      <c r="BA9" s="332">
        <v>45746</v>
      </c>
      <c r="BB9" s="332">
        <v>45746</v>
      </c>
      <c r="BC9" s="332">
        <v>45746</v>
      </c>
      <c r="BD9" s="332">
        <v>45746</v>
      </c>
      <c r="BE9" s="332">
        <v>45746</v>
      </c>
      <c r="BF9" s="332">
        <v>45746</v>
      </c>
      <c r="BG9" s="332">
        <v>45746</v>
      </c>
      <c r="BH9" s="332">
        <v>45746</v>
      </c>
      <c r="BI9" s="332">
        <v>45746</v>
      </c>
      <c r="BJ9" s="332">
        <v>45746</v>
      </c>
      <c r="BK9" s="332">
        <v>45746</v>
      </c>
      <c r="BL9" s="332">
        <v>45746</v>
      </c>
      <c r="BM9" s="332">
        <v>45746</v>
      </c>
      <c r="BN9" s="332">
        <v>45746</v>
      </c>
      <c r="BO9" s="332">
        <v>45746</v>
      </c>
      <c r="BP9" s="332">
        <v>45746</v>
      </c>
      <c r="BQ9" s="332">
        <v>45746</v>
      </c>
      <c r="BR9" s="332">
        <v>45746</v>
      </c>
      <c r="BS9" s="332">
        <v>45746</v>
      </c>
      <c r="BT9" s="332">
        <v>45746</v>
      </c>
      <c r="BU9" s="332">
        <v>45746</v>
      </c>
      <c r="BV9" s="332">
        <v>45746</v>
      </c>
      <c r="BW9" s="332">
        <v>45746</v>
      </c>
      <c r="BX9" s="332">
        <v>45746</v>
      </c>
      <c r="BY9" s="332">
        <v>45746</v>
      </c>
      <c r="BZ9" s="332">
        <v>45746</v>
      </c>
      <c r="CA9" s="332">
        <v>45746</v>
      </c>
      <c r="CB9" s="332">
        <v>45746</v>
      </c>
      <c r="CC9" s="332">
        <v>45746</v>
      </c>
      <c r="CD9" s="332">
        <v>45746</v>
      </c>
      <c r="CE9" s="332">
        <v>45746</v>
      </c>
      <c r="CF9" s="332">
        <v>45746</v>
      </c>
      <c r="CG9" s="332">
        <v>45746</v>
      </c>
      <c r="CH9" s="332">
        <v>45746</v>
      </c>
      <c r="CI9" s="332">
        <v>45746</v>
      </c>
      <c r="CJ9" s="332">
        <v>45746</v>
      </c>
      <c r="CK9" s="332">
        <v>45746</v>
      </c>
      <c r="CL9" s="332">
        <v>45746</v>
      </c>
      <c r="CM9" s="332">
        <v>45746</v>
      </c>
      <c r="CN9" s="332">
        <v>45746</v>
      </c>
      <c r="CO9" s="332">
        <v>45746</v>
      </c>
      <c r="CP9" s="332">
        <v>45746</v>
      </c>
      <c r="CQ9" s="332">
        <v>45746</v>
      </c>
      <c r="CR9" s="332">
        <v>45746</v>
      </c>
      <c r="CS9" s="332">
        <v>45746</v>
      </c>
      <c r="CT9" s="332">
        <v>45746</v>
      </c>
      <c r="CU9" s="332">
        <v>45746</v>
      </c>
      <c r="CV9" s="332">
        <v>45746</v>
      </c>
      <c r="CW9" s="332">
        <v>45746</v>
      </c>
      <c r="CX9" s="332">
        <v>45746</v>
      </c>
      <c r="CY9" s="332">
        <v>45746</v>
      </c>
      <c r="CZ9" s="332">
        <v>45746</v>
      </c>
      <c r="DA9" s="332">
        <v>45746</v>
      </c>
      <c r="DB9" s="332">
        <v>45746</v>
      </c>
      <c r="DC9" s="332">
        <v>45746</v>
      </c>
      <c r="DD9" s="332">
        <v>45746</v>
      </c>
      <c r="DE9" s="332">
        <v>45746</v>
      </c>
      <c r="DF9" s="332">
        <v>45746</v>
      </c>
      <c r="DG9" s="332">
        <v>45746</v>
      </c>
      <c r="DH9" s="5" t="s">
        <v>9</v>
      </c>
      <c r="DI9" s="5" t="s">
        <v>9</v>
      </c>
      <c r="DJ9" s="5" t="s">
        <v>9</v>
      </c>
      <c r="DK9" s="5" t="s">
        <v>9</v>
      </c>
      <c r="DL9" s="5" t="s">
        <v>9</v>
      </c>
      <c r="DM9" s="5" t="s">
        <v>9</v>
      </c>
      <c r="DN9" s="5" t="s">
        <v>9</v>
      </c>
      <c r="DO9" s="5" t="s">
        <v>9</v>
      </c>
      <c r="DP9" s="5" t="s">
        <v>9</v>
      </c>
      <c r="DQ9" s="5" t="s">
        <v>9</v>
      </c>
      <c r="DR9" s="5" t="s">
        <v>9</v>
      </c>
      <c r="DS9" s="5" t="s">
        <v>9</v>
      </c>
      <c r="DT9" s="5" t="s">
        <v>9</v>
      </c>
      <c r="DU9" s="5" t="s">
        <v>9</v>
      </c>
      <c r="DV9" s="5" t="s">
        <v>9</v>
      </c>
      <c r="DW9" s="5" t="s">
        <v>9</v>
      </c>
      <c r="DX9" s="5" t="s">
        <v>9</v>
      </c>
      <c r="DY9" s="5" t="s">
        <v>9</v>
      </c>
      <c r="DZ9" s="5" t="s">
        <v>9</v>
      </c>
      <c r="EA9" s="5" t="s">
        <v>9</v>
      </c>
      <c r="EB9" s="5" t="s">
        <v>9</v>
      </c>
      <c r="EC9" s="5" t="s">
        <v>9</v>
      </c>
      <c r="ED9" s="5" t="s">
        <v>9</v>
      </c>
      <c r="EE9" s="5" t="s">
        <v>9</v>
      </c>
      <c r="EF9" s="5" t="s">
        <v>9</v>
      </c>
      <c r="EG9" s="5" t="s">
        <v>9</v>
      </c>
      <c r="EH9" s="5" t="s">
        <v>9</v>
      </c>
      <c r="EI9" s="5" t="s">
        <v>9</v>
      </c>
      <c r="EJ9" s="5" t="s">
        <v>9</v>
      </c>
      <c r="EK9" s="5" t="s">
        <v>9</v>
      </c>
      <c r="EL9" s="5" t="s">
        <v>9</v>
      </c>
      <c r="EM9" s="5" t="s">
        <v>9</v>
      </c>
      <c r="EN9" s="5" t="s">
        <v>9</v>
      </c>
      <c r="EO9" s="5" t="s">
        <v>9</v>
      </c>
      <c r="EP9" s="5" t="s">
        <v>9</v>
      </c>
      <c r="EQ9" s="5" t="s">
        <v>9</v>
      </c>
      <c r="ER9" s="5" t="s">
        <v>9</v>
      </c>
      <c r="ES9" s="5" t="s">
        <v>9</v>
      </c>
      <c r="ET9" s="5" t="s">
        <v>9</v>
      </c>
      <c r="EU9" s="5" t="s">
        <v>9</v>
      </c>
      <c r="EV9" s="5" t="s">
        <v>9</v>
      </c>
      <c r="EW9" s="5" t="s">
        <v>9</v>
      </c>
      <c r="EX9" s="5" t="s">
        <v>9</v>
      </c>
      <c r="EY9" s="5" t="s">
        <v>9</v>
      </c>
      <c r="EZ9" s="5" t="s">
        <v>9</v>
      </c>
      <c r="FA9" s="5" t="s">
        <v>9</v>
      </c>
      <c r="FB9" s="5" t="s">
        <v>9</v>
      </c>
      <c r="FC9" s="5" t="s">
        <v>9</v>
      </c>
      <c r="FD9" s="5" t="s">
        <v>9</v>
      </c>
      <c r="FE9" s="5" t="s">
        <v>9</v>
      </c>
      <c r="FF9" s="5" t="s">
        <v>9</v>
      </c>
      <c r="FG9" s="5" t="s">
        <v>9</v>
      </c>
      <c r="FH9" s="5" t="s">
        <v>9</v>
      </c>
      <c r="FI9" s="5" t="s">
        <v>9</v>
      </c>
      <c r="FJ9" s="5" t="s">
        <v>9</v>
      </c>
      <c r="FK9" s="5" t="s">
        <v>9</v>
      </c>
      <c r="FL9" s="5" t="s">
        <v>9</v>
      </c>
      <c r="FM9" s="5" t="s">
        <v>9</v>
      </c>
      <c r="FN9" s="5" t="s">
        <v>9</v>
      </c>
      <c r="FO9" s="5" t="s">
        <v>9</v>
      </c>
      <c r="FP9" s="5" t="s">
        <v>9</v>
      </c>
      <c r="FQ9" s="5" t="s">
        <v>9</v>
      </c>
      <c r="FR9" s="5" t="s">
        <v>9</v>
      </c>
      <c r="FS9" s="5" t="s">
        <v>9</v>
      </c>
      <c r="FT9" s="13" t="s">
        <v>9</v>
      </c>
    </row>
    <row r="10" spans="2:176" x14ac:dyDescent="0.25">
      <c r="G10" s="11" t="s">
        <v>79</v>
      </c>
      <c r="H10" s="4">
        <v>474</v>
      </c>
      <c r="I10" s="4">
        <v>82</v>
      </c>
      <c r="J10" s="4">
        <v>81</v>
      </c>
      <c r="K10" s="4">
        <v>85</v>
      </c>
      <c r="L10" s="4">
        <v>85</v>
      </c>
      <c r="M10" s="4">
        <v>85</v>
      </c>
      <c r="N10" s="4">
        <v>87</v>
      </c>
      <c r="O10" s="4">
        <v>88</v>
      </c>
      <c r="P10" s="4">
        <v>87</v>
      </c>
      <c r="Q10" s="4">
        <v>85</v>
      </c>
      <c r="R10" s="4">
        <v>87</v>
      </c>
      <c r="S10" s="4">
        <v>87</v>
      </c>
      <c r="T10" s="4">
        <v>94</v>
      </c>
      <c r="U10" s="4">
        <v>92</v>
      </c>
      <c r="V10" s="4">
        <v>94</v>
      </c>
      <c r="W10" s="4">
        <v>97</v>
      </c>
      <c r="X10" s="4">
        <v>95</v>
      </c>
      <c r="Y10" s="4">
        <v>99</v>
      </c>
      <c r="Z10" s="4">
        <v>96</v>
      </c>
      <c r="AA10" s="4">
        <v>95</v>
      </c>
      <c r="AB10" s="4">
        <v>99</v>
      </c>
      <c r="AC10" s="4">
        <v>103</v>
      </c>
      <c r="AD10" s="4">
        <v>109</v>
      </c>
      <c r="AE10" s="4">
        <v>111</v>
      </c>
      <c r="AF10" s="4">
        <v>115</v>
      </c>
      <c r="AG10" s="4">
        <v>131</v>
      </c>
      <c r="AH10" s="4">
        <v>132</v>
      </c>
      <c r="AI10" s="4">
        <v>120</v>
      </c>
      <c r="AJ10" s="4">
        <v>123</v>
      </c>
      <c r="AK10" s="4">
        <v>115</v>
      </c>
      <c r="AL10" s="4">
        <v>113</v>
      </c>
      <c r="AM10" s="4">
        <v>110</v>
      </c>
      <c r="AN10" s="4">
        <v>112</v>
      </c>
      <c r="AO10" s="4">
        <v>124</v>
      </c>
      <c r="AP10" s="4">
        <v>120</v>
      </c>
      <c r="AQ10" s="4">
        <v>148</v>
      </c>
      <c r="AR10" s="4">
        <v>158</v>
      </c>
      <c r="AS10" s="4">
        <v>169</v>
      </c>
      <c r="AT10" s="4">
        <v>159</v>
      </c>
      <c r="AU10" s="4">
        <v>165</v>
      </c>
      <c r="AV10" s="4">
        <v>160</v>
      </c>
      <c r="AW10" s="4">
        <v>264</v>
      </c>
      <c r="AX10" s="4">
        <v>258</v>
      </c>
      <c r="AY10" s="4">
        <v>253</v>
      </c>
      <c r="AZ10" s="4">
        <v>246</v>
      </c>
      <c r="BA10" s="4">
        <v>246</v>
      </c>
      <c r="BB10" s="4">
        <v>281</v>
      </c>
      <c r="BC10" s="4">
        <v>302</v>
      </c>
      <c r="BD10" s="4">
        <v>283</v>
      </c>
      <c r="BE10" s="4">
        <v>276</v>
      </c>
      <c r="BF10" s="4">
        <v>313</v>
      </c>
      <c r="BG10" s="4">
        <v>303</v>
      </c>
      <c r="BH10" s="4">
        <v>252</v>
      </c>
      <c r="BI10" s="4">
        <v>241</v>
      </c>
      <c r="BJ10" s="4">
        <v>273</v>
      </c>
      <c r="BK10" s="4">
        <v>267</v>
      </c>
      <c r="BL10" s="4">
        <v>271</v>
      </c>
      <c r="BM10" s="4">
        <v>337</v>
      </c>
      <c r="BN10" s="4">
        <v>323</v>
      </c>
      <c r="BO10" s="4">
        <v>318</v>
      </c>
      <c r="BP10" s="4">
        <v>330</v>
      </c>
      <c r="BQ10" s="4">
        <v>333</v>
      </c>
      <c r="BR10" s="4">
        <v>315</v>
      </c>
      <c r="BS10" s="4">
        <v>322</v>
      </c>
      <c r="BT10" s="4">
        <v>290</v>
      </c>
      <c r="BU10" s="4">
        <v>284</v>
      </c>
      <c r="BV10" s="4">
        <v>329</v>
      </c>
      <c r="BW10" s="4">
        <v>305</v>
      </c>
      <c r="BX10" s="4">
        <v>306</v>
      </c>
      <c r="BY10" s="4">
        <v>346</v>
      </c>
      <c r="BZ10" s="4">
        <v>442</v>
      </c>
      <c r="CA10" s="4">
        <v>316</v>
      </c>
      <c r="CB10" s="4">
        <v>319</v>
      </c>
      <c r="CC10" s="4">
        <v>331</v>
      </c>
      <c r="CD10" s="4">
        <v>322</v>
      </c>
      <c r="CE10" s="4">
        <v>307</v>
      </c>
      <c r="CF10" s="4">
        <v>284</v>
      </c>
      <c r="CG10" s="4">
        <v>297</v>
      </c>
      <c r="CH10" s="4">
        <v>303</v>
      </c>
      <c r="CI10" s="4">
        <v>310</v>
      </c>
      <c r="CJ10" s="4">
        <v>248</v>
      </c>
      <c r="CK10" s="4">
        <v>265</v>
      </c>
      <c r="CL10" s="4">
        <v>273</v>
      </c>
      <c r="CM10" s="4">
        <v>313</v>
      </c>
      <c r="CN10" s="4">
        <v>281</v>
      </c>
      <c r="CO10" s="4">
        <v>265</v>
      </c>
      <c r="CP10" s="4">
        <v>292</v>
      </c>
      <c r="CQ10" s="4">
        <v>296</v>
      </c>
      <c r="CR10" s="4">
        <v>279</v>
      </c>
      <c r="CS10" s="4">
        <v>241</v>
      </c>
      <c r="CT10" s="4">
        <v>181</v>
      </c>
      <c r="CU10" s="4">
        <v>126</v>
      </c>
      <c r="CV10" s="4">
        <v>78</v>
      </c>
      <c r="CW10" s="4">
        <v>92</v>
      </c>
      <c r="CX10" s="4">
        <v>59</v>
      </c>
      <c r="CY10" s="4">
        <v>62</v>
      </c>
      <c r="CZ10" s="4">
        <v>74</v>
      </c>
      <c r="DA10" s="4">
        <v>24</v>
      </c>
      <c r="DB10" s="4">
        <v>24</v>
      </c>
      <c r="DC10" s="4">
        <v>16</v>
      </c>
      <c r="DD10" s="4">
        <v>19</v>
      </c>
      <c r="DE10" s="4">
        <v>4</v>
      </c>
      <c r="DF10" s="4">
        <v>10</v>
      </c>
      <c r="DG10" s="4">
        <v>6</v>
      </c>
      <c r="DH10" s="233">
        <v>0</v>
      </c>
      <c r="DI10" s="233">
        <v>0</v>
      </c>
      <c r="DJ10" s="233">
        <v>0</v>
      </c>
      <c r="DK10" s="233">
        <v>0</v>
      </c>
      <c r="DL10" s="233">
        <v>0</v>
      </c>
      <c r="DM10" s="233">
        <v>0</v>
      </c>
      <c r="DN10" s="233">
        <v>0</v>
      </c>
      <c r="DO10" s="233">
        <v>0</v>
      </c>
      <c r="DP10" s="233">
        <v>0</v>
      </c>
      <c r="DQ10" s="233">
        <v>0</v>
      </c>
      <c r="DR10" s="233">
        <v>0</v>
      </c>
      <c r="DS10" s="233">
        <v>0</v>
      </c>
      <c r="DT10" s="233">
        <v>0</v>
      </c>
      <c r="DU10" s="233">
        <v>0</v>
      </c>
      <c r="DV10" s="233">
        <v>0</v>
      </c>
      <c r="DW10" s="233">
        <v>0</v>
      </c>
      <c r="DX10" s="233">
        <v>0</v>
      </c>
      <c r="DY10" s="233">
        <v>0</v>
      </c>
      <c r="DZ10" s="233">
        <v>0</v>
      </c>
      <c r="EA10" s="233">
        <v>0</v>
      </c>
      <c r="EB10" s="233">
        <v>0</v>
      </c>
      <c r="EC10" s="233">
        <v>0</v>
      </c>
      <c r="ED10" s="233">
        <v>0</v>
      </c>
      <c r="EE10" s="233">
        <v>0</v>
      </c>
      <c r="EF10" s="233">
        <v>0</v>
      </c>
      <c r="EG10" s="233">
        <v>0</v>
      </c>
      <c r="EH10" s="233">
        <v>0</v>
      </c>
      <c r="EI10" s="233">
        <v>0</v>
      </c>
      <c r="EJ10" s="233">
        <v>0</v>
      </c>
      <c r="EK10" s="233">
        <v>0</v>
      </c>
      <c r="EL10" s="233">
        <v>0</v>
      </c>
      <c r="EM10" s="233">
        <v>0</v>
      </c>
      <c r="EN10" s="233">
        <v>0</v>
      </c>
      <c r="EO10" s="233">
        <v>0</v>
      </c>
      <c r="EP10" s="233">
        <v>0</v>
      </c>
      <c r="EQ10" s="233">
        <v>0</v>
      </c>
      <c r="ER10" s="233">
        <v>0</v>
      </c>
      <c r="ES10" s="233">
        <v>0</v>
      </c>
      <c r="ET10" s="233">
        <v>0</v>
      </c>
      <c r="EU10" s="233">
        <v>0</v>
      </c>
      <c r="EV10" s="233">
        <v>0</v>
      </c>
      <c r="EW10" s="233">
        <v>0</v>
      </c>
      <c r="EX10" s="233">
        <v>0</v>
      </c>
      <c r="EY10" s="233">
        <v>0</v>
      </c>
      <c r="EZ10" s="233">
        <v>0</v>
      </c>
      <c r="FA10" s="233">
        <v>0</v>
      </c>
      <c r="FB10" s="233">
        <v>0</v>
      </c>
      <c r="FC10" s="233">
        <v>0</v>
      </c>
      <c r="FD10" s="233">
        <v>0</v>
      </c>
      <c r="FE10" s="233">
        <v>0</v>
      </c>
      <c r="FF10" s="233">
        <v>0</v>
      </c>
      <c r="FG10" s="233">
        <v>0</v>
      </c>
      <c r="FH10" s="233">
        <v>0</v>
      </c>
      <c r="FI10" s="233">
        <v>0</v>
      </c>
      <c r="FJ10" s="233">
        <v>0</v>
      </c>
      <c r="FK10" s="233">
        <v>0</v>
      </c>
      <c r="FL10" s="233">
        <v>0</v>
      </c>
      <c r="FM10" s="233">
        <v>0</v>
      </c>
      <c r="FN10" s="233">
        <v>0</v>
      </c>
      <c r="FO10" s="233">
        <v>0</v>
      </c>
      <c r="FP10" s="233">
        <v>0</v>
      </c>
      <c r="FQ10" s="233">
        <v>0</v>
      </c>
      <c r="FR10" s="233">
        <v>0</v>
      </c>
      <c r="FS10" s="233">
        <v>0</v>
      </c>
      <c r="FT10" s="295">
        <v>0</v>
      </c>
    </row>
    <row r="11" spans="2:176" x14ac:dyDescent="0.25">
      <c r="G11" s="11" t="s">
        <v>80</v>
      </c>
      <c r="H11" s="333">
        <v>363</v>
      </c>
      <c r="I11" s="233">
        <v>0</v>
      </c>
      <c r="J11" s="233">
        <v>0</v>
      </c>
      <c r="K11" s="233">
        <v>0</v>
      </c>
      <c r="L11" s="233">
        <v>0</v>
      </c>
      <c r="M11" s="233">
        <v>0</v>
      </c>
      <c r="N11" s="233">
        <v>0</v>
      </c>
      <c r="O11" s="233">
        <v>0</v>
      </c>
      <c r="P11" s="233">
        <v>0</v>
      </c>
      <c r="Q11" s="233">
        <v>0</v>
      </c>
      <c r="R11" s="233">
        <v>0</v>
      </c>
      <c r="S11" s="233">
        <v>0</v>
      </c>
      <c r="T11" s="334">
        <v>2</v>
      </c>
      <c r="U11" s="233">
        <v>0</v>
      </c>
      <c r="V11" s="233">
        <v>0</v>
      </c>
      <c r="W11" s="233">
        <v>0</v>
      </c>
      <c r="X11" s="233">
        <v>0</v>
      </c>
      <c r="Y11" s="233">
        <v>0</v>
      </c>
      <c r="Z11" s="234">
        <v>1</v>
      </c>
      <c r="AA11" s="233">
        <v>0</v>
      </c>
      <c r="AB11" s="234">
        <v>1</v>
      </c>
      <c r="AC11" s="233">
        <v>0</v>
      </c>
      <c r="AD11" s="234">
        <v>1</v>
      </c>
      <c r="AE11" s="234">
        <v>1</v>
      </c>
      <c r="AF11" s="233">
        <v>0</v>
      </c>
      <c r="AG11" s="234">
        <v>1</v>
      </c>
      <c r="AH11" s="234">
        <v>2</v>
      </c>
      <c r="AI11" s="233">
        <v>0</v>
      </c>
      <c r="AJ11" s="233">
        <v>0</v>
      </c>
      <c r="AK11" s="233">
        <v>0</v>
      </c>
      <c r="AL11" s="235">
        <v>2</v>
      </c>
      <c r="AM11" s="233">
        <v>0</v>
      </c>
      <c r="AN11" s="233">
        <v>0</v>
      </c>
      <c r="AO11" s="234">
        <v>1</v>
      </c>
      <c r="AP11" s="233">
        <v>0</v>
      </c>
      <c r="AQ11" s="234">
        <v>2</v>
      </c>
      <c r="AR11" s="334">
        <v>4</v>
      </c>
      <c r="AS11" s="309">
        <v>9</v>
      </c>
      <c r="AT11" s="233">
        <v>0</v>
      </c>
      <c r="AU11" s="235">
        <v>3</v>
      </c>
      <c r="AV11" s="234">
        <v>2</v>
      </c>
      <c r="AW11" s="304">
        <v>30</v>
      </c>
      <c r="AX11" s="238">
        <v>8</v>
      </c>
      <c r="AY11" s="233">
        <v>1</v>
      </c>
      <c r="AZ11" s="234">
        <v>2</v>
      </c>
      <c r="BA11" s="334">
        <v>5</v>
      </c>
      <c r="BB11" s="241">
        <v>8</v>
      </c>
      <c r="BC11" s="232">
        <v>13</v>
      </c>
      <c r="BD11" s="238">
        <v>10</v>
      </c>
      <c r="BE11" s="241">
        <v>8</v>
      </c>
      <c r="BF11" s="334">
        <v>6</v>
      </c>
      <c r="BG11" s="238">
        <v>10</v>
      </c>
      <c r="BH11" s="334">
        <v>6</v>
      </c>
      <c r="BI11" s="234">
        <v>3</v>
      </c>
      <c r="BJ11" s="241">
        <v>8</v>
      </c>
      <c r="BK11" s="234">
        <v>3</v>
      </c>
      <c r="BL11" s="234">
        <v>2</v>
      </c>
      <c r="BM11" s="334">
        <v>7</v>
      </c>
      <c r="BN11" s="241">
        <v>9</v>
      </c>
      <c r="BO11" s="238">
        <v>10</v>
      </c>
      <c r="BP11" s="238">
        <v>12</v>
      </c>
      <c r="BQ11" s="239">
        <v>24</v>
      </c>
      <c r="BR11" s="309">
        <v>16</v>
      </c>
      <c r="BS11" s="308">
        <v>27</v>
      </c>
      <c r="BT11" s="238">
        <v>9</v>
      </c>
      <c r="BU11" s="242">
        <v>12</v>
      </c>
      <c r="BV11" s="335">
        <v>45</v>
      </c>
      <c r="BW11" s="240">
        <v>17</v>
      </c>
      <c r="BX11" s="241">
        <v>9</v>
      </c>
      <c r="BY11" s="309">
        <v>17</v>
      </c>
      <c r="BZ11" s="323">
        <v>107</v>
      </c>
      <c r="CA11" s="334">
        <v>7</v>
      </c>
      <c r="CB11" s="242">
        <v>12</v>
      </c>
      <c r="CC11" s="241">
        <v>10</v>
      </c>
      <c r="CD11" s="232">
        <v>15</v>
      </c>
      <c r="CE11" s="232">
        <v>14</v>
      </c>
      <c r="CF11" s="242">
        <v>11</v>
      </c>
      <c r="CG11" s="309">
        <v>15</v>
      </c>
      <c r="CH11" s="238">
        <v>11</v>
      </c>
      <c r="CI11" s="336">
        <v>24</v>
      </c>
      <c r="CJ11" s="241">
        <v>7</v>
      </c>
      <c r="CK11" s="337">
        <v>7</v>
      </c>
      <c r="CL11" s="232">
        <v>12</v>
      </c>
      <c r="CM11" s="239">
        <v>24</v>
      </c>
      <c r="CN11" s="237">
        <v>17</v>
      </c>
      <c r="CO11" s="338">
        <v>18</v>
      </c>
      <c r="CP11" s="303">
        <v>30</v>
      </c>
      <c r="CQ11" s="339">
        <v>35</v>
      </c>
      <c r="CR11" s="340">
        <v>51</v>
      </c>
      <c r="CS11" s="335">
        <v>33</v>
      </c>
      <c r="CT11" s="243">
        <v>26</v>
      </c>
      <c r="CU11" s="320">
        <v>16</v>
      </c>
      <c r="CV11" s="237">
        <v>5</v>
      </c>
      <c r="CW11" s="341">
        <v>9</v>
      </c>
      <c r="CX11" s="309">
        <v>3</v>
      </c>
      <c r="CY11" s="315">
        <v>6</v>
      </c>
      <c r="CZ11" s="342">
        <v>15</v>
      </c>
      <c r="DA11" s="233">
        <v>0</v>
      </c>
      <c r="DB11" s="307">
        <v>3</v>
      </c>
      <c r="DC11" s="237">
        <v>1</v>
      </c>
      <c r="DD11" s="311">
        <v>5</v>
      </c>
      <c r="DE11" s="233">
        <v>0</v>
      </c>
      <c r="DF11" s="262">
        <v>4</v>
      </c>
      <c r="DG11" s="343">
        <v>2</v>
      </c>
      <c r="DH11" s="1">
        <v>0</v>
      </c>
      <c r="DI11" s="1">
        <v>0</v>
      </c>
      <c r="DJ11" s="1">
        <v>0</v>
      </c>
      <c r="DK11" s="1">
        <v>0</v>
      </c>
      <c r="DL11" s="1">
        <v>0</v>
      </c>
      <c r="DM11" s="1">
        <v>0</v>
      </c>
      <c r="DN11" s="1">
        <v>0</v>
      </c>
      <c r="DO11" s="1">
        <v>0</v>
      </c>
      <c r="DP11" s="1">
        <v>0</v>
      </c>
      <c r="DQ11" s="1">
        <v>0</v>
      </c>
      <c r="DR11" s="1">
        <v>0</v>
      </c>
      <c r="DS11" s="1">
        <v>0</v>
      </c>
      <c r="DT11" s="1">
        <v>0</v>
      </c>
      <c r="DU11" s="1">
        <v>0</v>
      </c>
      <c r="DV11" s="1">
        <v>0</v>
      </c>
      <c r="DW11" s="1">
        <v>0</v>
      </c>
      <c r="DX11" s="1">
        <v>0</v>
      </c>
      <c r="DY11" s="1">
        <v>0</v>
      </c>
      <c r="DZ11" s="1">
        <v>0</v>
      </c>
      <c r="EA11" s="1">
        <v>0</v>
      </c>
      <c r="EB11" s="1">
        <v>0</v>
      </c>
      <c r="EC11" s="1">
        <v>0</v>
      </c>
      <c r="ED11" s="1">
        <v>0</v>
      </c>
      <c r="EE11" s="1">
        <v>0</v>
      </c>
      <c r="EF11" s="1">
        <v>0</v>
      </c>
      <c r="EG11" s="1">
        <v>0</v>
      </c>
      <c r="EH11" s="1">
        <v>0</v>
      </c>
      <c r="EI11" s="1">
        <v>0</v>
      </c>
      <c r="EJ11" s="1">
        <v>0</v>
      </c>
      <c r="EK11" s="1">
        <v>0</v>
      </c>
      <c r="EL11" s="1">
        <v>0</v>
      </c>
      <c r="EM11" s="1">
        <v>0</v>
      </c>
      <c r="EN11" s="1">
        <v>0</v>
      </c>
      <c r="EO11" s="1">
        <v>0</v>
      </c>
      <c r="EP11" s="1">
        <v>0</v>
      </c>
      <c r="EQ11" s="1">
        <v>0</v>
      </c>
      <c r="ER11" s="1">
        <v>0</v>
      </c>
      <c r="ES11" s="1">
        <v>0</v>
      </c>
      <c r="ET11" s="1">
        <v>0</v>
      </c>
      <c r="EU11" s="1">
        <v>0</v>
      </c>
      <c r="EV11" s="1">
        <v>0</v>
      </c>
      <c r="EW11" s="1">
        <v>0</v>
      </c>
      <c r="EX11" s="1">
        <v>0</v>
      </c>
      <c r="EY11" s="1">
        <v>0</v>
      </c>
      <c r="EZ11" s="1">
        <v>0</v>
      </c>
      <c r="FA11" s="1">
        <v>0</v>
      </c>
      <c r="FB11" s="1">
        <v>0</v>
      </c>
      <c r="FC11" s="1">
        <v>0</v>
      </c>
      <c r="FD11" s="1">
        <v>0</v>
      </c>
      <c r="FE11" s="1">
        <v>0</v>
      </c>
      <c r="FF11" s="1">
        <v>0</v>
      </c>
      <c r="FG11" s="1">
        <v>0</v>
      </c>
      <c r="FH11" s="1">
        <v>0</v>
      </c>
      <c r="FI11" s="1">
        <v>0</v>
      </c>
      <c r="FJ11" s="1">
        <v>0</v>
      </c>
      <c r="FK11" s="1">
        <v>0</v>
      </c>
      <c r="FL11" s="1">
        <v>0</v>
      </c>
      <c r="FM11" s="1">
        <v>0</v>
      </c>
      <c r="FN11" s="1">
        <v>0</v>
      </c>
      <c r="FO11" s="1">
        <v>0</v>
      </c>
      <c r="FP11" s="1">
        <v>0</v>
      </c>
      <c r="FQ11" s="1">
        <v>0</v>
      </c>
      <c r="FR11" s="1">
        <v>0</v>
      </c>
      <c r="FS11" s="1">
        <v>0</v>
      </c>
      <c r="FT11" s="8">
        <v>0</v>
      </c>
    </row>
    <row r="12" spans="2:176" x14ac:dyDescent="0.25">
      <c r="G12" s="11" t="s">
        <v>81</v>
      </c>
      <c r="H12" s="235">
        <v>8</v>
      </c>
      <c r="I12" s="234">
        <v>1</v>
      </c>
      <c r="J12" s="233">
        <v>0</v>
      </c>
      <c r="K12" s="234">
        <v>1</v>
      </c>
      <c r="L12" s="234">
        <v>1</v>
      </c>
      <c r="M12" s="234">
        <v>1</v>
      </c>
      <c r="N12" s="238">
        <v>3</v>
      </c>
      <c r="O12" s="232">
        <v>4</v>
      </c>
      <c r="P12" s="238">
        <v>3</v>
      </c>
      <c r="Q12" s="234">
        <v>1</v>
      </c>
      <c r="R12" s="238">
        <v>3</v>
      </c>
      <c r="S12" s="238">
        <v>3</v>
      </c>
      <c r="T12" s="232">
        <v>4</v>
      </c>
      <c r="U12" s="232">
        <v>4</v>
      </c>
      <c r="V12" s="309">
        <v>5</v>
      </c>
      <c r="W12" s="308">
        <v>8</v>
      </c>
      <c r="X12" s="237">
        <v>6</v>
      </c>
      <c r="Y12" s="308">
        <v>8</v>
      </c>
      <c r="Z12" s="309">
        <v>5</v>
      </c>
      <c r="AA12" s="242">
        <v>4</v>
      </c>
      <c r="AB12" s="237">
        <v>6</v>
      </c>
      <c r="AC12" s="341">
        <v>10</v>
      </c>
      <c r="AD12" s="306">
        <v>12</v>
      </c>
      <c r="AE12" s="339">
        <v>13</v>
      </c>
      <c r="AF12" s="316">
        <v>15</v>
      </c>
      <c r="AG12" s="344">
        <v>29</v>
      </c>
      <c r="AH12" s="345">
        <v>29</v>
      </c>
      <c r="AI12" s="269">
        <v>20</v>
      </c>
      <c r="AJ12" s="236">
        <v>22</v>
      </c>
      <c r="AK12" s="307">
        <v>14</v>
      </c>
      <c r="AL12" s="346">
        <v>10</v>
      </c>
      <c r="AM12" s="308">
        <v>9</v>
      </c>
      <c r="AN12" s="341">
        <v>11</v>
      </c>
      <c r="AO12" s="305">
        <v>19</v>
      </c>
      <c r="AP12" s="243">
        <v>17</v>
      </c>
      <c r="AQ12" s="268">
        <v>35</v>
      </c>
      <c r="AR12" s="347">
        <v>43</v>
      </c>
      <c r="AS12" s="267">
        <v>43</v>
      </c>
      <c r="AT12" s="323">
        <v>39</v>
      </c>
      <c r="AU12" s="312">
        <v>47</v>
      </c>
      <c r="AV12" s="317">
        <v>43</v>
      </c>
      <c r="AW12" s="348">
        <v>82</v>
      </c>
      <c r="AX12" s="349">
        <v>94</v>
      </c>
      <c r="AY12" s="276">
        <v>95</v>
      </c>
      <c r="AZ12" s="349">
        <v>90</v>
      </c>
      <c r="BA12" s="350">
        <v>83</v>
      </c>
      <c r="BB12" s="350">
        <v>96</v>
      </c>
      <c r="BC12" s="289">
        <v>109</v>
      </c>
      <c r="BD12" s="351">
        <v>100</v>
      </c>
      <c r="BE12" s="350">
        <v>94</v>
      </c>
      <c r="BF12" s="262">
        <v>125</v>
      </c>
      <c r="BG12" s="352">
        <v>120</v>
      </c>
      <c r="BH12" s="350">
        <v>86</v>
      </c>
      <c r="BI12" s="271">
        <v>76</v>
      </c>
      <c r="BJ12" s="349">
        <v>100</v>
      </c>
      <c r="BK12" s="276">
        <v>101</v>
      </c>
      <c r="BL12" s="276">
        <v>102</v>
      </c>
      <c r="BM12" s="263">
        <v>148</v>
      </c>
      <c r="BN12" s="314">
        <v>126</v>
      </c>
      <c r="BO12" s="353">
        <v>122</v>
      </c>
      <c r="BP12" s="274">
        <v>123</v>
      </c>
      <c r="BQ12" s="351">
        <v>117</v>
      </c>
      <c r="BR12" s="349">
        <v>115</v>
      </c>
      <c r="BS12" s="354">
        <v>111</v>
      </c>
      <c r="BT12" s="277">
        <v>103</v>
      </c>
      <c r="BU12" s="313">
        <v>94</v>
      </c>
      <c r="BV12" s="272">
        <v>113</v>
      </c>
      <c r="BW12" s="275">
        <v>118</v>
      </c>
      <c r="BX12" s="355">
        <v>125</v>
      </c>
      <c r="BY12" s="290">
        <v>146</v>
      </c>
      <c r="BZ12" s="277">
        <v>157</v>
      </c>
      <c r="CA12" s="281">
        <v>132</v>
      </c>
      <c r="CB12" s="355">
        <v>130</v>
      </c>
      <c r="CC12" s="270">
        <v>144</v>
      </c>
      <c r="CD12" s="352">
        <v>128</v>
      </c>
      <c r="CE12" s="273">
        <v>117</v>
      </c>
      <c r="CF12" s="277">
        <v>101</v>
      </c>
      <c r="CG12" s="289">
        <v>107</v>
      </c>
      <c r="CH12" s="356">
        <v>112</v>
      </c>
      <c r="CI12" s="350">
        <v>106</v>
      </c>
      <c r="CJ12" s="318">
        <v>73</v>
      </c>
      <c r="CK12" s="271">
        <v>84</v>
      </c>
      <c r="CL12" s="271">
        <v>86</v>
      </c>
      <c r="CM12" s="277">
        <v>112</v>
      </c>
      <c r="CN12" s="357">
        <v>94</v>
      </c>
      <c r="CO12" s="271">
        <v>83</v>
      </c>
      <c r="CP12" s="266">
        <v>101</v>
      </c>
      <c r="CQ12" s="358">
        <v>122</v>
      </c>
      <c r="CR12" s="266">
        <v>97</v>
      </c>
      <c r="CS12" s="356">
        <v>89</v>
      </c>
      <c r="CT12" s="273">
        <v>69</v>
      </c>
      <c r="CU12" s="277">
        <v>45</v>
      </c>
      <c r="CV12" s="359">
        <v>24</v>
      </c>
      <c r="CW12" s="289">
        <v>33</v>
      </c>
      <c r="CX12" s="277">
        <v>21</v>
      </c>
      <c r="CY12" s="274">
        <v>23</v>
      </c>
      <c r="CZ12" s="282">
        <v>32</v>
      </c>
      <c r="DA12" s="261">
        <v>11</v>
      </c>
      <c r="DB12" s="360">
        <v>7</v>
      </c>
      <c r="DC12" s="271">
        <v>5</v>
      </c>
      <c r="DD12" s="361">
        <v>4</v>
      </c>
      <c r="DE12" s="267">
        <v>1</v>
      </c>
      <c r="DF12" s="318">
        <v>3</v>
      </c>
      <c r="DG12" s="269">
        <v>1</v>
      </c>
      <c r="DH12" s="1">
        <v>0</v>
      </c>
      <c r="DI12" s="1">
        <v>0</v>
      </c>
      <c r="DJ12" s="1">
        <v>0</v>
      </c>
      <c r="DK12" s="1">
        <v>0</v>
      </c>
      <c r="DL12" s="1">
        <v>0</v>
      </c>
      <c r="DM12" s="1">
        <v>0</v>
      </c>
      <c r="DN12" s="1">
        <v>0</v>
      </c>
      <c r="DO12" s="1">
        <v>0</v>
      </c>
      <c r="DP12" s="1">
        <v>0</v>
      </c>
      <c r="DQ12" s="1">
        <v>0</v>
      </c>
      <c r="DR12" s="1">
        <v>0</v>
      </c>
      <c r="DS12" s="1">
        <v>0</v>
      </c>
      <c r="DT12" s="1">
        <v>0</v>
      </c>
      <c r="DU12" s="1">
        <v>0</v>
      </c>
      <c r="DV12" s="1">
        <v>0</v>
      </c>
      <c r="DW12" s="1">
        <v>0</v>
      </c>
      <c r="DX12" s="1">
        <v>0</v>
      </c>
      <c r="DY12" s="1">
        <v>0</v>
      </c>
      <c r="DZ12" s="1">
        <v>0</v>
      </c>
      <c r="EA12" s="1">
        <v>0</v>
      </c>
      <c r="EB12" s="1">
        <v>0</v>
      </c>
      <c r="EC12" s="1">
        <v>0</v>
      </c>
      <c r="ED12" s="1">
        <v>0</v>
      </c>
      <c r="EE12" s="1">
        <v>0</v>
      </c>
      <c r="EF12" s="1">
        <v>0</v>
      </c>
      <c r="EG12" s="1">
        <v>0</v>
      </c>
      <c r="EH12" s="1">
        <v>0</v>
      </c>
      <c r="EI12" s="1">
        <v>0</v>
      </c>
      <c r="EJ12" s="1">
        <v>0</v>
      </c>
      <c r="EK12" s="1">
        <v>0</v>
      </c>
      <c r="EL12" s="1">
        <v>0</v>
      </c>
      <c r="EM12" s="1">
        <v>0</v>
      </c>
      <c r="EN12" s="1">
        <v>0</v>
      </c>
      <c r="EO12" s="1">
        <v>0</v>
      </c>
      <c r="EP12" s="1">
        <v>0</v>
      </c>
      <c r="EQ12" s="1">
        <v>0</v>
      </c>
      <c r="ER12" s="1">
        <v>0</v>
      </c>
      <c r="ES12" s="1">
        <v>0</v>
      </c>
      <c r="ET12" s="1">
        <v>0</v>
      </c>
      <c r="EU12" s="1">
        <v>0</v>
      </c>
      <c r="EV12" s="1">
        <v>0</v>
      </c>
      <c r="EW12" s="1">
        <v>0</v>
      </c>
      <c r="EX12" s="1">
        <v>0</v>
      </c>
      <c r="EY12" s="1">
        <v>0</v>
      </c>
      <c r="EZ12" s="1">
        <v>0</v>
      </c>
      <c r="FA12" s="1">
        <v>0</v>
      </c>
      <c r="FB12" s="1">
        <v>0</v>
      </c>
      <c r="FC12" s="1">
        <v>0</v>
      </c>
      <c r="FD12" s="1">
        <v>0</v>
      </c>
      <c r="FE12" s="1">
        <v>0</v>
      </c>
      <c r="FF12" s="1">
        <v>0</v>
      </c>
      <c r="FG12" s="1">
        <v>0</v>
      </c>
      <c r="FH12" s="1">
        <v>0</v>
      </c>
      <c r="FI12" s="1">
        <v>0</v>
      </c>
      <c r="FJ12" s="1">
        <v>0</v>
      </c>
      <c r="FK12" s="1">
        <v>0</v>
      </c>
      <c r="FL12" s="1">
        <v>0</v>
      </c>
      <c r="FM12" s="1">
        <v>0</v>
      </c>
      <c r="FN12" s="1">
        <v>0</v>
      </c>
      <c r="FO12" s="1">
        <v>0</v>
      </c>
      <c r="FP12" s="1">
        <v>0</v>
      </c>
      <c r="FQ12" s="1">
        <v>0</v>
      </c>
      <c r="FR12" s="1">
        <v>0</v>
      </c>
      <c r="FS12" s="1">
        <v>0</v>
      </c>
      <c r="FT12" s="8">
        <v>0</v>
      </c>
    </row>
    <row r="13" spans="2:176" x14ac:dyDescent="0.25">
      <c r="G13" s="11" t="s">
        <v>82</v>
      </c>
      <c r="H13" s="301">
        <v>103</v>
      </c>
      <c r="I13" s="362">
        <v>81</v>
      </c>
      <c r="J13" s="4">
        <v>81</v>
      </c>
      <c r="K13" s="363">
        <v>84</v>
      </c>
      <c r="L13" s="363">
        <v>84</v>
      </c>
      <c r="M13" s="363">
        <v>84</v>
      </c>
      <c r="N13" s="364">
        <v>84</v>
      </c>
      <c r="O13" s="365">
        <v>84</v>
      </c>
      <c r="P13" s="364">
        <v>84</v>
      </c>
      <c r="Q13" s="363">
        <v>84</v>
      </c>
      <c r="R13" s="364">
        <v>84</v>
      </c>
      <c r="S13" s="364">
        <v>84</v>
      </c>
      <c r="T13" s="366">
        <v>88</v>
      </c>
      <c r="U13" s="367">
        <v>88</v>
      </c>
      <c r="V13" s="368">
        <v>89</v>
      </c>
      <c r="W13" s="369">
        <v>89</v>
      </c>
      <c r="X13" s="366">
        <v>89</v>
      </c>
      <c r="Y13" s="370">
        <v>91</v>
      </c>
      <c r="Z13" s="366">
        <v>90</v>
      </c>
      <c r="AA13" s="371">
        <v>91</v>
      </c>
      <c r="AB13" s="372">
        <v>92</v>
      </c>
      <c r="AC13" s="297">
        <v>93</v>
      </c>
      <c r="AD13" s="373">
        <v>96</v>
      </c>
      <c r="AE13" s="374">
        <v>97</v>
      </c>
      <c r="AF13" s="375">
        <v>100</v>
      </c>
      <c r="AG13" s="327">
        <v>101</v>
      </c>
      <c r="AH13" s="333">
        <v>101</v>
      </c>
      <c r="AI13" s="294">
        <v>100</v>
      </c>
      <c r="AJ13" s="376">
        <v>101</v>
      </c>
      <c r="AK13" s="373">
        <v>101</v>
      </c>
      <c r="AL13" s="377">
        <v>101</v>
      </c>
      <c r="AM13" s="369">
        <v>101</v>
      </c>
      <c r="AN13" s="378">
        <v>101</v>
      </c>
      <c r="AO13" s="379">
        <v>104</v>
      </c>
      <c r="AP13" s="380">
        <v>103</v>
      </c>
      <c r="AQ13" s="293">
        <v>111</v>
      </c>
      <c r="AR13" s="381">
        <v>111</v>
      </c>
      <c r="AS13" s="382">
        <v>117</v>
      </c>
      <c r="AT13" s="383">
        <v>120</v>
      </c>
      <c r="AU13" s="384">
        <v>115</v>
      </c>
      <c r="AV13" s="385">
        <v>115</v>
      </c>
      <c r="AW13" s="253">
        <v>152</v>
      </c>
      <c r="AX13" s="386">
        <v>156</v>
      </c>
      <c r="AY13" s="247">
        <v>157</v>
      </c>
      <c r="AZ13" s="387">
        <v>154</v>
      </c>
      <c r="BA13" s="251">
        <v>158</v>
      </c>
      <c r="BB13" s="388">
        <v>177</v>
      </c>
      <c r="BC13" s="252">
        <v>180</v>
      </c>
      <c r="BD13" s="250">
        <v>173</v>
      </c>
      <c r="BE13" s="388">
        <v>174</v>
      </c>
      <c r="BF13" s="389">
        <v>182</v>
      </c>
      <c r="BG13" s="248">
        <v>173</v>
      </c>
      <c r="BH13" s="291">
        <v>160</v>
      </c>
      <c r="BI13" s="390">
        <v>162</v>
      </c>
      <c r="BJ13" s="386">
        <v>165</v>
      </c>
      <c r="BK13" s="250">
        <v>163</v>
      </c>
      <c r="BL13" s="292">
        <v>167</v>
      </c>
      <c r="BM13" s="245">
        <v>182</v>
      </c>
      <c r="BN13" s="389">
        <v>188</v>
      </c>
      <c r="BO13" s="391">
        <v>186</v>
      </c>
      <c r="BP13" s="392">
        <v>195</v>
      </c>
      <c r="BQ13" s="253">
        <v>192</v>
      </c>
      <c r="BR13" s="391">
        <v>184</v>
      </c>
      <c r="BS13" s="393">
        <v>184</v>
      </c>
      <c r="BT13" s="394">
        <v>178</v>
      </c>
      <c r="BU13" s="387">
        <v>178</v>
      </c>
      <c r="BV13" s="256">
        <v>171</v>
      </c>
      <c r="BW13" s="395">
        <v>170</v>
      </c>
      <c r="BX13" s="264">
        <v>172</v>
      </c>
      <c r="BY13" s="396">
        <v>183</v>
      </c>
      <c r="BZ13" s="262">
        <v>178</v>
      </c>
      <c r="CA13" s="264">
        <v>177</v>
      </c>
      <c r="CB13" s="395">
        <v>177</v>
      </c>
      <c r="CC13" s="286">
        <v>177</v>
      </c>
      <c r="CD13" s="395">
        <v>179</v>
      </c>
      <c r="CE13" s="253">
        <v>176</v>
      </c>
      <c r="CF13" s="386">
        <v>172</v>
      </c>
      <c r="CG13" s="397">
        <v>175</v>
      </c>
      <c r="CH13" s="252">
        <v>180</v>
      </c>
      <c r="CI13" s="389">
        <v>180</v>
      </c>
      <c r="CJ13" s="398">
        <v>168</v>
      </c>
      <c r="CK13" s="399">
        <v>174</v>
      </c>
      <c r="CL13" s="251">
        <v>175</v>
      </c>
      <c r="CM13" s="248">
        <v>177</v>
      </c>
      <c r="CN13" s="386">
        <v>170</v>
      </c>
      <c r="CO13" s="292">
        <v>164</v>
      </c>
      <c r="CP13" s="249">
        <v>161</v>
      </c>
      <c r="CQ13" s="259">
        <v>139</v>
      </c>
      <c r="CR13" s="259">
        <v>131</v>
      </c>
      <c r="CS13" s="254">
        <v>119</v>
      </c>
      <c r="CT13" s="284">
        <v>86</v>
      </c>
      <c r="CU13" s="285">
        <v>65</v>
      </c>
      <c r="CV13" s="388">
        <v>49</v>
      </c>
      <c r="CW13" s="400">
        <v>50</v>
      </c>
      <c r="CX13" s="252">
        <v>35</v>
      </c>
      <c r="CY13" s="286">
        <v>33</v>
      </c>
      <c r="CZ13" s="349">
        <v>27</v>
      </c>
      <c r="DA13" s="245">
        <v>13</v>
      </c>
      <c r="DB13" s="389">
        <v>14</v>
      </c>
      <c r="DC13" s="401">
        <v>10</v>
      </c>
      <c r="DD13" s="402">
        <v>10</v>
      </c>
      <c r="DE13" s="293">
        <v>3</v>
      </c>
      <c r="DF13" s="318">
        <v>3</v>
      </c>
      <c r="DG13" s="287">
        <v>3</v>
      </c>
      <c r="DH13" s="1">
        <v>0</v>
      </c>
      <c r="DI13" s="1">
        <v>0</v>
      </c>
      <c r="DJ13" s="1">
        <v>0</v>
      </c>
      <c r="DK13" s="1">
        <v>0</v>
      </c>
      <c r="DL13" s="1">
        <v>0</v>
      </c>
      <c r="DM13" s="1">
        <v>0</v>
      </c>
      <c r="DN13" s="1">
        <v>0</v>
      </c>
      <c r="DO13" s="1">
        <v>0</v>
      </c>
      <c r="DP13" s="1">
        <v>0</v>
      </c>
      <c r="DQ13" s="1">
        <v>0</v>
      </c>
      <c r="DR13" s="1">
        <v>0</v>
      </c>
      <c r="DS13" s="1">
        <v>0</v>
      </c>
      <c r="DT13" s="1">
        <v>0</v>
      </c>
      <c r="DU13" s="1">
        <v>0</v>
      </c>
      <c r="DV13" s="1">
        <v>0</v>
      </c>
      <c r="DW13" s="1">
        <v>0</v>
      </c>
      <c r="DX13" s="1">
        <v>0</v>
      </c>
      <c r="DY13" s="1">
        <v>0</v>
      </c>
      <c r="DZ13" s="1">
        <v>0</v>
      </c>
      <c r="EA13" s="1">
        <v>0</v>
      </c>
      <c r="EB13" s="1">
        <v>0</v>
      </c>
      <c r="EC13" s="1">
        <v>0</v>
      </c>
      <c r="ED13" s="1">
        <v>0</v>
      </c>
      <c r="EE13" s="1">
        <v>0</v>
      </c>
      <c r="EF13" s="1">
        <v>0</v>
      </c>
      <c r="EG13" s="1">
        <v>0</v>
      </c>
      <c r="EH13" s="1">
        <v>0</v>
      </c>
      <c r="EI13" s="1">
        <v>0</v>
      </c>
      <c r="EJ13" s="1">
        <v>0</v>
      </c>
      <c r="EK13" s="1">
        <v>0</v>
      </c>
      <c r="EL13" s="1">
        <v>0</v>
      </c>
      <c r="EM13" s="1">
        <v>0</v>
      </c>
      <c r="EN13" s="1">
        <v>0</v>
      </c>
      <c r="EO13" s="1">
        <v>0</v>
      </c>
      <c r="EP13" s="1">
        <v>0</v>
      </c>
      <c r="EQ13" s="1">
        <v>0</v>
      </c>
      <c r="ER13" s="1">
        <v>0</v>
      </c>
      <c r="ES13" s="1">
        <v>0</v>
      </c>
      <c r="ET13" s="1">
        <v>0</v>
      </c>
      <c r="EU13" s="1">
        <v>0</v>
      </c>
      <c r="EV13" s="1">
        <v>0</v>
      </c>
      <c r="EW13" s="1">
        <v>0</v>
      </c>
      <c r="EX13" s="1">
        <v>0</v>
      </c>
      <c r="EY13" s="1">
        <v>0</v>
      </c>
      <c r="EZ13" s="1">
        <v>0</v>
      </c>
      <c r="FA13" s="1">
        <v>0</v>
      </c>
      <c r="FB13" s="1">
        <v>0</v>
      </c>
      <c r="FC13" s="1">
        <v>0</v>
      </c>
      <c r="FD13" s="1">
        <v>0</v>
      </c>
      <c r="FE13" s="1">
        <v>0</v>
      </c>
      <c r="FF13" s="1">
        <v>0</v>
      </c>
      <c r="FG13" s="1">
        <v>0</v>
      </c>
      <c r="FH13" s="1">
        <v>0</v>
      </c>
      <c r="FI13" s="1">
        <v>0</v>
      </c>
      <c r="FJ13" s="1">
        <v>0</v>
      </c>
      <c r="FK13" s="1">
        <v>0</v>
      </c>
      <c r="FL13" s="1">
        <v>0</v>
      </c>
      <c r="FM13" s="1">
        <v>0</v>
      </c>
      <c r="FN13" s="1">
        <v>0</v>
      </c>
      <c r="FO13" s="1">
        <v>0</v>
      </c>
      <c r="FP13" s="1">
        <v>0</v>
      </c>
      <c r="FQ13" s="1">
        <v>0</v>
      </c>
      <c r="FR13" s="1">
        <v>0</v>
      </c>
      <c r="FS13" s="1">
        <v>0</v>
      </c>
      <c r="FT13" s="8">
        <v>0</v>
      </c>
    </row>
    <row r="14" spans="2:176" x14ac:dyDescent="0.25">
      <c r="G14" s="11" t="s">
        <v>83</v>
      </c>
      <c r="H14" s="233">
        <v>0</v>
      </c>
      <c r="I14" s="233">
        <v>0</v>
      </c>
      <c r="J14" s="233">
        <v>0</v>
      </c>
      <c r="K14" s="233">
        <v>0</v>
      </c>
      <c r="L14" s="233">
        <v>0</v>
      </c>
      <c r="M14" s="233">
        <v>0</v>
      </c>
      <c r="N14" s="233">
        <v>0</v>
      </c>
      <c r="O14" s="233">
        <v>0</v>
      </c>
      <c r="P14" s="233">
        <v>0</v>
      </c>
      <c r="Q14" s="233">
        <v>0</v>
      </c>
      <c r="R14" s="233">
        <v>0</v>
      </c>
      <c r="S14" s="233">
        <v>0</v>
      </c>
      <c r="T14" s="233">
        <v>0</v>
      </c>
      <c r="U14" s="233">
        <v>0</v>
      </c>
      <c r="V14" s="233">
        <v>0</v>
      </c>
      <c r="W14" s="233">
        <v>0</v>
      </c>
      <c r="X14" s="233">
        <v>0</v>
      </c>
      <c r="Y14" s="233">
        <v>0</v>
      </c>
      <c r="Z14" s="233">
        <v>0</v>
      </c>
      <c r="AA14" s="233">
        <v>0</v>
      </c>
      <c r="AB14" s="233">
        <v>0</v>
      </c>
      <c r="AC14" s="233">
        <v>0</v>
      </c>
      <c r="AD14" s="233">
        <v>0</v>
      </c>
      <c r="AE14" s="233">
        <v>0</v>
      </c>
      <c r="AF14" s="233">
        <v>0</v>
      </c>
      <c r="AG14" s="233">
        <v>0</v>
      </c>
      <c r="AH14" s="233">
        <v>0</v>
      </c>
      <c r="AI14" s="233">
        <v>0</v>
      </c>
      <c r="AJ14" s="233">
        <v>0</v>
      </c>
      <c r="AK14" s="233">
        <v>0</v>
      </c>
      <c r="AL14" s="233">
        <v>0</v>
      </c>
      <c r="AM14" s="233">
        <v>0</v>
      </c>
      <c r="AN14" s="233">
        <v>0</v>
      </c>
      <c r="AO14" s="233">
        <v>0</v>
      </c>
      <c r="AP14" s="233">
        <v>0</v>
      </c>
      <c r="AQ14" s="233">
        <v>0</v>
      </c>
      <c r="AR14" s="233">
        <v>0</v>
      </c>
      <c r="AS14" s="233">
        <v>0</v>
      </c>
      <c r="AT14" s="233">
        <v>0</v>
      </c>
      <c r="AU14" s="233">
        <v>0</v>
      </c>
      <c r="AV14" s="233">
        <v>0</v>
      </c>
      <c r="AW14" s="233">
        <v>0</v>
      </c>
      <c r="AX14" s="233">
        <v>0</v>
      </c>
      <c r="AY14" s="233">
        <v>0</v>
      </c>
      <c r="AZ14" s="233">
        <v>0</v>
      </c>
      <c r="BA14" s="233">
        <v>0</v>
      </c>
      <c r="BB14" s="233">
        <v>0</v>
      </c>
      <c r="BC14" s="233">
        <v>0</v>
      </c>
      <c r="BD14" s="233">
        <v>0</v>
      </c>
      <c r="BE14" s="233">
        <v>0</v>
      </c>
      <c r="BF14" s="233">
        <v>0</v>
      </c>
      <c r="BG14" s="233">
        <v>0</v>
      </c>
      <c r="BH14" s="233">
        <v>0</v>
      </c>
      <c r="BI14" s="233">
        <v>0</v>
      </c>
      <c r="BJ14" s="233">
        <v>0</v>
      </c>
      <c r="BK14" s="233">
        <v>0</v>
      </c>
      <c r="BL14" s="233">
        <v>0</v>
      </c>
      <c r="BM14" s="233">
        <v>0</v>
      </c>
      <c r="BN14" s="233">
        <v>0</v>
      </c>
      <c r="BO14" s="233">
        <v>0</v>
      </c>
      <c r="BP14" s="233">
        <v>0</v>
      </c>
      <c r="BQ14" s="233">
        <v>0</v>
      </c>
      <c r="BR14" s="233">
        <v>0</v>
      </c>
      <c r="BS14" s="233">
        <v>0</v>
      </c>
      <c r="BT14" s="233">
        <v>0</v>
      </c>
      <c r="BU14" s="233">
        <v>0</v>
      </c>
      <c r="BV14" s="233">
        <v>0</v>
      </c>
      <c r="BW14" s="233">
        <v>0</v>
      </c>
      <c r="BX14" s="233">
        <v>0</v>
      </c>
      <c r="BY14" s="233">
        <v>0</v>
      </c>
      <c r="BZ14" s="233">
        <v>0</v>
      </c>
      <c r="CA14" s="233">
        <v>0</v>
      </c>
      <c r="CB14" s="233">
        <v>0</v>
      </c>
      <c r="CC14" s="233">
        <v>0</v>
      </c>
      <c r="CD14" s="233">
        <v>0</v>
      </c>
      <c r="CE14" s="233">
        <v>0</v>
      </c>
      <c r="CF14" s="233">
        <v>0</v>
      </c>
      <c r="CG14" s="233">
        <v>0</v>
      </c>
      <c r="CH14" s="233">
        <v>0</v>
      </c>
      <c r="CI14" s="233">
        <v>0</v>
      </c>
      <c r="CJ14" s="233">
        <v>0</v>
      </c>
      <c r="CK14" s="233">
        <v>0</v>
      </c>
      <c r="CL14" s="233">
        <v>0</v>
      </c>
      <c r="CM14" s="233">
        <v>0</v>
      </c>
      <c r="CN14" s="233">
        <v>0</v>
      </c>
      <c r="CO14" s="233">
        <v>0</v>
      </c>
      <c r="CP14" s="233">
        <v>0</v>
      </c>
      <c r="CQ14" s="233">
        <v>0</v>
      </c>
      <c r="CR14" s="233">
        <v>0</v>
      </c>
      <c r="CS14" s="233">
        <v>0</v>
      </c>
      <c r="CT14" s="233">
        <v>0</v>
      </c>
      <c r="CU14" s="233">
        <v>0</v>
      </c>
      <c r="CV14" s="233">
        <v>0</v>
      </c>
      <c r="CW14" s="233">
        <v>0</v>
      </c>
      <c r="CX14" s="233">
        <v>0</v>
      </c>
      <c r="CY14" s="233">
        <v>0</v>
      </c>
      <c r="CZ14" s="233">
        <v>0</v>
      </c>
      <c r="DA14" s="233">
        <v>0</v>
      </c>
      <c r="DB14" s="233">
        <v>0</v>
      </c>
      <c r="DC14" s="233">
        <v>0</v>
      </c>
      <c r="DD14" s="233">
        <v>0</v>
      </c>
      <c r="DE14" s="233">
        <v>0</v>
      </c>
      <c r="DF14" s="233">
        <v>0</v>
      </c>
      <c r="DG14" s="233">
        <v>0</v>
      </c>
      <c r="DH14" s="1">
        <v>0</v>
      </c>
      <c r="DI14" s="1">
        <v>0</v>
      </c>
      <c r="DJ14" s="1">
        <v>0</v>
      </c>
      <c r="DK14" s="1">
        <v>0</v>
      </c>
      <c r="DL14" s="1">
        <v>0</v>
      </c>
      <c r="DM14" s="1">
        <v>0</v>
      </c>
      <c r="DN14" s="1">
        <v>0</v>
      </c>
      <c r="DO14" s="1">
        <v>0</v>
      </c>
      <c r="DP14" s="1">
        <v>0</v>
      </c>
      <c r="DQ14" s="1">
        <v>0</v>
      </c>
      <c r="DR14" s="1">
        <v>0</v>
      </c>
      <c r="DS14" s="1">
        <v>0</v>
      </c>
      <c r="DT14" s="1">
        <v>0</v>
      </c>
      <c r="DU14" s="1">
        <v>0</v>
      </c>
      <c r="DV14" s="1">
        <v>0</v>
      </c>
      <c r="DW14" s="1">
        <v>0</v>
      </c>
      <c r="DX14" s="1">
        <v>0</v>
      </c>
      <c r="DY14" s="1">
        <v>0</v>
      </c>
      <c r="DZ14" s="1">
        <v>0</v>
      </c>
      <c r="EA14" s="1">
        <v>0</v>
      </c>
      <c r="EB14" s="1">
        <v>0</v>
      </c>
      <c r="EC14" s="1">
        <v>0</v>
      </c>
      <c r="ED14" s="1">
        <v>0</v>
      </c>
      <c r="EE14" s="1">
        <v>0</v>
      </c>
      <c r="EF14" s="1">
        <v>0</v>
      </c>
      <c r="EG14" s="1">
        <v>0</v>
      </c>
      <c r="EH14" s="1">
        <v>0</v>
      </c>
      <c r="EI14" s="1">
        <v>0</v>
      </c>
      <c r="EJ14" s="1">
        <v>0</v>
      </c>
      <c r="EK14" s="1">
        <v>0</v>
      </c>
      <c r="EL14" s="1">
        <v>0</v>
      </c>
      <c r="EM14" s="1">
        <v>0</v>
      </c>
      <c r="EN14" s="1">
        <v>0</v>
      </c>
      <c r="EO14" s="1">
        <v>0</v>
      </c>
      <c r="EP14" s="1">
        <v>0</v>
      </c>
      <c r="EQ14" s="1">
        <v>0</v>
      </c>
      <c r="ER14" s="1">
        <v>0</v>
      </c>
      <c r="ES14" s="1">
        <v>0</v>
      </c>
      <c r="ET14" s="1">
        <v>0</v>
      </c>
      <c r="EU14" s="1">
        <v>0</v>
      </c>
      <c r="EV14" s="1">
        <v>0</v>
      </c>
      <c r="EW14" s="1">
        <v>0</v>
      </c>
      <c r="EX14" s="1">
        <v>0</v>
      </c>
      <c r="EY14" s="1">
        <v>0</v>
      </c>
      <c r="EZ14" s="1">
        <v>0</v>
      </c>
      <c r="FA14" s="1">
        <v>0</v>
      </c>
      <c r="FB14" s="1">
        <v>0</v>
      </c>
      <c r="FC14" s="1">
        <v>0</v>
      </c>
      <c r="FD14" s="1">
        <v>0</v>
      </c>
      <c r="FE14" s="1">
        <v>0</v>
      </c>
      <c r="FF14" s="1">
        <v>0</v>
      </c>
      <c r="FG14" s="1">
        <v>0</v>
      </c>
      <c r="FH14" s="1">
        <v>0</v>
      </c>
      <c r="FI14" s="1">
        <v>0</v>
      </c>
      <c r="FJ14" s="1">
        <v>0</v>
      </c>
      <c r="FK14" s="1">
        <v>0</v>
      </c>
      <c r="FL14" s="1">
        <v>0</v>
      </c>
      <c r="FM14" s="1">
        <v>0</v>
      </c>
      <c r="FN14" s="1">
        <v>0</v>
      </c>
      <c r="FO14" s="1">
        <v>0</v>
      </c>
      <c r="FP14" s="1">
        <v>0</v>
      </c>
      <c r="FQ14" s="1">
        <v>0</v>
      </c>
      <c r="FR14" s="1">
        <v>0</v>
      </c>
      <c r="FS14" s="1">
        <v>0</v>
      </c>
      <c r="FT14" s="8">
        <v>0</v>
      </c>
    </row>
    <row r="15" spans="2:176" x14ac:dyDescent="0.25">
      <c r="G15" s="11" t="s">
        <v>117</v>
      </c>
      <c r="H15" s="233">
        <v>0</v>
      </c>
      <c r="I15" s="233">
        <v>0</v>
      </c>
      <c r="J15" s="1">
        <v>0</v>
      </c>
      <c r="K15" s="233">
        <v>0</v>
      </c>
      <c r="L15" s="233">
        <v>0</v>
      </c>
      <c r="M15" s="233">
        <v>0</v>
      </c>
      <c r="N15" s="233">
        <v>0</v>
      </c>
      <c r="O15" s="233">
        <v>0</v>
      </c>
      <c r="P15" s="233">
        <v>0</v>
      </c>
      <c r="Q15" s="233">
        <v>0</v>
      </c>
      <c r="R15" s="233">
        <v>0</v>
      </c>
      <c r="S15" s="233">
        <v>0</v>
      </c>
      <c r="T15" s="233">
        <v>0</v>
      </c>
      <c r="U15" s="233">
        <v>0</v>
      </c>
      <c r="V15" s="233">
        <v>0</v>
      </c>
      <c r="W15" s="233">
        <v>0</v>
      </c>
      <c r="X15" s="233">
        <v>0</v>
      </c>
      <c r="Y15" s="233">
        <v>0</v>
      </c>
      <c r="Z15" s="233">
        <v>0</v>
      </c>
      <c r="AA15" s="233">
        <v>0</v>
      </c>
      <c r="AB15" s="233">
        <v>0</v>
      </c>
      <c r="AC15" s="233">
        <v>0</v>
      </c>
      <c r="AD15" s="233">
        <v>0</v>
      </c>
      <c r="AE15" s="233">
        <v>0</v>
      </c>
      <c r="AF15" s="233">
        <v>0</v>
      </c>
      <c r="AG15" s="233">
        <v>0</v>
      </c>
      <c r="AH15" s="233">
        <v>0</v>
      </c>
      <c r="AI15" s="233">
        <v>0</v>
      </c>
      <c r="AJ15" s="233">
        <v>0</v>
      </c>
      <c r="AK15" s="233">
        <v>0</v>
      </c>
      <c r="AL15" s="233">
        <v>0</v>
      </c>
      <c r="AM15" s="233">
        <v>0</v>
      </c>
      <c r="AN15" s="233">
        <v>0</v>
      </c>
      <c r="AO15" s="233">
        <v>0</v>
      </c>
      <c r="AP15" s="233">
        <v>0</v>
      </c>
      <c r="AQ15" s="233">
        <v>0</v>
      </c>
      <c r="AR15" s="233">
        <v>0</v>
      </c>
      <c r="AS15" s="233">
        <v>0</v>
      </c>
      <c r="AT15" s="233">
        <v>0</v>
      </c>
      <c r="AU15" s="233">
        <v>0</v>
      </c>
      <c r="AV15" s="233">
        <v>0</v>
      </c>
      <c r="AW15" s="233">
        <v>0</v>
      </c>
      <c r="AX15" s="233">
        <v>0</v>
      </c>
      <c r="AY15" s="233">
        <v>0</v>
      </c>
      <c r="AZ15" s="233">
        <v>0</v>
      </c>
      <c r="BA15" s="233">
        <v>0</v>
      </c>
      <c r="BB15" s="233">
        <v>0</v>
      </c>
      <c r="BC15" s="233">
        <v>0</v>
      </c>
      <c r="BD15" s="233">
        <v>0</v>
      </c>
      <c r="BE15" s="233">
        <v>0</v>
      </c>
      <c r="BF15" s="233">
        <v>0</v>
      </c>
      <c r="BG15" s="233">
        <v>0</v>
      </c>
      <c r="BH15" s="233">
        <v>0</v>
      </c>
      <c r="BI15" s="233">
        <v>0</v>
      </c>
      <c r="BJ15" s="233">
        <v>0</v>
      </c>
      <c r="BK15" s="233">
        <v>0</v>
      </c>
      <c r="BL15" s="233">
        <v>0</v>
      </c>
      <c r="BM15" s="233">
        <v>0</v>
      </c>
      <c r="BN15" s="233">
        <v>0</v>
      </c>
      <c r="BO15" s="233">
        <v>0</v>
      </c>
      <c r="BP15" s="233">
        <v>0</v>
      </c>
      <c r="BQ15" s="233">
        <v>0</v>
      </c>
      <c r="BR15" s="233">
        <v>0</v>
      </c>
      <c r="BS15" s="233">
        <v>0</v>
      </c>
      <c r="BT15" s="233">
        <v>0</v>
      </c>
      <c r="BU15" s="233">
        <v>0</v>
      </c>
      <c r="BV15" s="233">
        <v>0</v>
      </c>
      <c r="BW15" s="233">
        <v>0</v>
      </c>
      <c r="BX15" s="233">
        <v>0</v>
      </c>
      <c r="BY15" s="233">
        <v>0</v>
      </c>
      <c r="BZ15" s="233">
        <v>0</v>
      </c>
      <c r="CA15" s="233">
        <v>0</v>
      </c>
      <c r="CB15" s="233">
        <v>0</v>
      </c>
      <c r="CC15" s="233">
        <v>0</v>
      </c>
      <c r="CD15" s="233">
        <v>0</v>
      </c>
      <c r="CE15" s="233">
        <v>0</v>
      </c>
      <c r="CF15" s="233">
        <v>0</v>
      </c>
      <c r="CG15" s="234">
        <v>1</v>
      </c>
      <c r="CH15" s="234">
        <v>1</v>
      </c>
      <c r="CI15" s="234">
        <v>1</v>
      </c>
      <c r="CJ15" s="234">
        <v>1</v>
      </c>
      <c r="CK15" s="234">
        <v>1</v>
      </c>
      <c r="CL15" s="233">
        <v>0</v>
      </c>
      <c r="CM15" s="233">
        <v>0</v>
      </c>
      <c r="CN15" s="233">
        <v>0</v>
      </c>
      <c r="CO15" s="233">
        <v>0</v>
      </c>
      <c r="CP15" s="233">
        <v>0</v>
      </c>
      <c r="CQ15" s="233">
        <v>0</v>
      </c>
      <c r="CR15" s="233">
        <v>0</v>
      </c>
      <c r="CS15" s="233">
        <v>0</v>
      </c>
      <c r="CT15" s="233">
        <v>0</v>
      </c>
      <c r="CU15" s="233">
        <v>0</v>
      </c>
      <c r="CV15" s="233">
        <v>0</v>
      </c>
      <c r="CW15" s="233">
        <v>0</v>
      </c>
      <c r="CX15" s="233">
        <v>0</v>
      </c>
      <c r="CY15" s="233">
        <v>0</v>
      </c>
      <c r="CZ15" s="233">
        <v>0</v>
      </c>
      <c r="DA15" s="233">
        <v>0</v>
      </c>
      <c r="DB15" s="233">
        <v>0</v>
      </c>
      <c r="DC15" s="233">
        <v>0</v>
      </c>
      <c r="DD15" s="233">
        <v>0</v>
      </c>
      <c r="DE15" s="233">
        <v>0</v>
      </c>
      <c r="DF15" s="233">
        <v>0</v>
      </c>
      <c r="DG15" s="233">
        <v>0</v>
      </c>
      <c r="DH15" s="1">
        <v>0</v>
      </c>
      <c r="DI15" s="1">
        <v>0</v>
      </c>
      <c r="DJ15" s="1">
        <v>0</v>
      </c>
      <c r="DK15" s="1">
        <v>0</v>
      </c>
      <c r="DL15" s="1">
        <v>0</v>
      </c>
      <c r="DM15" s="1">
        <v>0</v>
      </c>
      <c r="DN15" s="1">
        <v>0</v>
      </c>
      <c r="DO15" s="1">
        <v>0</v>
      </c>
      <c r="DP15" s="1">
        <v>0</v>
      </c>
      <c r="DQ15" s="1">
        <v>0</v>
      </c>
      <c r="DR15" s="1">
        <v>0</v>
      </c>
      <c r="DS15" s="1">
        <v>0</v>
      </c>
      <c r="DT15" s="1">
        <v>0</v>
      </c>
      <c r="DU15" s="1">
        <v>0</v>
      </c>
      <c r="DV15" s="1">
        <v>0</v>
      </c>
      <c r="DW15" s="1">
        <v>0</v>
      </c>
      <c r="DX15" s="1">
        <v>0</v>
      </c>
      <c r="DY15" s="1">
        <v>0</v>
      </c>
      <c r="DZ15" s="1">
        <v>0</v>
      </c>
      <c r="EA15" s="1">
        <v>0</v>
      </c>
      <c r="EB15" s="1">
        <v>0</v>
      </c>
      <c r="EC15" s="1">
        <v>0</v>
      </c>
      <c r="ED15" s="1">
        <v>0</v>
      </c>
      <c r="EE15" s="1">
        <v>0</v>
      </c>
      <c r="EF15" s="1">
        <v>0</v>
      </c>
      <c r="EG15" s="1">
        <v>0</v>
      </c>
      <c r="EH15" s="1">
        <v>0</v>
      </c>
      <c r="EI15" s="1">
        <v>0</v>
      </c>
      <c r="EJ15" s="1">
        <v>0</v>
      </c>
      <c r="EK15" s="1">
        <v>0</v>
      </c>
      <c r="EL15" s="1">
        <v>0</v>
      </c>
      <c r="EM15" s="1">
        <v>0</v>
      </c>
      <c r="EN15" s="1">
        <v>0</v>
      </c>
      <c r="EO15" s="1">
        <v>0</v>
      </c>
      <c r="EP15" s="1">
        <v>0</v>
      </c>
      <c r="EQ15" s="1">
        <v>0</v>
      </c>
      <c r="ER15" s="1">
        <v>0</v>
      </c>
      <c r="ES15" s="1">
        <v>0</v>
      </c>
      <c r="ET15" s="1">
        <v>0</v>
      </c>
      <c r="EU15" s="1">
        <v>0</v>
      </c>
      <c r="EV15" s="1">
        <v>0</v>
      </c>
      <c r="EW15" s="1">
        <v>0</v>
      </c>
      <c r="EX15" s="1">
        <v>0</v>
      </c>
      <c r="EY15" s="1">
        <v>0</v>
      </c>
      <c r="EZ15" s="1">
        <v>0</v>
      </c>
      <c r="FA15" s="1">
        <v>0</v>
      </c>
      <c r="FB15" s="1">
        <v>0</v>
      </c>
      <c r="FC15" s="1">
        <v>0</v>
      </c>
      <c r="FD15" s="1">
        <v>0</v>
      </c>
      <c r="FE15" s="1">
        <v>0</v>
      </c>
      <c r="FF15" s="1">
        <v>0</v>
      </c>
      <c r="FG15" s="1">
        <v>0</v>
      </c>
      <c r="FH15" s="1">
        <v>0</v>
      </c>
      <c r="FI15" s="1">
        <v>0</v>
      </c>
      <c r="FJ15" s="1">
        <v>0</v>
      </c>
      <c r="FK15" s="1">
        <v>0</v>
      </c>
      <c r="FL15" s="1">
        <v>0</v>
      </c>
      <c r="FM15" s="1">
        <v>0</v>
      </c>
      <c r="FN15" s="1">
        <v>0</v>
      </c>
      <c r="FO15" s="1">
        <v>0</v>
      </c>
      <c r="FP15" s="1">
        <v>0</v>
      </c>
      <c r="FQ15" s="1">
        <v>0</v>
      </c>
      <c r="FR15" s="1">
        <v>0</v>
      </c>
      <c r="FS15" s="1">
        <v>0</v>
      </c>
      <c r="FT15" s="8">
        <v>0</v>
      </c>
    </row>
    <row r="16" spans="2:176" x14ac:dyDescent="0.25">
      <c r="G16" s="11" t="s">
        <v>84</v>
      </c>
      <c r="H16" s="403">
        <v>371</v>
      </c>
      <c r="I16" s="234">
        <v>1</v>
      </c>
      <c r="J16" s="233">
        <v>0</v>
      </c>
      <c r="K16" s="234">
        <v>1</v>
      </c>
      <c r="L16" s="234">
        <v>1</v>
      </c>
      <c r="M16" s="234">
        <v>1</v>
      </c>
      <c r="N16" s="238">
        <v>3</v>
      </c>
      <c r="O16" s="232">
        <v>4</v>
      </c>
      <c r="P16" s="238">
        <v>3</v>
      </c>
      <c r="Q16" s="234">
        <v>1</v>
      </c>
      <c r="R16" s="238">
        <v>3</v>
      </c>
      <c r="S16" s="238">
        <v>3</v>
      </c>
      <c r="T16" s="237">
        <v>6</v>
      </c>
      <c r="U16" s="232">
        <v>4</v>
      </c>
      <c r="V16" s="309">
        <v>5</v>
      </c>
      <c r="W16" s="308">
        <v>8</v>
      </c>
      <c r="X16" s="237">
        <v>6</v>
      </c>
      <c r="Y16" s="308">
        <v>8</v>
      </c>
      <c r="Z16" s="237">
        <v>6</v>
      </c>
      <c r="AA16" s="242">
        <v>4</v>
      </c>
      <c r="AB16" s="239">
        <v>7</v>
      </c>
      <c r="AC16" s="341">
        <v>10</v>
      </c>
      <c r="AD16" s="339">
        <v>13</v>
      </c>
      <c r="AE16" s="404">
        <v>14</v>
      </c>
      <c r="AF16" s="316">
        <v>15</v>
      </c>
      <c r="AG16" s="322">
        <v>30</v>
      </c>
      <c r="AH16" s="268">
        <v>31</v>
      </c>
      <c r="AI16" s="269">
        <v>20</v>
      </c>
      <c r="AJ16" s="236">
        <v>22</v>
      </c>
      <c r="AK16" s="307">
        <v>14</v>
      </c>
      <c r="AL16" s="303">
        <v>12</v>
      </c>
      <c r="AM16" s="308">
        <v>9</v>
      </c>
      <c r="AN16" s="341">
        <v>11</v>
      </c>
      <c r="AO16" s="321">
        <v>20</v>
      </c>
      <c r="AP16" s="243">
        <v>17</v>
      </c>
      <c r="AQ16" s="267">
        <v>37</v>
      </c>
      <c r="AR16" s="318">
        <v>47</v>
      </c>
      <c r="AS16" s="359">
        <v>52</v>
      </c>
      <c r="AT16" s="323">
        <v>39</v>
      </c>
      <c r="AU16" s="359">
        <v>50</v>
      </c>
      <c r="AV16" s="405">
        <v>45</v>
      </c>
      <c r="AW16" s="279">
        <v>112</v>
      </c>
      <c r="AX16" s="406">
        <v>102</v>
      </c>
      <c r="AY16" s="273">
        <v>96</v>
      </c>
      <c r="AZ16" s="274">
        <v>92</v>
      </c>
      <c r="BA16" s="277">
        <v>88</v>
      </c>
      <c r="BB16" s="356">
        <v>104</v>
      </c>
      <c r="BC16" s="278">
        <v>122</v>
      </c>
      <c r="BD16" s="314">
        <v>110</v>
      </c>
      <c r="BE16" s="356">
        <v>102</v>
      </c>
      <c r="BF16" s="281">
        <v>131</v>
      </c>
      <c r="BG16" s="280">
        <v>130</v>
      </c>
      <c r="BH16" s="349">
        <v>92</v>
      </c>
      <c r="BI16" s="313">
        <v>79</v>
      </c>
      <c r="BJ16" s="406">
        <v>108</v>
      </c>
      <c r="BK16" s="314">
        <v>104</v>
      </c>
      <c r="BL16" s="353">
        <v>104</v>
      </c>
      <c r="BM16" s="407">
        <v>155</v>
      </c>
      <c r="BN16" s="281">
        <v>135</v>
      </c>
      <c r="BO16" s="281">
        <v>132</v>
      </c>
      <c r="BP16" s="355">
        <v>135</v>
      </c>
      <c r="BQ16" s="408">
        <v>141</v>
      </c>
      <c r="BR16" s="281">
        <v>131</v>
      </c>
      <c r="BS16" s="280">
        <v>138</v>
      </c>
      <c r="BT16" s="275">
        <v>112</v>
      </c>
      <c r="BU16" s="274">
        <v>106</v>
      </c>
      <c r="BV16" s="257">
        <v>158</v>
      </c>
      <c r="BW16" s="263">
        <v>135</v>
      </c>
      <c r="BX16" s="263">
        <v>134</v>
      </c>
      <c r="BY16" s="259">
        <v>163</v>
      </c>
      <c r="BZ16" s="409">
        <v>264</v>
      </c>
      <c r="CA16" s="263">
        <v>139</v>
      </c>
      <c r="CB16" s="258">
        <v>142</v>
      </c>
      <c r="CC16" s="410">
        <v>154</v>
      </c>
      <c r="CD16" s="288">
        <v>143</v>
      </c>
      <c r="CE16" s="279">
        <v>131</v>
      </c>
      <c r="CF16" s="406">
        <v>112</v>
      </c>
      <c r="CG16" s="355">
        <v>122</v>
      </c>
      <c r="CH16" s="278">
        <v>123</v>
      </c>
      <c r="CI16" s="281">
        <v>130</v>
      </c>
      <c r="CJ16" s="411">
        <v>80</v>
      </c>
      <c r="CK16" s="272">
        <v>91</v>
      </c>
      <c r="CL16" s="289">
        <v>98</v>
      </c>
      <c r="CM16" s="270">
        <v>136</v>
      </c>
      <c r="CN16" s="406">
        <v>111</v>
      </c>
      <c r="CO16" s="273">
        <v>101</v>
      </c>
      <c r="CP16" s="258">
        <v>131</v>
      </c>
      <c r="CQ16" s="396">
        <v>157</v>
      </c>
      <c r="CR16" s="396">
        <v>148</v>
      </c>
      <c r="CS16" s="255">
        <v>122</v>
      </c>
      <c r="CT16" s="402">
        <v>95</v>
      </c>
      <c r="CU16" s="260">
        <v>61</v>
      </c>
      <c r="CV16" s="274">
        <v>29</v>
      </c>
      <c r="CW16" s="261">
        <v>42</v>
      </c>
      <c r="CX16" s="355">
        <v>24</v>
      </c>
      <c r="CY16" s="412">
        <v>29</v>
      </c>
      <c r="CZ16" s="291">
        <v>47</v>
      </c>
      <c r="DA16" s="261">
        <v>11</v>
      </c>
      <c r="DB16" s="281">
        <v>10</v>
      </c>
      <c r="DC16" s="276">
        <v>6</v>
      </c>
      <c r="DD16" s="283">
        <v>9</v>
      </c>
      <c r="DE16" s="267">
        <v>1</v>
      </c>
      <c r="DF16" s="384">
        <v>7</v>
      </c>
      <c r="DG16" s="287">
        <v>3</v>
      </c>
      <c r="DH16" s="1">
        <v>0</v>
      </c>
      <c r="DI16" s="1">
        <v>0</v>
      </c>
      <c r="DJ16" s="1">
        <v>0</v>
      </c>
      <c r="DK16" s="1">
        <v>0</v>
      </c>
      <c r="DL16" s="1">
        <v>0</v>
      </c>
      <c r="DM16" s="1">
        <v>0</v>
      </c>
      <c r="DN16" s="1">
        <v>0</v>
      </c>
      <c r="DO16" s="1">
        <v>0</v>
      </c>
      <c r="DP16" s="1">
        <v>0</v>
      </c>
      <c r="DQ16" s="1">
        <v>0</v>
      </c>
      <c r="DR16" s="1">
        <v>0</v>
      </c>
      <c r="DS16" s="1">
        <v>0</v>
      </c>
      <c r="DT16" s="1">
        <v>0</v>
      </c>
      <c r="DU16" s="1">
        <v>0</v>
      </c>
      <c r="DV16" s="1">
        <v>0</v>
      </c>
      <c r="DW16" s="1">
        <v>0</v>
      </c>
      <c r="DX16" s="1">
        <v>0</v>
      </c>
      <c r="DY16" s="1">
        <v>0</v>
      </c>
      <c r="DZ16" s="1">
        <v>0</v>
      </c>
      <c r="EA16" s="1">
        <v>0</v>
      </c>
      <c r="EB16" s="1">
        <v>0</v>
      </c>
      <c r="EC16" s="1">
        <v>0</v>
      </c>
      <c r="ED16" s="1">
        <v>0</v>
      </c>
      <c r="EE16" s="1">
        <v>0</v>
      </c>
      <c r="EF16" s="1">
        <v>0</v>
      </c>
      <c r="EG16" s="1">
        <v>0</v>
      </c>
      <c r="EH16" s="1">
        <v>0</v>
      </c>
      <c r="EI16" s="1">
        <v>0</v>
      </c>
      <c r="EJ16" s="1">
        <v>0</v>
      </c>
      <c r="EK16" s="1">
        <v>0</v>
      </c>
      <c r="EL16" s="1">
        <v>0</v>
      </c>
      <c r="EM16" s="1">
        <v>0</v>
      </c>
      <c r="EN16" s="1">
        <v>0</v>
      </c>
      <c r="EO16" s="1">
        <v>0</v>
      </c>
      <c r="EP16" s="1">
        <v>0</v>
      </c>
      <c r="EQ16" s="1">
        <v>0</v>
      </c>
      <c r="ER16" s="1">
        <v>0</v>
      </c>
      <c r="ES16" s="1">
        <v>0</v>
      </c>
      <c r="ET16" s="1">
        <v>0</v>
      </c>
      <c r="EU16" s="1">
        <v>0</v>
      </c>
      <c r="EV16" s="1">
        <v>0</v>
      </c>
      <c r="EW16" s="1">
        <v>0</v>
      </c>
      <c r="EX16" s="1">
        <v>0</v>
      </c>
      <c r="EY16" s="1">
        <v>0</v>
      </c>
      <c r="EZ16" s="1">
        <v>0</v>
      </c>
      <c r="FA16" s="1">
        <v>0</v>
      </c>
      <c r="FB16" s="1">
        <v>0</v>
      </c>
      <c r="FC16" s="1">
        <v>0</v>
      </c>
      <c r="FD16" s="1">
        <v>0</v>
      </c>
      <c r="FE16" s="1">
        <v>0</v>
      </c>
      <c r="FF16" s="1">
        <v>0</v>
      </c>
      <c r="FG16" s="1">
        <v>0</v>
      </c>
      <c r="FH16" s="1">
        <v>0</v>
      </c>
      <c r="FI16" s="1">
        <v>0</v>
      </c>
      <c r="FJ16" s="1">
        <v>0</v>
      </c>
      <c r="FK16" s="1">
        <v>0</v>
      </c>
      <c r="FL16" s="1">
        <v>0</v>
      </c>
      <c r="FM16" s="1">
        <v>0</v>
      </c>
      <c r="FN16" s="1">
        <v>0</v>
      </c>
      <c r="FO16" s="1">
        <v>0</v>
      </c>
      <c r="FP16" s="1">
        <v>0</v>
      </c>
      <c r="FQ16" s="1">
        <v>0</v>
      </c>
      <c r="FR16" s="1">
        <v>0</v>
      </c>
      <c r="FS16" s="1">
        <v>0</v>
      </c>
      <c r="FT16" s="8">
        <v>0</v>
      </c>
    </row>
    <row r="17" spans="7:176" x14ac:dyDescent="0.25">
      <c r="G17" s="11" t="s">
        <v>85</v>
      </c>
      <c r="H17" s="4">
        <v>371</v>
      </c>
      <c r="I17" s="4">
        <v>1</v>
      </c>
      <c r="J17" s="1">
        <v>0</v>
      </c>
      <c r="K17" s="4">
        <v>1</v>
      </c>
      <c r="L17" s="4">
        <v>1</v>
      </c>
      <c r="M17" s="4">
        <v>1</v>
      </c>
      <c r="N17" s="4">
        <v>3</v>
      </c>
      <c r="O17" s="4">
        <v>4</v>
      </c>
      <c r="P17" s="4">
        <v>3</v>
      </c>
      <c r="Q17" s="4">
        <v>1</v>
      </c>
      <c r="R17" s="4">
        <v>3</v>
      </c>
      <c r="S17" s="4">
        <v>3</v>
      </c>
      <c r="T17" s="4">
        <v>6</v>
      </c>
      <c r="U17" s="4">
        <v>4</v>
      </c>
      <c r="V17" s="4">
        <v>5</v>
      </c>
      <c r="W17" s="4">
        <v>8</v>
      </c>
      <c r="X17" s="4">
        <v>6</v>
      </c>
      <c r="Y17" s="4">
        <v>8</v>
      </c>
      <c r="Z17" s="4">
        <v>6</v>
      </c>
      <c r="AA17" s="4">
        <v>4</v>
      </c>
      <c r="AB17" s="4">
        <v>7</v>
      </c>
      <c r="AC17" s="4">
        <v>10</v>
      </c>
      <c r="AD17" s="4">
        <v>13</v>
      </c>
      <c r="AE17" s="4">
        <v>14</v>
      </c>
      <c r="AF17" s="4">
        <v>15</v>
      </c>
      <c r="AG17" s="4">
        <v>30</v>
      </c>
      <c r="AH17" s="4">
        <v>31</v>
      </c>
      <c r="AI17" s="4">
        <v>20</v>
      </c>
      <c r="AJ17" s="4">
        <v>22</v>
      </c>
      <c r="AK17" s="4">
        <v>14</v>
      </c>
      <c r="AL17" s="4">
        <v>12</v>
      </c>
      <c r="AM17" s="4">
        <v>9</v>
      </c>
      <c r="AN17" s="4">
        <v>11</v>
      </c>
      <c r="AO17" s="4">
        <v>20</v>
      </c>
      <c r="AP17" s="4">
        <v>17</v>
      </c>
      <c r="AQ17" s="4">
        <v>37</v>
      </c>
      <c r="AR17" s="4">
        <v>47</v>
      </c>
      <c r="AS17" s="4">
        <v>52</v>
      </c>
      <c r="AT17" s="4">
        <v>39</v>
      </c>
      <c r="AU17" s="4">
        <v>50</v>
      </c>
      <c r="AV17" s="4">
        <v>45</v>
      </c>
      <c r="AW17" s="4">
        <v>112</v>
      </c>
      <c r="AX17" s="4">
        <v>102</v>
      </c>
      <c r="AY17" s="4">
        <v>96</v>
      </c>
      <c r="AZ17" s="4">
        <v>92</v>
      </c>
      <c r="BA17" s="4">
        <v>88</v>
      </c>
      <c r="BB17" s="4">
        <v>104</v>
      </c>
      <c r="BC17" s="4">
        <v>122</v>
      </c>
      <c r="BD17" s="4">
        <v>110</v>
      </c>
      <c r="BE17" s="4">
        <v>102</v>
      </c>
      <c r="BF17" s="4">
        <v>131</v>
      </c>
      <c r="BG17" s="4">
        <v>130</v>
      </c>
      <c r="BH17" s="4">
        <v>92</v>
      </c>
      <c r="BI17" s="4">
        <v>79</v>
      </c>
      <c r="BJ17" s="4">
        <v>108</v>
      </c>
      <c r="BK17" s="4">
        <v>104</v>
      </c>
      <c r="BL17" s="4">
        <v>104</v>
      </c>
      <c r="BM17" s="4">
        <v>155</v>
      </c>
      <c r="BN17" s="4">
        <v>135</v>
      </c>
      <c r="BO17" s="4">
        <v>132</v>
      </c>
      <c r="BP17" s="4">
        <v>135</v>
      </c>
      <c r="BQ17" s="4">
        <v>141</v>
      </c>
      <c r="BR17" s="4">
        <v>131</v>
      </c>
      <c r="BS17" s="413">
        <v>137</v>
      </c>
      <c r="BT17" s="414">
        <v>111</v>
      </c>
      <c r="BU17" s="415">
        <v>105</v>
      </c>
      <c r="BV17" s="416">
        <v>157</v>
      </c>
      <c r="BW17" s="413">
        <v>134</v>
      </c>
      <c r="BX17" s="413">
        <v>133</v>
      </c>
      <c r="BY17" s="362">
        <v>161</v>
      </c>
      <c r="BZ17" s="417">
        <v>261</v>
      </c>
      <c r="CA17" s="418">
        <v>136</v>
      </c>
      <c r="CB17" s="419">
        <v>138</v>
      </c>
      <c r="CC17" s="420">
        <v>150</v>
      </c>
      <c r="CD17" s="419">
        <v>139</v>
      </c>
      <c r="CE17" s="421">
        <v>126</v>
      </c>
      <c r="CF17" s="422">
        <v>107</v>
      </c>
      <c r="CG17" s="423">
        <v>114</v>
      </c>
      <c r="CH17" s="424">
        <v>114</v>
      </c>
      <c r="CI17" s="425">
        <v>119</v>
      </c>
      <c r="CJ17" s="426">
        <v>69</v>
      </c>
      <c r="CK17" s="380">
        <v>78</v>
      </c>
      <c r="CL17" s="326">
        <v>82</v>
      </c>
      <c r="CM17" s="325">
        <v>115</v>
      </c>
      <c r="CN17" s="427">
        <v>88</v>
      </c>
      <c r="CO17" s="383">
        <v>76</v>
      </c>
      <c r="CP17" s="253">
        <v>75</v>
      </c>
      <c r="CQ17" s="3">
        <v>0</v>
      </c>
      <c r="CR17" s="3">
        <v>0</v>
      </c>
      <c r="CS17" s="3">
        <v>0</v>
      </c>
      <c r="CT17" s="3">
        <v>0</v>
      </c>
      <c r="CU17" s="3">
        <v>0</v>
      </c>
      <c r="CV17" s="3">
        <v>0</v>
      </c>
      <c r="CW17" s="3">
        <v>0</v>
      </c>
      <c r="CX17" s="3">
        <v>0</v>
      </c>
      <c r="CY17" s="3">
        <v>0</v>
      </c>
      <c r="CZ17" s="3">
        <v>0</v>
      </c>
      <c r="DA17" s="3">
        <v>0</v>
      </c>
      <c r="DB17" s="3">
        <v>0</v>
      </c>
      <c r="DC17" s="3">
        <v>0</v>
      </c>
      <c r="DD17" s="3">
        <v>0</v>
      </c>
      <c r="DE17" s="3">
        <v>0</v>
      </c>
      <c r="DF17" s="3">
        <v>0</v>
      </c>
      <c r="DG17" s="3">
        <v>0</v>
      </c>
      <c r="DH17" s="1">
        <v>0</v>
      </c>
      <c r="DI17" s="1">
        <v>0</v>
      </c>
      <c r="DJ17" s="1">
        <v>0</v>
      </c>
      <c r="DK17" s="1">
        <v>0</v>
      </c>
      <c r="DL17" s="1">
        <v>0</v>
      </c>
      <c r="DM17" s="1">
        <v>0</v>
      </c>
      <c r="DN17" s="1">
        <v>0</v>
      </c>
      <c r="DO17" s="1">
        <v>0</v>
      </c>
      <c r="DP17" s="1">
        <v>0</v>
      </c>
      <c r="DQ17" s="1">
        <v>0</v>
      </c>
      <c r="DR17" s="1">
        <v>0</v>
      </c>
      <c r="DS17" s="1">
        <v>0</v>
      </c>
      <c r="DT17" s="1">
        <v>0</v>
      </c>
      <c r="DU17" s="1">
        <v>0</v>
      </c>
      <c r="DV17" s="1">
        <v>0</v>
      </c>
      <c r="DW17" s="1">
        <v>0</v>
      </c>
      <c r="DX17" s="1">
        <v>0</v>
      </c>
      <c r="DY17" s="1">
        <v>0</v>
      </c>
      <c r="DZ17" s="1">
        <v>0</v>
      </c>
      <c r="EA17" s="1">
        <v>0</v>
      </c>
      <c r="EB17" s="1">
        <v>0</v>
      </c>
      <c r="EC17" s="1">
        <v>0</v>
      </c>
      <c r="ED17" s="1">
        <v>0</v>
      </c>
      <c r="EE17" s="1">
        <v>0</v>
      </c>
      <c r="EF17" s="1">
        <v>0</v>
      </c>
      <c r="EG17" s="1">
        <v>0</v>
      </c>
      <c r="EH17" s="1">
        <v>0</v>
      </c>
      <c r="EI17" s="1">
        <v>0</v>
      </c>
      <c r="EJ17" s="1">
        <v>0</v>
      </c>
      <c r="EK17" s="1">
        <v>0</v>
      </c>
      <c r="EL17" s="1">
        <v>0</v>
      </c>
      <c r="EM17" s="1">
        <v>0</v>
      </c>
      <c r="EN17" s="1">
        <v>0</v>
      </c>
      <c r="EO17" s="1">
        <v>0</v>
      </c>
      <c r="EP17" s="1">
        <v>0</v>
      </c>
      <c r="EQ17" s="1">
        <v>0</v>
      </c>
      <c r="ER17" s="1">
        <v>0</v>
      </c>
      <c r="ES17" s="1">
        <v>0</v>
      </c>
      <c r="ET17" s="1">
        <v>0</v>
      </c>
      <c r="EU17" s="1">
        <v>0</v>
      </c>
      <c r="EV17" s="1">
        <v>0</v>
      </c>
      <c r="EW17" s="1">
        <v>0</v>
      </c>
      <c r="EX17" s="1">
        <v>0</v>
      </c>
      <c r="EY17" s="1">
        <v>0</v>
      </c>
      <c r="EZ17" s="1">
        <v>0</v>
      </c>
      <c r="FA17" s="1">
        <v>0</v>
      </c>
      <c r="FB17" s="1">
        <v>0</v>
      </c>
      <c r="FC17" s="1">
        <v>0</v>
      </c>
      <c r="FD17" s="1">
        <v>0</v>
      </c>
      <c r="FE17" s="1">
        <v>0</v>
      </c>
      <c r="FF17" s="1">
        <v>0</v>
      </c>
      <c r="FG17" s="1">
        <v>0</v>
      </c>
      <c r="FH17" s="1">
        <v>0</v>
      </c>
      <c r="FI17" s="1">
        <v>0</v>
      </c>
      <c r="FJ17" s="1">
        <v>0</v>
      </c>
      <c r="FK17" s="1">
        <v>0</v>
      </c>
      <c r="FL17" s="1">
        <v>0</v>
      </c>
      <c r="FM17" s="1">
        <v>0</v>
      </c>
      <c r="FN17" s="1">
        <v>0</v>
      </c>
      <c r="FO17" s="1">
        <v>0</v>
      </c>
      <c r="FP17" s="1">
        <v>0</v>
      </c>
      <c r="FQ17" s="1">
        <v>0</v>
      </c>
      <c r="FR17" s="1">
        <v>0</v>
      </c>
      <c r="FS17" s="1">
        <v>0</v>
      </c>
      <c r="FT17" s="8">
        <v>0</v>
      </c>
    </row>
    <row r="18" spans="7:176" x14ac:dyDescent="0.25">
      <c r="G18" s="11" t="s">
        <v>118</v>
      </c>
      <c r="H18" s="4">
        <v>363</v>
      </c>
      <c r="I18" s="1">
        <v>0</v>
      </c>
      <c r="J18" s="1">
        <v>0</v>
      </c>
      <c r="K18" s="1">
        <v>0</v>
      </c>
      <c r="L18" s="1">
        <v>0</v>
      </c>
      <c r="M18" s="1">
        <v>0</v>
      </c>
      <c r="N18" s="1">
        <v>0</v>
      </c>
      <c r="O18" s="1">
        <v>0</v>
      </c>
      <c r="P18" s="1">
        <v>0</v>
      </c>
      <c r="Q18" s="1">
        <v>0</v>
      </c>
      <c r="R18" s="1">
        <v>0</v>
      </c>
      <c r="S18" s="1">
        <v>0</v>
      </c>
      <c r="T18" s="4">
        <v>2</v>
      </c>
      <c r="U18" s="1">
        <v>0</v>
      </c>
      <c r="V18" s="1">
        <v>0</v>
      </c>
      <c r="W18" s="1">
        <v>0</v>
      </c>
      <c r="X18" s="1">
        <v>0</v>
      </c>
      <c r="Y18" s="1">
        <v>0</v>
      </c>
      <c r="Z18" s="4">
        <v>1</v>
      </c>
      <c r="AA18" s="1">
        <v>0</v>
      </c>
      <c r="AB18" s="4">
        <v>1</v>
      </c>
      <c r="AC18" s="1">
        <v>0</v>
      </c>
      <c r="AD18" s="4">
        <v>1</v>
      </c>
      <c r="AE18" s="4">
        <v>1</v>
      </c>
      <c r="AF18" s="1">
        <v>0</v>
      </c>
      <c r="AG18" s="4">
        <v>1</v>
      </c>
      <c r="AH18" s="4">
        <v>2</v>
      </c>
      <c r="AI18" s="1">
        <v>0</v>
      </c>
      <c r="AJ18" s="1">
        <v>0</v>
      </c>
      <c r="AK18" s="1">
        <v>0</v>
      </c>
      <c r="AL18" s="4">
        <v>2</v>
      </c>
      <c r="AM18" s="1">
        <v>0</v>
      </c>
      <c r="AN18" s="1">
        <v>0</v>
      </c>
      <c r="AO18" s="4">
        <v>1</v>
      </c>
      <c r="AP18" s="1">
        <v>0</v>
      </c>
      <c r="AQ18" s="4">
        <v>2</v>
      </c>
      <c r="AR18" s="4">
        <v>4</v>
      </c>
      <c r="AS18" s="4">
        <v>9</v>
      </c>
      <c r="AT18" s="1">
        <v>0</v>
      </c>
      <c r="AU18" s="4">
        <v>3</v>
      </c>
      <c r="AV18" s="4">
        <v>2</v>
      </c>
      <c r="AW18" s="4">
        <v>30</v>
      </c>
      <c r="AX18" s="4">
        <v>8</v>
      </c>
      <c r="AY18" s="4">
        <v>1</v>
      </c>
      <c r="AZ18" s="4">
        <v>2</v>
      </c>
      <c r="BA18" s="4">
        <v>5</v>
      </c>
      <c r="BB18" s="4">
        <v>8</v>
      </c>
      <c r="BC18" s="4">
        <v>13</v>
      </c>
      <c r="BD18" s="4">
        <v>10</v>
      </c>
      <c r="BE18" s="4">
        <v>8</v>
      </c>
      <c r="BF18" s="4">
        <v>6</v>
      </c>
      <c r="BG18" s="4">
        <v>10</v>
      </c>
      <c r="BH18" s="4">
        <v>6</v>
      </c>
      <c r="BI18" s="4">
        <v>3</v>
      </c>
      <c r="BJ18" s="4">
        <v>8</v>
      </c>
      <c r="BK18" s="4">
        <v>3</v>
      </c>
      <c r="BL18" s="4">
        <v>2</v>
      </c>
      <c r="BM18" s="4">
        <v>7</v>
      </c>
      <c r="BN18" s="4">
        <v>9</v>
      </c>
      <c r="BO18" s="4">
        <v>10</v>
      </c>
      <c r="BP18" s="4">
        <v>12</v>
      </c>
      <c r="BQ18" s="4">
        <v>24</v>
      </c>
      <c r="BR18" s="4">
        <v>16</v>
      </c>
      <c r="BS18" s="4">
        <v>27</v>
      </c>
      <c r="BT18" s="4">
        <v>9</v>
      </c>
      <c r="BU18" s="4">
        <v>12</v>
      </c>
      <c r="BV18" s="4">
        <v>45</v>
      </c>
      <c r="BW18" s="4">
        <v>17</v>
      </c>
      <c r="BX18" s="4">
        <v>9</v>
      </c>
      <c r="BY18" s="4">
        <v>17</v>
      </c>
      <c r="BZ18" s="4">
        <v>107</v>
      </c>
      <c r="CA18" s="4">
        <v>7</v>
      </c>
      <c r="CB18" s="4">
        <v>12</v>
      </c>
      <c r="CC18" s="4">
        <v>10</v>
      </c>
      <c r="CD18" s="4">
        <v>15</v>
      </c>
      <c r="CE18" s="4">
        <v>14</v>
      </c>
      <c r="CF18" s="4">
        <v>11</v>
      </c>
      <c r="CG18" s="4">
        <v>15</v>
      </c>
      <c r="CH18" s="4">
        <v>11</v>
      </c>
      <c r="CI18" s="4">
        <v>24</v>
      </c>
      <c r="CJ18" s="4">
        <v>7</v>
      </c>
      <c r="CK18" s="4">
        <v>7</v>
      </c>
      <c r="CL18" s="4">
        <v>12</v>
      </c>
      <c r="CM18" s="4">
        <v>24</v>
      </c>
      <c r="CN18" s="4">
        <v>17</v>
      </c>
      <c r="CO18" s="4">
        <v>18</v>
      </c>
      <c r="CP18" s="428">
        <v>22</v>
      </c>
      <c r="CQ18" s="3">
        <v>0</v>
      </c>
      <c r="CR18" s="3">
        <v>0</v>
      </c>
      <c r="CS18" s="3">
        <v>0</v>
      </c>
      <c r="CT18" s="3">
        <v>0</v>
      </c>
      <c r="CU18" s="3">
        <v>0</v>
      </c>
      <c r="CV18" s="3">
        <v>0</v>
      </c>
      <c r="CW18" s="3">
        <v>0</v>
      </c>
      <c r="CX18" s="3">
        <v>0</v>
      </c>
      <c r="CY18" s="3">
        <v>0</v>
      </c>
      <c r="CZ18" s="3">
        <v>0</v>
      </c>
      <c r="DA18" s="1">
        <v>0</v>
      </c>
      <c r="DB18" s="3">
        <v>0</v>
      </c>
      <c r="DC18" s="3">
        <v>0</v>
      </c>
      <c r="DD18" s="3">
        <v>0</v>
      </c>
      <c r="DE18" s="1">
        <v>0</v>
      </c>
      <c r="DF18" s="3">
        <v>0</v>
      </c>
      <c r="DG18" s="3">
        <v>0</v>
      </c>
      <c r="DH18" s="1">
        <v>0</v>
      </c>
      <c r="DI18" s="1">
        <v>0</v>
      </c>
      <c r="DJ18" s="1">
        <v>0</v>
      </c>
      <c r="DK18" s="1">
        <v>0</v>
      </c>
      <c r="DL18" s="1">
        <v>0</v>
      </c>
      <c r="DM18" s="1">
        <v>0</v>
      </c>
      <c r="DN18" s="1">
        <v>0</v>
      </c>
      <c r="DO18" s="1">
        <v>0</v>
      </c>
      <c r="DP18" s="1">
        <v>0</v>
      </c>
      <c r="DQ18" s="1">
        <v>0</v>
      </c>
      <c r="DR18" s="1">
        <v>0</v>
      </c>
      <c r="DS18" s="1">
        <v>0</v>
      </c>
      <c r="DT18" s="1">
        <v>0</v>
      </c>
      <c r="DU18" s="1">
        <v>0</v>
      </c>
      <c r="DV18" s="1">
        <v>0</v>
      </c>
      <c r="DW18" s="1">
        <v>0</v>
      </c>
      <c r="DX18" s="1">
        <v>0</v>
      </c>
      <c r="DY18" s="1">
        <v>0</v>
      </c>
      <c r="DZ18" s="1">
        <v>0</v>
      </c>
      <c r="EA18" s="1">
        <v>0</v>
      </c>
      <c r="EB18" s="1">
        <v>0</v>
      </c>
      <c r="EC18" s="1">
        <v>0</v>
      </c>
      <c r="ED18" s="1">
        <v>0</v>
      </c>
      <c r="EE18" s="1">
        <v>0</v>
      </c>
      <c r="EF18" s="1">
        <v>0</v>
      </c>
      <c r="EG18" s="1">
        <v>0</v>
      </c>
      <c r="EH18" s="1">
        <v>0</v>
      </c>
      <c r="EI18" s="1">
        <v>0</v>
      </c>
      <c r="EJ18" s="1">
        <v>0</v>
      </c>
      <c r="EK18" s="1">
        <v>0</v>
      </c>
      <c r="EL18" s="1">
        <v>0</v>
      </c>
      <c r="EM18" s="1">
        <v>0</v>
      </c>
      <c r="EN18" s="1">
        <v>0</v>
      </c>
      <c r="EO18" s="1">
        <v>0</v>
      </c>
      <c r="EP18" s="1">
        <v>0</v>
      </c>
      <c r="EQ18" s="1">
        <v>0</v>
      </c>
      <c r="ER18" s="1">
        <v>0</v>
      </c>
      <c r="ES18" s="1">
        <v>0</v>
      </c>
      <c r="ET18" s="1">
        <v>0</v>
      </c>
      <c r="EU18" s="1">
        <v>0</v>
      </c>
      <c r="EV18" s="1">
        <v>0</v>
      </c>
      <c r="EW18" s="1">
        <v>0</v>
      </c>
      <c r="EX18" s="1">
        <v>0</v>
      </c>
      <c r="EY18" s="1">
        <v>0</v>
      </c>
      <c r="EZ18" s="1">
        <v>0</v>
      </c>
      <c r="FA18" s="1">
        <v>0</v>
      </c>
      <c r="FB18" s="1">
        <v>0</v>
      </c>
      <c r="FC18" s="1">
        <v>0</v>
      </c>
      <c r="FD18" s="1">
        <v>0</v>
      </c>
      <c r="FE18" s="1">
        <v>0</v>
      </c>
      <c r="FF18" s="1">
        <v>0</v>
      </c>
      <c r="FG18" s="1">
        <v>0</v>
      </c>
      <c r="FH18" s="1">
        <v>0</v>
      </c>
      <c r="FI18" s="1">
        <v>0</v>
      </c>
      <c r="FJ18" s="1">
        <v>0</v>
      </c>
      <c r="FK18" s="1">
        <v>0</v>
      </c>
      <c r="FL18" s="1">
        <v>0</v>
      </c>
      <c r="FM18" s="1">
        <v>0</v>
      </c>
      <c r="FN18" s="1">
        <v>0</v>
      </c>
      <c r="FO18" s="1">
        <v>0</v>
      </c>
      <c r="FP18" s="1">
        <v>0</v>
      </c>
      <c r="FQ18" s="1">
        <v>0</v>
      </c>
      <c r="FR18" s="1">
        <v>0</v>
      </c>
      <c r="FS18" s="1">
        <v>0</v>
      </c>
      <c r="FT18" s="8">
        <v>0</v>
      </c>
    </row>
    <row r="19" spans="7:176" x14ac:dyDescent="0.25">
      <c r="G19" s="11" t="s">
        <v>119</v>
      </c>
      <c r="H19" s="4">
        <v>8</v>
      </c>
      <c r="I19" s="4">
        <v>1</v>
      </c>
      <c r="J19" s="1">
        <v>0</v>
      </c>
      <c r="K19" s="4">
        <v>1</v>
      </c>
      <c r="L19" s="4">
        <v>1</v>
      </c>
      <c r="M19" s="4">
        <v>1</v>
      </c>
      <c r="N19" s="4">
        <v>3</v>
      </c>
      <c r="O19" s="4">
        <v>4</v>
      </c>
      <c r="P19" s="4">
        <v>3</v>
      </c>
      <c r="Q19" s="4">
        <v>1</v>
      </c>
      <c r="R19" s="4">
        <v>3</v>
      </c>
      <c r="S19" s="4">
        <v>3</v>
      </c>
      <c r="T19" s="4">
        <v>4</v>
      </c>
      <c r="U19" s="4">
        <v>4</v>
      </c>
      <c r="V19" s="4">
        <v>5</v>
      </c>
      <c r="W19" s="4">
        <v>8</v>
      </c>
      <c r="X19" s="4">
        <v>6</v>
      </c>
      <c r="Y19" s="4">
        <v>8</v>
      </c>
      <c r="Z19" s="4">
        <v>5</v>
      </c>
      <c r="AA19" s="4">
        <v>4</v>
      </c>
      <c r="AB19" s="4">
        <v>6</v>
      </c>
      <c r="AC19" s="4">
        <v>10</v>
      </c>
      <c r="AD19" s="4">
        <v>12</v>
      </c>
      <c r="AE19" s="4">
        <v>13</v>
      </c>
      <c r="AF19" s="4">
        <v>15</v>
      </c>
      <c r="AG19" s="4">
        <v>29</v>
      </c>
      <c r="AH19" s="4">
        <v>29</v>
      </c>
      <c r="AI19" s="4">
        <v>20</v>
      </c>
      <c r="AJ19" s="4">
        <v>22</v>
      </c>
      <c r="AK19" s="4">
        <v>14</v>
      </c>
      <c r="AL19" s="4">
        <v>10</v>
      </c>
      <c r="AM19" s="4">
        <v>9</v>
      </c>
      <c r="AN19" s="4">
        <v>11</v>
      </c>
      <c r="AO19" s="4">
        <v>19</v>
      </c>
      <c r="AP19" s="4">
        <v>17</v>
      </c>
      <c r="AQ19" s="4">
        <v>35</v>
      </c>
      <c r="AR19" s="4">
        <v>43</v>
      </c>
      <c r="AS19" s="4">
        <v>43</v>
      </c>
      <c r="AT19" s="4">
        <v>39</v>
      </c>
      <c r="AU19" s="4">
        <v>47</v>
      </c>
      <c r="AV19" s="4">
        <v>43</v>
      </c>
      <c r="AW19" s="4">
        <v>82</v>
      </c>
      <c r="AX19" s="4">
        <v>94</v>
      </c>
      <c r="AY19" s="4">
        <v>95</v>
      </c>
      <c r="AZ19" s="4">
        <v>90</v>
      </c>
      <c r="BA19" s="4">
        <v>83</v>
      </c>
      <c r="BB19" s="4">
        <v>96</v>
      </c>
      <c r="BC19" s="4">
        <v>109</v>
      </c>
      <c r="BD19" s="4">
        <v>100</v>
      </c>
      <c r="BE19" s="4">
        <v>94</v>
      </c>
      <c r="BF19" s="4">
        <v>125</v>
      </c>
      <c r="BG19" s="4">
        <v>120</v>
      </c>
      <c r="BH19" s="4">
        <v>86</v>
      </c>
      <c r="BI19" s="4">
        <v>76</v>
      </c>
      <c r="BJ19" s="4">
        <v>100</v>
      </c>
      <c r="BK19" s="4">
        <v>101</v>
      </c>
      <c r="BL19" s="4">
        <v>102</v>
      </c>
      <c r="BM19" s="4">
        <v>148</v>
      </c>
      <c r="BN19" s="4">
        <v>126</v>
      </c>
      <c r="BO19" s="4">
        <v>122</v>
      </c>
      <c r="BP19" s="4">
        <v>123</v>
      </c>
      <c r="BQ19" s="4">
        <v>117</v>
      </c>
      <c r="BR19" s="4">
        <v>115</v>
      </c>
      <c r="BS19" s="414">
        <v>110</v>
      </c>
      <c r="BT19" s="415">
        <v>102</v>
      </c>
      <c r="BU19" s="417">
        <v>93</v>
      </c>
      <c r="BV19" s="414">
        <v>112</v>
      </c>
      <c r="BW19" s="429">
        <v>117</v>
      </c>
      <c r="BX19" s="429">
        <v>124</v>
      </c>
      <c r="BY19" s="430">
        <v>144</v>
      </c>
      <c r="BZ19" s="431">
        <v>154</v>
      </c>
      <c r="CA19" s="432">
        <v>129</v>
      </c>
      <c r="CB19" s="296">
        <v>126</v>
      </c>
      <c r="CC19" s="419">
        <v>140</v>
      </c>
      <c r="CD19" s="296">
        <v>124</v>
      </c>
      <c r="CE19" s="367">
        <v>112</v>
      </c>
      <c r="CF19" s="433">
        <v>96</v>
      </c>
      <c r="CG19" s="424">
        <v>99</v>
      </c>
      <c r="CH19" s="370">
        <v>103</v>
      </c>
      <c r="CI19" s="324">
        <v>95</v>
      </c>
      <c r="CJ19" s="434">
        <v>62</v>
      </c>
      <c r="CK19" s="325">
        <v>71</v>
      </c>
      <c r="CL19" s="435">
        <v>70</v>
      </c>
      <c r="CM19" s="435">
        <v>91</v>
      </c>
      <c r="CN19" s="383">
        <v>71</v>
      </c>
      <c r="CO19" s="384">
        <v>58</v>
      </c>
      <c r="CP19" s="402">
        <v>53</v>
      </c>
      <c r="CQ19" s="3">
        <v>0</v>
      </c>
      <c r="CR19" s="3">
        <v>0</v>
      </c>
      <c r="CS19" s="3">
        <v>0</v>
      </c>
      <c r="CT19" s="3">
        <v>0</v>
      </c>
      <c r="CU19" s="3">
        <v>0</v>
      </c>
      <c r="CV19" s="3">
        <v>0</v>
      </c>
      <c r="CW19" s="3">
        <v>0</v>
      </c>
      <c r="CX19" s="3">
        <v>0</v>
      </c>
      <c r="CY19" s="3">
        <v>0</v>
      </c>
      <c r="CZ19" s="3">
        <v>0</v>
      </c>
      <c r="DA19" s="3">
        <v>0</v>
      </c>
      <c r="DB19" s="3">
        <v>0</v>
      </c>
      <c r="DC19" s="3">
        <v>0</v>
      </c>
      <c r="DD19" s="3">
        <v>0</v>
      </c>
      <c r="DE19" s="3">
        <v>0</v>
      </c>
      <c r="DF19" s="3">
        <v>0</v>
      </c>
      <c r="DG19" s="3">
        <v>0</v>
      </c>
      <c r="DH19" s="1">
        <v>0</v>
      </c>
      <c r="DI19" s="1">
        <v>0</v>
      </c>
      <c r="DJ19" s="1">
        <v>0</v>
      </c>
      <c r="DK19" s="1">
        <v>0</v>
      </c>
      <c r="DL19" s="1">
        <v>0</v>
      </c>
      <c r="DM19" s="1">
        <v>0</v>
      </c>
      <c r="DN19" s="1">
        <v>0</v>
      </c>
      <c r="DO19" s="1">
        <v>0</v>
      </c>
      <c r="DP19" s="1">
        <v>0</v>
      </c>
      <c r="DQ19" s="1">
        <v>0</v>
      </c>
      <c r="DR19" s="1">
        <v>0</v>
      </c>
      <c r="DS19" s="1">
        <v>0</v>
      </c>
      <c r="DT19" s="1">
        <v>0</v>
      </c>
      <c r="DU19" s="1">
        <v>0</v>
      </c>
      <c r="DV19" s="1">
        <v>0</v>
      </c>
      <c r="DW19" s="1">
        <v>0</v>
      </c>
      <c r="DX19" s="1">
        <v>0</v>
      </c>
      <c r="DY19" s="1">
        <v>0</v>
      </c>
      <c r="DZ19" s="1">
        <v>0</v>
      </c>
      <c r="EA19" s="1">
        <v>0</v>
      </c>
      <c r="EB19" s="1">
        <v>0</v>
      </c>
      <c r="EC19" s="1">
        <v>0</v>
      </c>
      <c r="ED19" s="1">
        <v>0</v>
      </c>
      <c r="EE19" s="1">
        <v>0</v>
      </c>
      <c r="EF19" s="1">
        <v>0</v>
      </c>
      <c r="EG19" s="1">
        <v>0</v>
      </c>
      <c r="EH19" s="1">
        <v>0</v>
      </c>
      <c r="EI19" s="1">
        <v>0</v>
      </c>
      <c r="EJ19" s="1">
        <v>0</v>
      </c>
      <c r="EK19" s="1">
        <v>0</v>
      </c>
      <c r="EL19" s="1">
        <v>0</v>
      </c>
      <c r="EM19" s="1">
        <v>0</v>
      </c>
      <c r="EN19" s="1">
        <v>0</v>
      </c>
      <c r="EO19" s="1">
        <v>0</v>
      </c>
      <c r="EP19" s="1">
        <v>0</v>
      </c>
      <c r="EQ19" s="1">
        <v>0</v>
      </c>
      <c r="ER19" s="1">
        <v>0</v>
      </c>
      <c r="ES19" s="1">
        <v>0</v>
      </c>
      <c r="ET19" s="1">
        <v>0</v>
      </c>
      <c r="EU19" s="1">
        <v>0</v>
      </c>
      <c r="EV19" s="1">
        <v>0</v>
      </c>
      <c r="EW19" s="1">
        <v>0</v>
      </c>
      <c r="EX19" s="1">
        <v>0</v>
      </c>
      <c r="EY19" s="1">
        <v>0</v>
      </c>
      <c r="EZ19" s="1">
        <v>0</v>
      </c>
      <c r="FA19" s="1">
        <v>0</v>
      </c>
      <c r="FB19" s="1">
        <v>0</v>
      </c>
      <c r="FC19" s="1">
        <v>0</v>
      </c>
      <c r="FD19" s="1">
        <v>0</v>
      </c>
      <c r="FE19" s="1">
        <v>0</v>
      </c>
      <c r="FF19" s="1">
        <v>0</v>
      </c>
      <c r="FG19" s="1">
        <v>0</v>
      </c>
      <c r="FH19" s="1">
        <v>0</v>
      </c>
      <c r="FI19" s="1">
        <v>0</v>
      </c>
      <c r="FJ19" s="1">
        <v>0</v>
      </c>
      <c r="FK19" s="1">
        <v>0</v>
      </c>
      <c r="FL19" s="1">
        <v>0</v>
      </c>
      <c r="FM19" s="1">
        <v>0</v>
      </c>
      <c r="FN19" s="1">
        <v>0</v>
      </c>
      <c r="FO19" s="1">
        <v>0</v>
      </c>
      <c r="FP19" s="1">
        <v>0</v>
      </c>
      <c r="FQ19" s="1">
        <v>0</v>
      </c>
      <c r="FR19" s="1">
        <v>0</v>
      </c>
      <c r="FS19" s="1">
        <v>0</v>
      </c>
      <c r="FT19" s="8">
        <v>0</v>
      </c>
    </row>
    <row r="20" spans="7:176" x14ac:dyDescent="0.25">
      <c r="G20" s="11" t="s">
        <v>120</v>
      </c>
      <c r="H20" s="304">
        <v>54</v>
      </c>
      <c r="I20" s="436">
        <v>54</v>
      </c>
      <c r="J20" s="437">
        <v>54</v>
      </c>
      <c r="K20" s="291">
        <v>54</v>
      </c>
      <c r="L20" s="291">
        <v>54</v>
      </c>
      <c r="M20" s="291">
        <v>54</v>
      </c>
      <c r="N20" s="247">
        <v>54</v>
      </c>
      <c r="O20" s="394">
        <v>54</v>
      </c>
      <c r="P20" s="247">
        <v>54</v>
      </c>
      <c r="Q20" s="291">
        <v>54</v>
      </c>
      <c r="R20" s="247">
        <v>54</v>
      </c>
      <c r="S20" s="247">
        <v>54</v>
      </c>
      <c r="T20" s="391">
        <v>55</v>
      </c>
      <c r="U20" s="438">
        <v>55</v>
      </c>
      <c r="V20" s="391">
        <v>55</v>
      </c>
      <c r="W20" s="248">
        <v>55</v>
      </c>
      <c r="X20" s="319">
        <v>55</v>
      </c>
      <c r="Y20" s="395">
        <v>55</v>
      </c>
      <c r="Z20" s="253">
        <v>55</v>
      </c>
      <c r="AA20" s="319">
        <v>55</v>
      </c>
      <c r="AB20" s="395">
        <v>55</v>
      </c>
      <c r="AC20" s="286">
        <v>55</v>
      </c>
      <c r="AD20" s="255">
        <v>55</v>
      </c>
      <c r="AE20" s="254">
        <v>55</v>
      </c>
      <c r="AF20" s="257">
        <v>55</v>
      </c>
      <c r="AG20" s="281">
        <v>55</v>
      </c>
      <c r="AH20" s="281">
        <v>55</v>
      </c>
      <c r="AI20" s="261">
        <v>55</v>
      </c>
      <c r="AJ20" s="258">
        <v>55</v>
      </c>
      <c r="AK20" s="257">
        <v>55</v>
      </c>
      <c r="AL20" s="260">
        <v>55</v>
      </c>
      <c r="AM20" s="287">
        <v>55</v>
      </c>
      <c r="AN20" s="439">
        <v>55</v>
      </c>
      <c r="AO20" s="288">
        <v>55</v>
      </c>
      <c r="AP20" s="261">
        <v>55</v>
      </c>
      <c r="AQ20" s="274">
        <v>55</v>
      </c>
      <c r="AR20" s="277">
        <v>56</v>
      </c>
      <c r="AS20" s="313">
        <v>56</v>
      </c>
      <c r="AT20" s="277">
        <v>57</v>
      </c>
      <c r="AU20" s="351">
        <v>58</v>
      </c>
      <c r="AV20" s="265">
        <v>58</v>
      </c>
      <c r="AW20" s="345">
        <v>58</v>
      </c>
      <c r="AX20" s="344">
        <v>58</v>
      </c>
      <c r="AY20" s="322">
        <v>58</v>
      </c>
      <c r="AZ20" s="268">
        <v>58</v>
      </c>
      <c r="BA20" s="268">
        <v>58</v>
      </c>
      <c r="BB20" s="440">
        <v>58</v>
      </c>
      <c r="BC20" s="441">
        <v>59</v>
      </c>
      <c r="BD20" s="361">
        <v>59</v>
      </c>
      <c r="BE20" s="442">
        <v>59</v>
      </c>
      <c r="BF20" s="443">
        <v>59</v>
      </c>
      <c r="BG20" s="441">
        <v>60</v>
      </c>
      <c r="BH20" s="444">
        <v>60</v>
      </c>
      <c r="BI20" s="267">
        <v>60</v>
      </c>
      <c r="BJ20" s="345">
        <v>60</v>
      </c>
      <c r="BK20" s="344">
        <v>60</v>
      </c>
      <c r="BL20" s="344">
        <v>61</v>
      </c>
      <c r="BM20" s="445">
        <v>61</v>
      </c>
      <c r="BN20" s="443">
        <v>61</v>
      </c>
      <c r="BO20" s="446">
        <v>61</v>
      </c>
      <c r="BP20" s="441">
        <v>64</v>
      </c>
      <c r="BQ20" s="446">
        <v>64</v>
      </c>
      <c r="BR20" s="440">
        <v>65</v>
      </c>
      <c r="BS20" s="361">
        <v>68</v>
      </c>
      <c r="BT20" s="268">
        <v>68</v>
      </c>
      <c r="BU20" s="323">
        <v>69</v>
      </c>
      <c r="BV20" s="361">
        <v>69</v>
      </c>
      <c r="BW20" s="344">
        <v>69</v>
      </c>
      <c r="BX20" s="322">
        <v>70</v>
      </c>
      <c r="BY20" s="301">
        <v>75</v>
      </c>
      <c r="BZ20" s="447">
        <v>77</v>
      </c>
      <c r="CA20" s="448">
        <v>81</v>
      </c>
      <c r="CB20" s="311">
        <v>84</v>
      </c>
      <c r="CC20" s="311">
        <v>86</v>
      </c>
      <c r="CD20" s="312">
        <v>93</v>
      </c>
      <c r="CE20" s="271">
        <v>97</v>
      </c>
      <c r="CF20" s="266">
        <v>99</v>
      </c>
      <c r="CG20" s="289">
        <v>107</v>
      </c>
      <c r="CH20" s="265">
        <v>110</v>
      </c>
      <c r="CI20" s="356">
        <v>114</v>
      </c>
      <c r="CJ20" s="412">
        <v>116</v>
      </c>
      <c r="CK20" s="283">
        <v>125</v>
      </c>
      <c r="CL20" s="257">
        <v>130</v>
      </c>
      <c r="CM20" s="288">
        <v>139</v>
      </c>
      <c r="CN20" s="285">
        <v>145</v>
      </c>
      <c r="CO20" s="248">
        <v>150</v>
      </c>
      <c r="CP20" s="246">
        <v>192</v>
      </c>
      <c r="CQ20" s="4">
        <v>296</v>
      </c>
      <c r="CR20" s="4">
        <v>279</v>
      </c>
      <c r="CS20" s="4">
        <v>241</v>
      </c>
      <c r="CT20" s="4">
        <v>181</v>
      </c>
      <c r="CU20" s="4">
        <v>126</v>
      </c>
      <c r="CV20" s="4">
        <v>78</v>
      </c>
      <c r="CW20" s="4">
        <v>92</v>
      </c>
      <c r="CX20" s="4">
        <v>59</v>
      </c>
      <c r="CY20" s="4">
        <v>62</v>
      </c>
      <c r="CZ20" s="4">
        <v>74</v>
      </c>
      <c r="DA20" s="4">
        <v>24</v>
      </c>
      <c r="DB20" s="4">
        <v>24</v>
      </c>
      <c r="DC20" s="4">
        <v>16</v>
      </c>
      <c r="DD20" s="4">
        <v>19</v>
      </c>
      <c r="DE20" s="4">
        <v>4</v>
      </c>
      <c r="DF20" s="4">
        <v>10</v>
      </c>
      <c r="DG20" s="4">
        <v>6</v>
      </c>
      <c r="DH20" s="1">
        <v>0</v>
      </c>
      <c r="DI20" s="1">
        <v>0</v>
      </c>
      <c r="DJ20" s="1">
        <v>0</v>
      </c>
      <c r="DK20" s="1">
        <v>0</v>
      </c>
      <c r="DL20" s="1">
        <v>0</v>
      </c>
      <c r="DM20" s="1">
        <v>0</v>
      </c>
      <c r="DN20" s="1">
        <v>0</v>
      </c>
      <c r="DO20" s="1">
        <v>0</v>
      </c>
      <c r="DP20" s="1">
        <v>0</v>
      </c>
      <c r="DQ20" s="1">
        <v>0</v>
      </c>
      <c r="DR20" s="1">
        <v>0</v>
      </c>
      <c r="DS20" s="1">
        <v>0</v>
      </c>
      <c r="DT20" s="1">
        <v>0</v>
      </c>
      <c r="DU20" s="1">
        <v>0</v>
      </c>
      <c r="DV20" s="1">
        <v>0</v>
      </c>
      <c r="DW20" s="1">
        <v>0</v>
      </c>
      <c r="DX20" s="1">
        <v>0</v>
      </c>
      <c r="DY20" s="1">
        <v>0</v>
      </c>
      <c r="DZ20" s="1">
        <v>0</v>
      </c>
      <c r="EA20" s="1">
        <v>0</v>
      </c>
      <c r="EB20" s="1">
        <v>0</v>
      </c>
      <c r="EC20" s="1">
        <v>0</v>
      </c>
      <c r="ED20" s="1">
        <v>0</v>
      </c>
      <c r="EE20" s="1">
        <v>0</v>
      </c>
      <c r="EF20" s="1">
        <v>0</v>
      </c>
      <c r="EG20" s="1">
        <v>0</v>
      </c>
      <c r="EH20" s="1">
        <v>0</v>
      </c>
      <c r="EI20" s="1">
        <v>0</v>
      </c>
      <c r="EJ20" s="1">
        <v>0</v>
      </c>
      <c r="EK20" s="1">
        <v>0</v>
      </c>
      <c r="EL20" s="1">
        <v>0</v>
      </c>
      <c r="EM20" s="1">
        <v>0</v>
      </c>
      <c r="EN20" s="1">
        <v>0</v>
      </c>
      <c r="EO20" s="1">
        <v>0</v>
      </c>
      <c r="EP20" s="1">
        <v>0</v>
      </c>
      <c r="EQ20" s="1">
        <v>0</v>
      </c>
      <c r="ER20" s="1">
        <v>0</v>
      </c>
      <c r="ES20" s="1">
        <v>0</v>
      </c>
      <c r="ET20" s="1">
        <v>0</v>
      </c>
      <c r="EU20" s="1">
        <v>0</v>
      </c>
      <c r="EV20" s="1">
        <v>0</v>
      </c>
      <c r="EW20" s="1">
        <v>0</v>
      </c>
      <c r="EX20" s="1">
        <v>0</v>
      </c>
      <c r="EY20" s="1">
        <v>0</v>
      </c>
      <c r="EZ20" s="1">
        <v>0</v>
      </c>
      <c r="FA20" s="1">
        <v>0</v>
      </c>
      <c r="FB20" s="1">
        <v>0</v>
      </c>
      <c r="FC20" s="1">
        <v>0</v>
      </c>
      <c r="FD20" s="1">
        <v>0</v>
      </c>
      <c r="FE20" s="1">
        <v>0</v>
      </c>
      <c r="FF20" s="1">
        <v>0</v>
      </c>
      <c r="FG20" s="1">
        <v>0</v>
      </c>
      <c r="FH20" s="1">
        <v>0</v>
      </c>
      <c r="FI20" s="1">
        <v>0</v>
      </c>
      <c r="FJ20" s="1">
        <v>0</v>
      </c>
      <c r="FK20" s="1">
        <v>0</v>
      </c>
      <c r="FL20" s="1">
        <v>0</v>
      </c>
      <c r="FM20" s="1">
        <v>0</v>
      </c>
      <c r="FN20" s="1">
        <v>0</v>
      </c>
      <c r="FO20" s="1">
        <v>0</v>
      </c>
      <c r="FP20" s="1">
        <v>0</v>
      </c>
      <c r="FQ20" s="1">
        <v>0</v>
      </c>
      <c r="FR20" s="1">
        <v>0</v>
      </c>
      <c r="FS20" s="1">
        <v>0</v>
      </c>
      <c r="FT20" s="8">
        <v>0</v>
      </c>
    </row>
    <row r="21" spans="7:176" x14ac:dyDescent="0.25">
      <c r="G21" s="11" t="s">
        <v>121</v>
      </c>
      <c r="H21" s="233">
        <v>0</v>
      </c>
      <c r="I21" s="233">
        <v>0</v>
      </c>
      <c r="J21" s="233">
        <v>0</v>
      </c>
      <c r="K21" s="233">
        <v>0</v>
      </c>
      <c r="L21" s="233">
        <v>0</v>
      </c>
      <c r="M21" s="233">
        <v>0</v>
      </c>
      <c r="N21" s="233">
        <v>0</v>
      </c>
      <c r="O21" s="233">
        <v>0</v>
      </c>
      <c r="P21" s="233">
        <v>0</v>
      </c>
      <c r="Q21" s="233">
        <v>0</v>
      </c>
      <c r="R21" s="233">
        <v>0</v>
      </c>
      <c r="S21" s="233">
        <v>0</v>
      </c>
      <c r="T21" s="233">
        <v>0</v>
      </c>
      <c r="U21" s="233">
        <v>0</v>
      </c>
      <c r="V21" s="233">
        <v>0</v>
      </c>
      <c r="W21" s="233">
        <v>0</v>
      </c>
      <c r="X21" s="233">
        <v>0</v>
      </c>
      <c r="Y21" s="233">
        <v>0</v>
      </c>
      <c r="Z21" s="233">
        <v>0</v>
      </c>
      <c r="AA21" s="233">
        <v>0</v>
      </c>
      <c r="AB21" s="233">
        <v>0</v>
      </c>
      <c r="AC21" s="233">
        <v>0</v>
      </c>
      <c r="AD21" s="233">
        <v>0</v>
      </c>
      <c r="AE21" s="233">
        <v>0</v>
      </c>
      <c r="AF21" s="233">
        <v>0</v>
      </c>
      <c r="AG21" s="233">
        <v>0</v>
      </c>
      <c r="AH21" s="233">
        <v>0</v>
      </c>
      <c r="AI21" s="233">
        <v>0</v>
      </c>
      <c r="AJ21" s="233">
        <v>0</v>
      </c>
      <c r="AK21" s="233">
        <v>0</v>
      </c>
      <c r="AL21" s="233">
        <v>0</v>
      </c>
      <c r="AM21" s="233">
        <v>0</v>
      </c>
      <c r="AN21" s="233">
        <v>0</v>
      </c>
      <c r="AO21" s="233">
        <v>0</v>
      </c>
      <c r="AP21" s="233">
        <v>0</v>
      </c>
      <c r="AQ21" s="233">
        <v>0</v>
      </c>
      <c r="AR21" s="233">
        <v>0</v>
      </c>
      <c r="AS21" s="233">
        <v>0</v>
      </c>
      <c r="AT21" s="233">
        <v>0</v>
      </c>
      <c r="AU21" s="233">
        <v>0</v>
      </c>
      <c r="AV21" s="233">
        <v>0</v>
      </c>
      <c r="AW21" s="233">
        <v>0</v>
      </c>
      <c r="AX21" s="233">
        <v>0</v>
      </c>
      <c r="AY21" s="233">
        <v>0</v>
      </c>
      <c r="AZ21" s="233">
        <v>0</v>
      </c>
      <c r="BA21" s="233">
        <v>0</v>
      </c>
      <c r="BB21" s="233">
        <v>0</v>
      </c>
      <c r="BC21" s="233">
        <v>0</v>
      </c>
      <c r="BD21" s="233">
        <v>0</v>
      </c>
      <c r="BE21" s="233">
        <v>0</v>
      </c>
      <c r="BF21" s="233">
        <v>0</v>
      </c>
      <c r="BG21" s="233">
        <v>0</v>
      </c>
      <c r="BH21" s="233">
        <v>0</v>
      </c>
      <c r="BI21" s="233">
        <v>0</v>
      </c>
      <c r="BJ21" s="233">
        <v>0</v>
      </c>
      <c r="BK21" s="233">
        <v>0</v>
      </c>
      <c r="BL21" s="233">
        <v>0</v>
      </c>
      <c r="BM21" s="233">
        <v>0</v>
      </c>
      <c r="BN21" s="233">
        <v>0</v>
      </c>
      <c r="BO21" s="233">
        <v>0</v>
      </c>
      <c r="BP21" s="233">
        <v>0</v>
      </c>
      <c r="BQ21" s="233">
        <v>0</v>
      </c>
      <c r="BR21" s="233">
        <v>0</v>
      </c>
      <c r="BS21" s="234">
        <v>1</v>
      </c>
      <c r="BT21" s="234">
        <v>1</v>
      </c>
      <c r="BU21" s="234">
        <v>1</v>
      </c>
      <c r="BV21" s="234">
        <v>1</v>
      </c>
      <c r="BW21" s="234">
        <v>1</v>
      </c>
      <c r="BX21" s="234">
        <v>1</v>
      </c>
      <c r="BY21" s="337">
        <v>2</v>
      </c>
      <c r="BZ21" s="242">
        <v>3</v>
      </c>
      <c r="CA21" s="449">
        <v>3</v>
      </c>
      <c r="CB21" s="310">
        <v>4</v>
      </c>
      <c r="CC21" s="232">
        <v>4</v>
      </c>
      <c r="CD21" s="232">
        <v>4</v>
      </c>
      <c r="CE21" s="309">
        <v>5</v>
      </c>
      <c r="CF21" s="309">
        <v>5</v>
      </c>
      <c r="CG21" s="239">
        <v>8</v>
      </c>
      <c r="CH21" s="308">
        <v>9</v>
      </c>
      <c r="CI21" s="315">
        <v>11</v>
      </c>
      <c r="CJ21" s="315">
        <v>11</v>
      </c>
      <c r="CK21" s="303">
        <v>13</v>
      </c>
      <c r="CL21" s="307">
        <v>16</v>
      </c>
      <c r="CM21" s="305">
        <v>21</v>
      </c>
      <c r="CN21" s="302">
        <v>23</v>
      </c>
      <c r="CO21" s="269">
        <v>25</v>
      </c>
      <c r="CP21" s="360">
        <v>56</v>
      </c>
      <c r="CQ21" s="396">
        <v>157</v>
      </c>
      <c r="CR21" s="396">
        <v>148</v>
      </c>
      <c r="CS21" s="255">
        <v>122</v>
      </c>
      <c r="CT21" s="402">
        <v>95</v>
      </c>
      <c r="CU21" s="260">
        <v>61</v>
      </c>
      <c r="CV21" s="274">
        <v>29</v>
      </c>
      <c r="CW21" s="261">
        <v>42</v>
      </c>
      <c r="CX21" s="355">
        <v>24</v>
      </c>
      <c r="CY21" s="412">
        <v>29</v>
      </c>
      <c r="CZ21" s="291">
        <v>47</v>
      </c>
      <c r="DA21" s="261">
        <v>11</v>
      </c>
      <c r="DB21" s="281">
        <v>10</v>
      </c>
      <c r="DC21" s="276">
        <v>6</v>
      </c>
      <c r="DD21" s="283">
        <v>9</v>
      </c>
      <c r="DE21" s="267">
        <v>1</v>
      </c>
      <c r="DF21" s="384">
        <v>7</v>
      </c>
      <c r="DG21" s="287">
        <v>3</v>
      </c>
      <c r="DH21" s="1">
        <v>0</v>
      </c>
      <c r="DI21" s="1">
        <v>0</v>
      </c>
      <c r="DJ21" s="1">
        <v>0</v>
      </c>
      <c r="DK21" s="1">
        <v>0</v>
      </c>
      <c r="DL21" s="1">
        <v>0</v>
      </c>
      <c r="DM21" s="1">
        <v>0</v>
      </c>
      <c r="DN21" s="1">
        <v>0</v>
      </c>
      <c r="DO21" s="1">
        <v>0</v>
      </c>
      <c r="DP21" s="1">
        <v>0</v>
      </c>
      <c r="DQ21" s="1">
        <v>0</v>
      </c>
      <c r="DR21" s="1">
        <v>0</v>
      </c>
      <c r="DS21" s="1">
        <v>0</v>
      </c>
      <c r="DT21" s="1">
        <v>0</v>
      </c>
      <c r="DU21" s="1">
        <v>0</v>
      </c>
      <c r="DV21" s="1">
        <v>0</v>
      </c>
      <c r="DW21" s="1">
        <v>0</v>
      </c>
      <c r="DX21" s="1">
        <v>0</v>
      </c>
      <c r="DY21" s="1">
        <v>0</v>
      </c>
      <c r="DZ21" s="1">
        <v>0</v>
      </c>
      <c r="EA21" s="1">
        <v>0</v>
      </c>
      <c r="EB21" s="1">
        <v>0</v>
      </c>
      <c r="EC21" s="1">
        <v>0</v>
      </c>
      <c r="ED21" s="1">
        <v>0</v>
      </c>
      <c r="EE21" s="1">
        <v>0</v>
      </c>
      <c r="EF21" s="1">
        <v>0</v>
      </c>
      <c r="EG21" s="1">
        <v>0</v>
      </c>
      <c r="EH21" s="1">
        <v>0</v>
      </c>
      <c r="EI21" s="1">
        <v>0</v>
      </c>
      <c r="EJ21" s="1">
        <v>0</v>
      </c>
      <c r="EK21" s="1">
        <v>0</v>
      </c>
      <c r="EL21" s="1">
        <v>0</v>
      </c>
      <c r="EM21" s="1">
        <v>0</v>
      </c>
      <c r="EN21" s="1">
        <v>0</v>
      </c>
      <c r="EO21" s="1">
        <v>0</v>
      </c>
      <c r="EP21" s="1">
        <v>0</v>
      </c>
      <c r="EQ21" s="1">
        <v>0</v>
      </c>
      <c r="ER21" s="1">
        <v>0</v>
      </c>
      <c r="ES21" s="1">
        <v>0</v>
      </c>
      <c r="ET21" s="1">
        <v>0</v>
      </c>
      <c r="EU21" s="1">
        <v>0</v>
      </c>
      <c r="EV21" s="1">
        <v>0</v>
      </c>
      <c r="EW21" s="1">
        <v>0</v>
      </c>
      <c r="EX21" s="1">
        <v>0</v>
      </c>
      <c r="EY21" s="1">
        <v>0</v>
      </c>
      <c r="EZ21" s="1">
        <v>0</v>
      </c>
      <c r="FA21" s="1">
        <v>0</v>
      </c>
      <c r="FB21" s="1">
        <v>0</v>
      </c>
      <c r="FC21" s="1">
        <v>0</v>
      </c>
      <c r="FD21" s="1">
        <v>0</v>
      </c>
      <c r="FE21" s="1">
        <v>0</v>
      </c>
      <c r="FF21" s="1">
        <v>0</v>
      </c>
      <c r="FG21" s="1">
        <v>0</v>
      </c>
      <c r="FH21" s="1">
        <v>0</v>
      </c>
      <c r="FI21" s="1">
        <v>0</v>
      </c>
      <c r="FJ21" s="1">
        <v>0</v>
      </c>
      <c r="FK21" s="1">
        <v>0</v>
      </c>
      <c r="FL21" s="1">
        <v>0</v>
      </c>
      <c r="FM21" s="1">
        <v>0</v>
      </c>
      <c r="FN21" s="1">
        <v>0</v>
      </c>
      <c r="FO21" s="1">
        <v>0</v>
      </c>
      <c r="FP21" s="1">
        <v>0</v>
      </c>
      <c r="FQ21" s="1">
        <v>0</v>
      </c>
      <c r="FR21" s="1">
        <v>0</v>
      </c>
      <c r="FS21" s="1">
        <v>0</v>
      </c>
      <c r="FT21" s="8">
        <v>0</v>
      </c>
    </row>
    <row r="22" spans="7:176" x14ac:dyDescent="0.25">
      <c r="G22" s="11" t="s">
        <v>86</v>
      </c>
      <c r="H22" s="233">
        <v>0</v>
      </c>
      <c r="I22" s="233">
        <v>0</v>
      </c>
      <c r="J22" s="233">
        <v>0</v>
      </c>
      <c r="K22" s="233">
        <v>0</v>
      </c>
      <c r="L22" s="233">
        <v>0</v>
      </c>
      <c r="M22" s="233">
        <v>0</v>
      </c>
      <c r="N22" s="233">
        <v>0</v>
      </c>
      <c r="O22" s="233">
        <v>0</v>
      </c>
      <c r="P22" s="233">
        <v>0</v>
      </c>
      <c r="Q22" s="233">
        <v>0</v>
      </c>
      <c r="R22" s="233">
        <v>0</v>
      </c>
      <c r="S22" s="233">
        <v>0</v>
      </c>
      <c r="T22" s="233">
        <v>0</v>
      </c>
      <c r="U22" s="233">
        <v>0</v>
      </c>
      <c r="V22" s="233">
        <v>0</v>
      </c>
      <c r="W22" s="233">
        <v>0</v>
      </c>
      <c r="X22" s="233">
        <v>0</v>
      </c>
      <c r="Y22" s="233">
        <v>0</v>
      </c>
      <c r="Z22" s="233">
        <v>0</v>
      </c>
      <c r="AA22" s="233">
        <v>0</v>
      </c>
      <c r="AB22" s="233">
        <v>0</v>
      </c>
      <c r="AC22" s="233">
        <v>0</v>
      </c>
      <c r="AD22" s="233">
        <v>0</v>
      </c>
      <c r="AE22" s="233">
        <v>0</v>
      </c>
      <c r="AF22" s="233">
        <v>0</v>
      </c>
      <c r="AG22" s="233">
        <v>0</v>
      </c>
      <c r="AH22" s="233">
        <v>0</v>
      </c>
      <c r="AI22" s="233">
        <v>0</v>
      </c>
      <c r="AJ22" s="233">
        <v>0</v>
      </c>
      <c r="AK22" s="233">
        <v>0</v>
      </c>
      <c r="AL22" s="233">
        <v>0</v>
      </c>
      <c r="AM22" s="233">
        <v>0</v>
      </c>
      <c r="AN22" s="233">
        <v>0</v>
      </c>
      <c r="AO22" s="233">
        <v>0</v>
      </c>
      <c r="AP22" s="233">
        <v>0</v>
      </c>
      <c r="AQ22" s="233">
        <v>0</v>
      </c>
      <c r="AR22" s="233">
        <v>0</v>
      </c>
      <c r="AS22" s="233">
        <v>0</v>
      </c>
      <c r="AT22" s="233">
        <v>0</v>
      </c>
      <c r="AU22" s="233">
        <v>0</v>
      </c>
      <c r="AV22" s="233">
        <v>0</v>
      </c>
      <c r="AW22" s="233">
        <v>0</v>
      </c>
      <c r="AX22" s="233">
        <v>0</v>
      </c>
      <c r="AY22" s="233">
        <v>0</v>
      </c>
      <c r="AZ22" s="233">
        <v>0</v>
      </c>
      <c r="BA22" s="233">
        <v>0</v>
      </c>
      <c r="BB22" s="233">
        <v>0</v>
      </c>
      <c r="BC22" s="233">
        <v>0</v>
      </c>
      <c r="BD22" s="233">
        <v>0</v>
      </c>
      <c r="BE22" s="233">
        <v>0</v>
      </c>
      <c r="BF22" s="233">
        <v>0</v>
      </c>
      <c r="BG22" s="233">
        <v>0</v>
      </c>
      <c r="BH22" s="233">
        <v>0</v>
      </c>
      <c r="BI22" s="233">
        <v>0</v>
      </c>
      <c r="BJ22" s="233">
        <v>0</v>
      </c>
      <c r="BK22" s="233">
        <v>0</v>
      </c>
      <c r="BL22" s="233">
        <v>0</v>
      </c>
      <c r="BM22" s="233">
        <v>0</v>
      </c>
      <c r="BN22" s="233">
        <v>0</v>
      </c>
      <c r="BO22" s="233">
        <v>0</v>
      </c>
      <c r="BP22" s="233">
        <v>0</v>
      </c>
      <c r="BQ22" s="233">
        <v>0</v>
      </c>
      <c r="BR22" s="233">
        <v>0</v>
      </c>
      <c r="BS22" s="233">
        <v>0</v>
      </c>
      <c r="BT22" s="233">
        <v>0</v>
      </c>
      <c r="BU22" s="233">
        <v>0</v>
      </c>
      <c r="BV22" s="233">
        <v>0</v>
      </c>
      <c r="BW22" s="233">
        <v>0</v>
      </c>
      <c r="BX22" s="233">
        <v>0</v>
      </c>
      <c r="BY22" s="233">
        <v>0</v>
      </c>
      <c r="BZ22" s="233">
        <v>0</v>
      </c>
      <c r="CA22" s="233">
        <v>0</v>
      </c>
      <c r="CB22" s="233">
        <v>0</v>
      </c>
      <c r="CC22" s="233">
        <v>0</v>
      </c>
      <c r="CD22" s="233">
        <v>0</v>
      </c>
      <c r="CE22" s="233">
        <v>0</v>
      </c>
      <c r="CF22" s="233">
        <v>0</v>
      </c>
      <c r="CG22" s="233">
        <v>0</v>
      </c>
      <c r="CH22" s="233">
        <v>0</v>
      </c>
      <c r="CI22" s="233">
        <v>0</v>
      </c>
      <c r="CJ22" s="233">
        <v>0</v>
      </c>
      <c r="CK22" s="233">
        <v>0</v>
      </c>
      <c r="CL22" s="233">
        <v>0</v>
      </c>
      <c r="CM22" s="233">
        <v>0</v>
      </c>
      <c r="CN22" s="233">
        <v>0</v>
      </c>
      <c r="CO22" s="233">
        <v>0</v>
      </c>
      <c r="CP22" s="242">
        <v>8</v>
      </c>
      <c r="CQ22" s="339">
        <v>35</v>
      </c>
      <c r="CR22" s="340">
        <v>51</v>
      </c>
      <c r="CS22" s="335">
        <v>33</v>
      </c>
      <c r="CT22" s="243">
        <v>26</v>
      </c>
      <c r="CU22" s="320">
        <v>16</v>
      </c>
      <c r="CV22" s="237">
        <v>5</v>
      </c>
      <c r="CW22" s="341">
        <v>9</v>
      </c>
      <c r="CX22" s="309">
        <v>3</v>
      </c>
      <c r="CY22" s="315">
        <v>6</v>
      </c>
      <c r="CZ22" s="342">
        <v>15</v>
      </c>
      <c r="DA22" s="233">
        <v>0</v>
      </c>
      <c r="DB22" s="307">
        <v>3</v>
      </c>
      <c r="DC22" s="237">
        <v>1</v>
      </c>
      <c r="DD22" s="311">
        <v>5</v>
      </c>
      <c r="DE22" s="233">
        <v>0</v>
      </c>
      <c r="DF22" s="262">
        <v>4</v>
      </c>
      <c r="DG22" s="343">
        <v>2</v>
      </c>
      <c r="DH22" s="1">
        <v>0</v>
      </c>
      <c r="DI22" s="1">
        <v>0</v>
      </c>
      <c r="DJ22" s="1">
        <v>0</v>
      </c>
      <c r="DK22" s="1">
        <v>0</v>
      </c>
      <c r="DL22" s="1">
        <v>0</v>
      </c>
      <c r="DM22" s="1">
        <v>0</v>
      </c>
      <c r="DN22" s="1">
        <v>0</v>
      </c>
      <c r="DO22" s="1">
        <v>0</v>
      </c>
      <c r="DP22" s="1">
        <v>0</v>
      </c>
      <c r="DQ22" s="1">
        <v>0</v>
      </c>
      <c r="DR22" s="1">
        <v>0</v>
      </c>
      <c r="DS22" s="1">
        <v>0</v>
      </c>
      <c r="DT22" s="1">
        <v>0</v>
      </c>
      <c r="DU22" s="1">
        <v>0</v>
      </c>
      <c r="DV22" s="1">
        <v>0</v>
      </c>
      <c r="DW22" s="1">
        <v>0</v>
      </c>
      <c r="DX22" s="1">
        <v>0</v>
      </c>
      <c r="DY22" s="1">
        <v>0</v>
      </c>
      <c r="DZ22" s="1">
        <v>0</v>
      </c>
      <c r="EA22" s="1">
        <v>0</v>
      </c>
      <c r="EB22" s="1">
        <v>0</v>
      </c>
      <c r="EC22" s="1">
        <v>0</v>
      </c>
      <c r="ED22" s="1">
        <v>0</v>
      </c>
      <c r="EE22" s="1">
        <v>0</v>
      </c>
      <c r="EF22" s="1">
        <v>0</v>
      </c>
      <c r="EG22" s="1">
        <v>0</v>
      </c>
      <c r="EH22" s="1">
        <v>0</v>
      </c>
      <c r="EI22" s="1">
        <v>0</v>
      </c>
      <c r="EJ22" s="1">
        <v>0</v>
      </c>
      <c r="EK22" s="1">
        <v>0</v>
      </c>
      <c r="EL22" s="1">
        <v>0</v>
      </c>
      <c r="EM22" s="1">
        <v>0</v>
      </c>
      <c r="EN22" s="1">
        <v>0</v>
      </c>
      <c r="EO22" s="1">
        <v>0</v>
      </c>
      <c r="EP22" s="1">
        <v>0</v>
      </c>
      <c r="EQ22" s="1">
        <v>0</v>
      </c>
      <c r="ER22" s="1">
        <v>0</v>
      </c>
      <c r="ES22" s="1">
        <v>0</v>
      </c>
      <c r="ET22" s="1">
        <v>0</v>
      </c>
      <c r="EU22" s="1">
        <v>0</v>
      </c>
      <c r="EV22" s="1">
        <v>0</v>
      </c>
      <c r="EW22" s="1">
        <v>0</v>
      </c>
      <c r="EX22" s="1">
        <v>0</v>
      </c>
      <c r="EY22" s="1">
        <v>0</v>
      </c>
      <c r="EZ22" s="1">
        <v>0</v>
      </c>
      <c r="FA22" s="1">
        <v>0</v>
      </c>
      <c r="FB22" s="1">
        <v>0</v>
      </c>
      <c r="FC22" s="1">
        <v>0</v>
      </c>
      <c r="FD22" s="1">
        <v>0</v>
      </c>
      <c r="FE22" s="1">
        <v>0</v>
      </c>
      <c r="FF22" s="1">
        <v>0</v>
      </c>
      <c r="FG22" s="1">
        <v>0</v>
      </c>
      <c r="FH22" s="1">
        <v>0</v>
      </c>
      <c r="FI22" s="1">
        <v>0</v>
      </c>
      <c r="FJ22" s="1">
        <v>0</v>
      </c>
      <c r="FK22" s="1">
        <v>0</v>
      </c>
      <c r="FL22" s="1">
        <v>0</v>
      </c>
      <c r="FM22" s="1">
        <v>0</v>
      </c>
      <c r="FN22" s="1">
        <v>0</v>
      </c>
      <c r="FO22" s="1">
        <v>0</v>
      </c>
      <c r="FP22" s="1">
        <v>0</v>
      </c>
      <c r="FQ22" s="1">
        <v>0</v>
      </c>
      <c r="FR22" s="1">
        <v>0</v>
      </c>
      <c r="FS22" s="1">
        <v>0</v>
      </c>
      <c r="FT22" s="8">
        <v>0</v>
      </c>
    </row>
    <row r="23" spans="7:176" x14ac:dyDescent="0.25">
      <c r="G23" s="11" t="s">
        <v>87</v>
      </c>
      <c r="H23" s="233">
        <v>0</v>
      </c>
      <c r="I23" s="233">
        <v>0</v>
      </c>
      <c r="J23" s="233">
        <v>0</v>
      </c>
      <c r="K23" s="233">
        <v>0</v>
      </c>
      <c r="L23" s="233">
        <v>0</v>
      </c>
      <c r="M23" s="233">
        <v>0</v>
      </c>
      <c r="N23" s="233">
        <v>0</v>
      </c>
      <c r="O23" s="233">
        <v>0</v>
      </c>
      <c r="P23" s="233">
        <v>0</v>
      </c>
      <c r="Q23" s="233">
        <v>0</v>
      </c>
      <c r="R23" s="233">
        <v>0</v>
      </c>
      <c r="S23" s="233">
        <v>0</v>
      </c>
      <c r="T23" s="233">
        <v>0</v>
      </c>
      <c r="U23" s="233">
        <v>0</v>
      </c>
      <c r="V23" s="233">
        <v>0</v>
      </c>
      <c r="W23" s="233">
        <v>0</v>
      </c>
      <c r="X23" s="233">
        <v>0</v>
      </c>
      <c r="Y23" s="233">
        <v>0</v>
      </c>
      <c r="Z23" s="233">
        <v>0</v>
      </c>
      <c r="AA23" s="233">
        <v>0</v>
      </c>
      <c r="AB23" s="233">
        <v>0</v>
      </c>
      <c r="AC23" s="233">
        <v>0</v>
      </c>
      <c r="AD23" s="233">
        <v>0</v>
      </c>
      <c r="AE23" s="233">
        <v>0</v>
      </c>
      <c r="AF23" s="233">
        <v>0</v>
      </c>
      <c r="AG23" s="233">
        <v>0</v>
      </c>
      <c r="AH23" s="233">
        <v>0</v>
      </c>
      <c r="AI23" s="233">
        <v>0</v>
      </c>
      <c r="AJ23" s="233">
        <v>0</v>
      </c>
      <c r="AK23" s="233">
        <v>0</v>
      </c>
      <c r="AL23" s="233">
        <v>0</v>
      </c>
      <c r="AM23" s="233">
        <v>0</v>
      </c>
      <c r="AN23" s="233">
        <v>0</v>
      </c>
      <c r="AO23" s="233">
        <v>0</v>
      </c>
      <c r="AP23" s="233">
        <v>0</v>
      </c>
      <c r="AQ23" s="233">
        <v>0</v>
      </c>
      <c r="AR23" s="233">
        <v>0</v>
      </c>
      <c r="AS23" s="233">
        <v>0</v>
      </c>
      <c r="AT23" s="233">
        <v>0</v>
      </c>
      <c r="AU23" s="233">
        <v>0</v>
      </c>
      <c r="AV23" s="233">
        <v>0</v>
      </c>
      <c r="AW23" s="233">
        <v>0</v>
      </c>
      <c r="AX23" s="233">
        <v>0</v>
      </c>
      <c r="AY23" s="233">
        <v>0</v>
      </c>
      <c r="AZ23" s="233">
        <v>0</v>
      </c>
      <c r="BA23" s="233">
        <v>0</v>
      </c>
      <c r="BB23" s="233">
        <v>0</v>
      </c>
      <c r="BC23" s="233">
        <v>0</v>
      </c>
      <c r="BD23" s="233">
        <v>0</v>
      </c>
      <c r="BE23" s="233">
        <v>0</v>
      </c>
      <c r="BF23" s="233">
        <v>0</v>
      </c>
      <c r="BG23" s="233">
        <v>0</v>
      </c>
      <c r="BH23" s="233">
        <v>0</v>
      </c>
      <c r="BI23" s="233">
        <v>0</v>
      </c>
      <c r="BJ23" s="233">
        <v>0</v>
      </c>
      <c r="BK23" s="233">
        <v>0</v>
      </c>
      <c r="BL23" s="233">
        <v>0</v>
      </c>
      <c r="BM23" s="233">
        <v>0</v>
      </c>
      <c r="BN23" s="233">
        <v>0</v>
      </c>
      <c r="BO23" s="233">
        <v>0</v>
      </c>
      <c r="BP23" s="233">
        <v>0</v>
      </c>
      <c r="BQ23" s="233">
        <v>0</v>
      </c>
      <c r="BR23" s="233">
        <v>0</v>
      </c>
      <c r="BS23" s="234">
        <v>1</v>
      </c>
      <c r="BT23" s="234">
        <v>1</v>
      </c>
      <c r="BU23" s="234">
        <v>1</v>
      </c>
      <c r="BV23" s="234">
        <v>1</v>
      </c>
      <c r="BW23" s="234">
        <v>1</v>
      </c>
      <c r="BX23" s="234">
        <v>1</v>
      </c>
      <c r="BY23" s="337">
        <v>2</v>
      </c>
      <c r="BZ23" s="242">
        <v>3</v>
      </c>
      <c r="CA23" s="449">
        <v>3</v>
      </c>
      <c r="CB23" s="310">
        <v>4</v>
      </c>
      <c r="CC23" s="232">
        <v>4</v>
      </c>
      <c r="CD23" s="232">
        <v>4</v>
      </c>
      <c r="CE23" s="309">
        <v>5</v>
      </c>
      <c r="CF23" s="309">
        <v>5</v>
      </c>
      <c r="CG23" s="239">
        <v>8</v>
      </c>
      <c r="CH23" s="308">
        <v>9</v>
      </c>
      <c r="CI23" s="315">
        <v>11</v>
      </c>
      <c r="CJ23" s="315">
        <v>11</v>
      </c>
      <c r="CK23" s="303">
        <v>13</v>
      </c>
      <c r="CL23" s="307">
        <v>16</v>
      </c>
      <c r="CM23" s="305">
        <v>21</v>
      </c>
      <c r="CN23" s="302">
        <v>23</v>
      </c>
      <c r="CO23" s="269">
        <v>25</v>
      </c>
      <c r="CP23" s="267">
        <v>48</v>
      </c>
      <c r="CQ23" s="358">
        <v>122</v>
      </c>
      <c r="CR23" s="266">
        <v>97</v>
      </c>
      <c r="CS23" s="356">
        <v>89</v>
      </c>
      <c r="CT23" s="273">
        <v>69</v>
      </c>
      <c r="CU23" s="277">
        <v>45</v>
      </c>
      <c r="CV23" s="359">
        <v>24</v>
      </c>
      <c r="CW23" s="289">
        <v>33</v>
      </c>
      <c r="CX23" s="277">
        <v>21</v>
      </c>
      <c r="CY23" s="274">
        <v>23</v>
      </c>
      <c r="CZ23" s="282">
        <v>32</v>
      </c>
      <c r="DA23" s="261">
        <v>11</v>
      </c>
      <c r="DB23" s="360">
        <v>7</v>
      </c>
      <c r="DC23" s="271">
        <v>5</v>
      </c>
      <c r="DD23" s="361">
        <v>4</v>
      </c>
      <c r="DE23" s="267">
        <v>1</v>
      </c>
      <c r="DF23" s="318">
        <v>3</v>
      </c>
      <c r="DG23" s="269">
        <v>1</v>
      </c>
      <c r="DH23" s="1">
        <v>0</v>
      </c>
      <c r="DI23" s="1">
        <v>0</v>
      </c>
      <c r="DJ23" s="1">
        <v>0</v>
      </c>
      <c r="DK23" s="1">
        <v>0</v>
      </c>
      <c r="DL23" s="1">
        <v>0</v>
      </c>
      <c r="DM23" s="1">
        <v>0</v>
      </c>
      <c r="DN23" s="1">
        <v>0</v>
      </c>
      <c r="DO23" s="1">
        <v>0</v>
      </c>
      <c r="DP23" s="1">
        <v>0</v>
      </c>
      <c r="DQ23" s="1">
        <v>0</v>
      </c>
      <c r="DR23" s="1">
        <v>0</v>
      </c>
      <c r="DS23" s="1">
        <v>0</v>
      </c>
      <c r="DT23" s="1">
        <v>0</v>
      </c>
      <c r="DU23" s="1">
        <v>0</v>
      </c>
      <c r="DV23" s="1">
        <v>0</v>
      </c>
      <c r="DW23" s="1">
        <v>0</v>
      </c>
      <c r="DX23" s="1">
        <v>0</v>
      </c>
      <c r="DY23" s="1">
        <v>0</v>
      </c>
      <c r="DZ23" s="1">
        <v>0</v>
      </c>
      <c r="EA23" s="1">
        <v>0</v>
      </c>
      <c r="EB23" s="1">
        <v>0</v>
      </c>
      <c r="EC23" s="1">
        <v>0</v>
      </c>
      <c r="ED23" s="1">
        <v>0</v>
      </c>
      <c r="EE23" s="1">
        <v>0</v>
      </c>
      <c r="EF23" s="1">
        <v>0</v>
      </c>
      <c r="EG23" s="1">
        <v>0</v>
      </c>
      <c r="EH23" s="1">
        <v>0</v>
      </c>
      <c r="EI23" s="1">
        <v>0</v>
      </c>
      <c r="EJ23" s="1">
        <v>0</v>
      </c>
      <c r="EK23" s="1">
        <v>0</v>
      </c>
      <c r="EL23" s="1">
        <v>0</v>
      </c>
      <c r="EM23" s="1">
        <v>0</v>
      </c>
      <c r="EN23" s="1">
        <v>0</v>
      </c>
      <c r="EO23" s="1">
        <v>0</v>
      </c>
      <c r="EP23" s="1">
        <v>0</v>
      </c>
      <c r="EQ23" s="1">
        <v>0</v>
      </c>
      <c r="ER23" s="1">
        <v>0</v>
      </c>
      <c r="ES23" s="1">
        <v>0</v>
      </c>
      <c r="ET23" s="1">
        <v>0</v>
      </c>
      <c r="EU23" s="1">
        <v>0</v>
      </c>
      <c r="EV23" s="1">
        <v>0</v>
      </c>
      <c r="EW23" s="1">
        <v>0</v>
      </c>
      <c r="EX23" s="1">
        <v>0</v>
      </c>
      <c r="EY23" s="1">
        <v>0</v>
      </c>
      <c r="EZ23" s="1">
        <v>0</v>
      </c>
      <c r="FA23" s="1">
        <v>0</v>
      </c>
      <c r="FB23" s="1">
        <v>0</v>
      </c>
      <c r="FC23" s="1">
        <v>0</v>
      </c>
      <c r="FD23" s="1">
        <v>0</v>
      </c>
      <c r="FE23" s="1">
        <v>0</v>
      </c>
      <c r="FF23" s="1">
        <v>0</v>
      </c>
      <c r="FG23" s="1">
        <v>0</v>
      </c>
      <c r="FH23" s="1">
        <v>0</v>
      </c>
      <c r="FI23" s="1">
        <v>0</v>
      </c>
      <c r="FJ23" s="1">
        <v>0</v>
      </c>
      <c r="FK23" s="1">
        <v>0</v>
      </c>
      <c r="FL23" s="1">
        <v>0</v>
      </c>
      <c r="FM23" s="1">
        <v>0</v>
      </c>
      <c r="FN23" s="1">
        <v>0</v>
      </c>
      <c r="FO23" s="1">
        <v>0</v>
      </c>
      <c r="FP23" s="1">
        <v>0</v>
      </c>
      <c r="FQ23" s="1">
        <v>0</v>
      </c>
      <c r="FR23" s="1">
        <v>0</v>
      </c>
      <c r="FS23" s="1">
        <v>0</v>
      </c>
      <c r="FT23" s="8">
        <v>0</v>
      </c>
    </row>
    <row r="24" spans="7:176" x14ac:dyDescent="0.25">
      <c r="G24" s="11" t="s">
        <v>88</v>
      </c>
      <c r="H24" s="4">
        <v>54</v>
      </c>
      <c r="I24" s="4">
        <v>54</v>
      </c>
      <c r="J24" s="4">
        <v>54</v>
      </c>
      <c r="K24" s="4">
        <v>54</v>
      </c>
      <c r="L24" s="4">
        <v>54</v>
      </c>
      <c r="M24" s="4">
        <v>54</v>
      </c>
      <c r="N24" s="4">
        <v>54</v>
      </c>
      <c r="O24" s="4">
        <v>54</v>
      </c>
      <c r="P24" s="4">
        <v>54</v>
      </c>
      <c r="Q24" s="4">
        <v>54</v>
      </c>
      <c r="R24" s="4">
        <v>54</v>
      </c>
      <c r="S24" s="4">
        <v>54</v>
      </c>
      <c r="T24" s="4">
        <v>55</v>
      </c>
      <c r="U24" s="4">
        <v>55</v>
      </c>
      <c r="V24" s="4">
        <v>55</v>
      </c>
      <c r="W24" s="4">
        <v>55</v>
      </c>
      <c r="X24" s="4">
        <v>55</v>
      </c>
      <c r="Y24" s="4">
        <v>55</v>
      </c>
      <c r="Z24" s="4">
        <v>55</v>
      </c>
      <c r="AA24" s="4">
        <v>55</v>
      </c>
      <c r="AB24" s="4">
        <v>55</v>
      </c>
      <c r="AC24" s="4">
        <v>55</v>
      </c>
      <c r="AD24" s="4">
        <v>55</v>
      </c>
      <c r="AE24" s="4">
        <v>55</v>
      </c>
      <c r="AF24" s="4">
        <v>55</v>
      </c>
      <c r="AG24" s="4">
        <v>55</v>
      </c>
      <c r="AH24" s="4">
        <v>55</v>
      </c>
      <c r="AI24" s="4">
        <v>55</v>
      </c>
      <c r="AJ24" s="4">
        <v>55</v>
      </c>
      <c r="AK24" s="4">
        <v>55</v>
      </c>
      <c r="AL24" s="4">
        <v>55</v>
      </c>
      <c r="AM24" s="4">
        <v>55</v>
      </c>
      <c r="AN24" s="4">
        <v>55</v>
      </c>
      <c r="AO24" s="4">
        <v>55</v>
      </c>
      <c r="AP24" s="4">
        <v>55</v>
      </c>
      <c r="AQ24" s="4">
        <v>55</v>
      </c>
      <c r="AR24" s="4">
        <v>56</v>
      </c>
      <c r="AS24" s="4">
        <v>56</v>
      </c>
      <c r="AT24" s="4">
        <v>57</v>
      </c>
      <c r="AU24" s="4">
        <v>58</v>
      </c>
      <c r="AV24" s="4">
        <v>58</v>
      </c>
      <c r="AW24" s="4">
        <v>58</v>
      </c>
      <c r="AX24" s="4">
        <v>58</v>
      </c>
      <c r="AY24" s="4">
        <v>58</v>
      </c>
      <c r="AZ24" s="4">
        <v>58</v>
      </c>
      <c r="BA24" s="4">
        <v>58</v>
      </c>
      <c r="BB24" s="4">
        <v>58</v>
      </c>
      <c r="BC24" s="4">
        <v>59</v>
      </c>
      <c r="BD24" s="4">
        <v>59</v>
      </c>
      <c r="BE24" s="4">
        <v>59</v>
      </c>
      <c r="BF24" s="4">
        <v>59</v>
      </c>
      <c r="BG24" s="4">
        <v>60</v>
      </c>
      <c r="BH24" s="4">
        <v>60</v>
      </c>
      <c r="BI24" s="4">
        <v>60</v>
      </c>
      <c r="BJ24" s="4">
        <v>60</v>
      </c>
      <c r="BK24" s="4">
        <v>60</v>
      </c>
      <c r="BL24" s="4">
        <v>61</v>
      </c>
      <c r="BM24" s="4">
        <v>61</v>
      </c>
      <c r="BN24" s="4">
        <v>61</v>
      </c>
      <c r="BO24" s="4">
        <v>61</v>
      </c>
      <c r="BP24" s="4">
        <v>64</v>
      </c>
      <c r="BQ24" s="4">
        <v>64</v>
      </c>
      <c r="BR24" s="4">
        <v>65</v>
      </c>
      <c r="BS24" s="450">
        <v>67</v>
      </c>
      <c r="BT24" s="450">
        <v>67</v>
      </c>
      <c r="BU24" s="450">
        <v>68</v>
      </c>
      <c r="BV24" s="450">
        <v>68</v>
      </c>
      <c r="BW24" s="450">
        <v>68</v>
      </c>
      <c r="BX24" s="430">
        <v>69</v>
      </c>
      <c r="BY24" s="451">
        <v>73</v>
      </c>
      <c r="BZ24" s="452">
        <v>74</v>
      </c>
      <c r="CA24" s="421">
        <v>78</v>
      </c>
      <c r="CB24" s="453">
        <v>80</v>
      </c>
      <c r="CC24" s="454">
        <v>82</v>
      </c>
      <c r="CD24" s="367">
        <v>89</v>
      </c>
      <c r="CE24" s="455">
        <v>92</v>
      </c>
      <c r="CF24" s="433">
        <v>94</v>
      </c>
      <c r="CG24" s="424">
        <v>99</v>
      </c>
      <c r="CH24" s="369">
        <v>101</v>
      </c>
      <c r="CI24" s="297">
        <v>103</v>
      </c>
      <c r="CJ24" s="297">
        <v>105</v>
      </c>
      <c r="CK24" s="324">
        <v>112</v>
      </c>
      <c r="CL24" s="456">
        <v>114</v>
      </c>
      <c r="CM24" s="434">
        <v>118</v>
      </c>
      <c r="CN24" s="379">
        <v>122</v>
      </c>
      <c r="CO24" s="294">
        <v>125</v>
      </c>
      <c r="CP24" s="457">
        <v>136</v>
      </c>
      <c r="CQ24" s="259">
        <v>139</v>
      </c>
      <c r="CR24" s="259">
        <v>131</v>
      </c>
      <c r="CS24" s="254">
        <v>119</v>
      </c>
      <c r="CT24" s="284">
        <v>86</v>
      </c>
      <c r="CU24" s="285">
        <v>65</v>
      </c>
      <c r="CV24" s="388">
        <v>49</v>
      </c>
      <c r="CW24" s="400">
        <v>50</v>
      </c>
      <c r="CX24" s="252">
        <v>35</v>
      </c>
      <c r="CY24" s="286">
        <v>33</v>
      </c>
      <c r="CZ24" s="349">
        <v>27</v>
      </c>
      <c r="DA24" s="245">
        <v>13</v>
      </c>
      <c r="DB24" s="389">
        <v>14</v>
      </c>
      <c r="DC24" s="401">
        <v>10</v>
      </c>
      <c r="DD24" s="402">
        <v>10</v>
      </c>
      <c r="DE24" s="293">
        <v>3</v>
      </c>
      <c r="DF24" s="318">
        <v>3</v>
      </c>
      <c r="DG24" s="287">
        <v>3</v>
      </c>
      <c r="DH24" s="1">
        <v>0</v>
      </c>
      <c r="DI24" s="1">
        <v>0</v>
      </c>
      <c r="DJ24" s="1">
        <v>0</v>
      </c>
      <c r="DK24" s="1">
        <v>0</v>
      </c>
      <c r="DL24" s="1">
        <v>0</v>
      </c>
      <c r="DM24" s="1">
        <v>0</v>
      </c>
      <c r="DN24" s="1">
        <v>0</v>
      </c>
      <c r="DO24" s="1">
        <v>0</v>
      </c>
      <c r="DP24" s="1">
        <v>0</v>
      </c>
      <c r="DQ24" s="1">
        <v>0</v>
      </c>
      <c r="DR24" s="1">
        <v>0</v>
      </c>
      <c r="DS24" s="1">
        <v>0</v>
      </c>
      <c r="DT24" s="1">
        <v>0</v>
      </c>
      <c r="DU24" s="1">
        <v>0</v>
      </c>
      <c r="DV24" s="1">
        <v>0</v>
      </c>
      <c r="DW24" s="1">
        <v>0</v>
      </c>
      <c r="DX24" s="1">
        <v>0</v>
      </c>
      <c r="DY24" s="1">
        <v>0</v>
      </c>
      <c r="DZ24" s="1">
        <v>0</v>
      </c>
      <c r="EA24" s="1">
        <v>0</v>
      </c>
      <c r="EB24" s="1">
        <v>0</v>
      </c>
      <c r="EC24" s="1">
        <v>0</v>
      </c>
      <c r="ED24" s="1">
        <v>0</v>
      </c>
      <c r="EE24" s="1">
        <v>0</v>
      </c>
      <c r="EF24" s="1">
        <v>0</v>
      </c>
      <c r="EG24" s="1">
        <v>0</v>
      </c>
      <c r="EH24" s="1">
        <v>0</v>
      </c>
      <c r="EI24" s="1">
        <v>0</v>
      </c>
      <c r="EJ24" s="1">
        <v>0</v>
      </c>
      <c r="EK24" s="1">
        <v>0</v>
      </c>
      <c r="EL24" s="1">
        <v>0</v>
      </c>
      <c r="EM24" s="1">
        <v>0</v>
      </c>
      <c r="EN24" s="1">
        <v>0</v>
      </c>
      <c r="EO24" s="1">
        <v>0</v>
      </c>
      <c r="EP24" s="1">
        <v>0</v>
      </c>
      <c r="EQ24" s="1">
        <v>0</v>
      </c>
      <c r="ER24" s="1">
        <v>0</v>
      </c>
      <c r="ES24" s="1">
        <v>0</v>
      </c>
      <c r="ET24" s="1">
        <v>0</v>
      </c>
      <c r="EU24" s="1">
        <v>0</v>
      </c>
      <c r="EV24" s="1">
        <v>0</v>
      </c>
      <c r="EW24" s="1">
        <v>0</v>
      </c>
      <c r="EX24" s="1">
        <v>0</v>
      </c>
      <c r="EY24" s="1">
        <v>0</v>
      </c>
      <c r="EZ24" s="1">
        <v>0</v>
      </c>
      <c r="FA24" s="1">
        <v>0</v>
      </c>
      <c r="FB24" s="1">
        <v>0</v>
      </c>
      <c r="FC24" s="1">
        <v>0</v>
      </c>
      <c r="FD24" s="1">
        <v>0</v>
      </c>
      <c r="FE24" s="1">
        <v>0</v>
      </c>
      <c r="FF24" s="1">
        <v>0</v>
      </c>
      <c r="FG24" s="1">
        <v>0</v>
      </c>
      <c r="FH24" s="1">
        <v>0</v>
      </c>
      <c r="FI24" s="1">
        <v>0</v>
      </c>
      <c r="FJ24" s="1">
        <v>0</v>
      </c>
      <c r="FK24" s="1">
        <v>0</v>
      </c>
      <c r="FL24" s="1">
        <v>0</v>
      </c>
      <c r="FM24" s="1">
        <v>0</v>
      </c>
      <c r="FN24" s="1">
        <v>0</v>
      </c>
      <c r="FO24" s="1">
        <v>0</v>
      </c>
      <c r="FP24" s="1">
        <v>0</v>
      </c>
      <c r="FQ24" s="1">
        <v>0</v>
      </c>
      <c r="FR24" s="1">
        <v>0</v>
      </c>
      <c r="FS24" s="1">
        <v>0</v>
      </c>
      <c r="FT24" s="8">
        <v>0</v>
      </c>
    </row>
    <row r="25" spans="7:176" x14ac:dyDescent="0.25">
      <c r="G25" s="11" t="s">
        <v>89</v>
      </c>
      <c r="H25" s="233">
        <v>0</v>
      </c>
      <c r="I25" s="233">
        <v>0</v>
      </c>
      <c r="J25" s="233">
        <v>0</v>
      </c>
      <c r="K25" s="233">
        <v>0</v>
      </c>
      <c r="L25" s="233">
        <v>0</v>
      </c>
      <c r="M25" s="233">
        <v>0</v>
      </c>
      <c r="N25" s="233">
        <v>0</v>
      </c>
      <c r="O25" s="233">
        <v>0</v>
      </c>
      <c r="P25" s="233">
        <v>0</v>
      </c>
      <c r="Q25" s="233">
        <v>0</v>
      </c>
      <c r="R25" s="233">
        <v>0</v>
      </c>
      <c r="S25" s="233">
        <v>0</v>
      </c>
      <c r="T25" s="233">
        <v>0</v>
      </c>
      <c r="U25" s="233">
        <v>0</v>
      </c>
      <c r="V25" s="233">
        <v>0</v>
      </c>
      <c r="W25" s="233">
        <v>0</v>
      </c>
      <c r="X25" s="233">
        <v>0</v>
      </c>
      <c r="Y25" s="233">
        <v>0</v>
      </c>
      <c r="Z25" s="233">
        <v>0</v>
      </c>
      <c r="AA25" s="233">
        <v>0</v>
      </c>
      <c r="AB25" s="233">
        <v>0</v>
      </c>
      <c r="AC25" s="233">
        <v>0</v>
      </c>
      <c r="AD25" s="233">
        <v>0</v>
      </c>
      <c r="AE25" s="233">
        <v>0</v>
      </c>
      <c r="AF25" s="233">
        <v>0</v>
      </c>
      <c r="AG25" s="233">
        <v>0</v>
      </c>
      <c r="AH25" s="233">
        <v>0</v>
      </c>
      <c r="AI25" s="233">
        <v>0</v>
      </c>
      <c r="AJ25" s="233">
        <v>0</v>
      </c>
      <c r="AK25" s="233">
        <v>0</v>
      </c>
      <c r="AL25" s="233">
        <v>0</v>
      </c>
      <c r="AM25" s="233">
        <v>0</v>
      </c>
      <c r="AN25" s="233">
        <v>0</v>
      </c>
      <c r="AO25" s="233">
        <v>0</v>
      </c>
      <c r="AP25" s="233">
        <v>0</v>
      </c>
      <c r="AQ25" s="233">
        <v>0</v>
      </c>
      <c r="AR25" s="233">
        <v>0</v>
      </c>
      <c r="AS25" s="233">
        <v>0</v>
      </c>
      <c r="AT25" s="233">
        <v>0</v>
      </c>
      <c r="AU25" s="233">
        <v>0</v>
      </c>
      <c r="AV25" s="233">
        <v>0</v>
      </c>
      <c r="AW25" s="233">
        <v>0</v>
      </c>
      <c r="AX25" s="233">
        <v>0</v>
      </c>
      <c r="AY25" s="233">
        <v>0</v>
      </c>
      <c r="AZ25" s="233">
        <v>0</v>
      </c>
      <c r="BA25" s="233">
        <v>0</v>
      </c>
      <c r="BB25" s="233">
        <v>0</v>
      </c>
      <c r="BC25" s="233">
        <v>0</v>
      </c>
      <c r="BD25" s="233">
        <v>0</v>
      </c>
      <c r="BE25" s="233">
        <v>0</v>
      </c>
      <c r="BF25" s="233">
        <v>0</v>
      </c>
      <c r="BG25" s="233">
        <v>0</v>
      </c>
      <c r="BH25" s="233">
        <v>0</v>
      </c>
      <c r="BI25" s="233">
        <v>0</v>
      </c>
      <c r="BJ25" s="233">
        <v>0</v>
      </c>
      <c r="BK25" s="233">
        <v>0</v>
      </c>
      <c r="BL25" s="233">
        <v>0</v>
      </c>
      <c r="BM25" s="233">
        <v>0</v>
      </c>
      <c r="BN25" s="233">
        <v>0</v>
      </c>
      <c r="BO25" s="233">
        <v>0</v>
      </c>
      <c r="BP25" s="233">
        <v>0</v>
      </c>
      <c r="BQ25" s="233">
        <v>0</v>
      </c>
      <c r="BR25" s="233">
        <v>0</v>
      </c>
      <c r="BS25" s="233">
        <v>0</v>
      </c>
      <c r="BT25" s="233">
        <v>0</v>
      </c>
      <c r="BU25" s="233">
        <v>0</v>
      </c>
      <c r="BV25" s="233">
        <v>0</v>
      </c>
      <c r="BW25" s="233">
        <v>0</v>
      </c>
      <c r="BX25" s="233">
        <v>0</v>
      </c>
      <c r="BY25" s="233">
        <v>0</v>
      </c>
      <c r="BZ25" s="233">
        <v>0</v>
      </c>
      <c r="CA25" s="233">
        <v>0</v>
      </c>
      <c r="CB25" s="233">
        <v>0</v>
      </c>
      <c r="CC25" s="233">
        <v>0</v>
      </c>
      <c r="CD25" s="233">
        <v>0</v>
      </c>
      <c r="CE25" s="233">
        <v>0</v>
      </c>
      <c r="CF25" s="233">
        <v>0</v>
      </c>
      <c r="CG25" s="233">
        <v>0</v>
      </c>
      <c r="CH25" s="233">
        <v>0</v>
      </c>
      <c r="CI25" s="233">
        <v>0</v>
      </c>
      <c r="CJ25" s="233">
        <v>0</v>
      </c>
      <c r="CK25" s="233">
        <v>0</v>
      </c>
      <c r="CL25" s="233">
        <v>0</v>
      </c>
      <c r="CM25" s="233">
        <v>0</v>
      </c>
      <c r="CN25" s="233">
        <v>0</v>
      </c>
      <c r="CO25" s="233">
        <v>0</v>
      </c>
      <c r="CP25" s="233">
        <v>0</v>
      </c>
      <c r="CQ25" s="233">
        <v>0</v>
      </c>
      <c r="CR25" s="233">
        <v>0</v>
      </c>
      <c r="CS25" s="233">
        <v>0</v>
      </c>
      <c r="CT25" s="233">
        <v>0</v>
      </c>
      <c r="CU25" s="233">
        <v>0</v>
      </c>
      <c r="CV25" s="233">
        <v>0</v>
      </c>
      <c r="CW25" s="233">
        <v>0</v>
      </c>
      <c r="CX25" s="233">
        <v>0</v>
      </c>
      <c r="CY25" s="233">
        <v>0</v>
      </c>
      <c r="CZ25" s="233">
        <v>0</v>
      </c>
      <c r="DA25" s="233">
        <v>0</v>
      </c>
      <c r="DB25" s="233">
        <v>0</v>
      </c>
      <c r="DC25" s="233">
        <v>0</v>
      </c>
      <c r="DD25" s="233">
        <v>0</v>
      </c>
      <c r="DE25" s="233">
        <v>0</v>
      </c>
      <c r="DF25" s="233">
        <v>0</v>
      </c>
      <c r="DG25" s="233">
        <v>0</v>
      </c>
      <c r="DH25" s="1">
        <v>0</v>
      </c>
      <c r="DI25" s="1">
        <v>0</v>
      </c>
      <c r="DJ25" s="1">
        <v>0</v>
      </c>
      <c r="DK25" s="1">
        <v>0</v>
      </c>
      <c r="DL25" s="1">
        <v>0</v>
      </c>
      <c r="DM25" s="1">
        <v>0</v>
      </c>
      <c r="DN25" s="1">
        <v>0</v>
      </c>
      <c r="DO25" s="1">
        <v>0</v>
      </c>
      <c r="DP25" s="1">
        <v>0</v>
      </c>
      <c r="DQ25" s="1">
        <v>0</v>
      </c>
      <c r="DR25" s="1">
        <v>0</v>
      </c>
      <c r="DS25" s="1">
        <v>0</v>
      </c>
      <c r="DT25" s="1">
        <v>0</v>
      </c>
      <c r="DU25" s="1">
        <v>0</v>
      </c>
      <c r="DV25" s="1">
        <v>0</v>
      </c>
      <c r="DW25" s="1">
        <v>0</v>
      </c>
      <c r="DX25" s="1">
        <v>0</v>
      </c>
      <c r="DY25" s="1">
        <v>0</v>
      </c>
      <c r="DZ25" s="1">
        <v>0</v>
      </c>
      <c r="EA25" s="1">
        <v>0</v>
      </c>
      <c r="EB25" s="1">
        <v>0</v>
      </c>
      <c r="EC25" s="1">
        <v>0</v>
      </c>
      <c r="ED25" s="1">
        <v>0</v>
      </c>
      <c r="EE25" s="1">
        <v>0</v>
      </c>
      <c r="EF25" s="1">
        <v>0</v>
      </c>
      <c r="EG25" s="1">
        <v>0</v>
      </c>
      <c r="EH25" s="1">
        <v>0</v>
      </c>
      <c r="EI25" s="1">
        <v>0</v>
      </c>
      <c r="EJ25" s="1">
        <v>0</v>
      </c>
      <c r="EK25" s="1">
        <v>0</v>
      </c>
      <c r="EL25" s="1">
        <v>0</v>
      </c>
      <c r="EM25" s="1">
        <v>0</v>
      </c>
      <c r="EN25" s="1">
        <v>0</v>
      </c>
      <c r="EO25" s="1">
        <v>0</v>
      </c>
      <c r="EP25" s="1">
        <v>0</v>
      </c>
      <c r="EQ25" s="1">
        <v>0</v>
      </c>
      <c r="ER25" s="1">
        <v>0</v>
      </c>
      <c r="ES25" s="1">
        <v>0</v>
      </c>
      <c r="ET25" s="1">
        <v>0</v>
      </c>
      <c r="EU25" s="1">
        <v>0</v>
      </c>
      <c r="EV25" s="1">
        <v>0</v>
      </c>
      <c r="EW25" s="1">
        <v>0</v>
      </c>
      <c r="EX25" s="1">
        <v>0</v>
      </c>
      <c r="EY25" s="1">
        <v>0</v>
      </c>
      <c r="EZ25" s="1">
        <v>0</v>
      </c>
      <c r="FA25" s="1">
        <v>0</v>
      </c>
      <c r="FB25" s="1">
        <v>0</v>
      </c>
      <c r="FC25" s="1">
        <v>0</v>
      </c>
      <c r="FD25" s="1">
        <v>0</v>
      </c>
      <c r="FE25" s="1">
        <v>0</v>
      </c>
      <c r="FF25" s="1">
        <v>0</v>
      </c>
      <c r="FG25" s="1">
        <v>0</v>
      </c>
      <c r="FH25" s="1">
        <v>0</v>
      </c>
      <c r="FI25" s="1">
        <v>0</v>
      </c>
      <c r="FJ25" s="1">
        <v>0</v>
      </c>
      <c r="FK25" s="1">
        <v>0</v>
      </c>
      <c r="FL25" s="1">
        <v>0</v>
      </c>
      <c r="FM25" s="1">
        <v>0</v>
      </c>
      <c r="FN25" s="1">
        <v>0</v>
      </c>
      <c r="FO25" s="1">
        <v>0</v>
      </c>
      <c r="FP25" s="1">
        <v>0</v>
      </c>
      <c r="FQ25" s="1">
        <v>0</v>
      </c>
      <c r="FR25" s="1">
        <v>0</v>
      </c>
      <c r="FS25" s="1">
        <v>0</v>
      </c>
      <c r="FT25" s="8">
        <v>0</v>
      </c>
    </row>
    <row r="26" spans="7:176" x14ac:dyDescent="0.25">
      <c r="G26" s="11" t="s">
        <v>90</v>
      </c>
      <c r="H26" s="1">
        <v>0</v>
      </c>
      <c r="I26" s="1">
        <v>0</v>
      </c>
      <c r="J26" s="1">
        <v>0</v>
      </c>
      <c r="K26" s="1">
        <v>0</v>
      </c>
      <c r="L26" s="1">
        <v>0</v>
      </c>
      <c r="M26" s="1">
        <v>0</v>
      </c>
      <c r="N26" s="1">
        <v>0</v>
      </c>
      <c r="O26" s="1">
        <v>0</v>
      </c>
      <c r="P26" s="1">
        <v>0</v>
      </c>
      <c r="Q26" s="1">
        <v>0</v>
      </c>
      <c r="R26" s="1">
        <v>0</v>
      </c>
      <c r="S26" s="1">
        <v>0</v>
      </c>
      <c r="T26" s="1">
        <v>0</v>
      </c>
      <c r="U26" s="1">
        <v>0</v>
      </c>
      <c r="V26" s="1">
        <v>0</v>
      </c>
      <c r="W26" s="1">
        <v>0</v>
      </c>
      <c r="X26" s="1">
        <v>0</v>
      </c>
      <c r="Y26" s="1">
        <v>0</v>
      </c>
      <c r="Z26" s="1">
        <v>0</v>
      </c>
      <c r="AA26" s="1">
        <v>0</v>
      </c>
      <c r="AB26" s="1">
        <v>0</v>
      </c>
      <c r="AC26" s="1">
        <v>0</v>
      </c>
      <c r="AD26" s="1">
        <v>0</v>
      </c>
      <c r="AE26" s="1">
        <v>0</v>
      </c>
      <c r="AF26" s="1">
        <v>0</v>
      </c>
      <c r="AG26" s="1">
        <v>0</v>
      </c>
      <c r="AH26" s="1">
        <v>0</v>
      </c>
      <c r="AI26" s="1">
        <v>0</v>
      </c>
      <c r="AJ26" s="1">
        <v>0</v>
      </c>
      <c r="AK26" s="1">
        <v>0</v>
      </c>
      <c r="AL26" s="1">
        <v>0</v>
      </c>
      <c r="AM26" s="1">
        <v>0</v>
      </c>
      <c r="AN26" s="1">
        <v>0</v>
      </c>
      <c r="AO26" s="1">
        <v>0</v>
      </c>
      <c r="AP26" s="1">
        <v>0</v>
      </c>
      <c r="AQ26" s="1">
        <v>0</v>
      </c>
      <c r="AR26" s="1">
        <v>0</v>
      </c>
      <c r="AS26" s="1">
        <v>0</v>
      </c>
      <c r="AT26" s="1">
        <v>0</v>
      </c>
      <c r="AU26" s="1">
        <v>0</v>
      </c>
      <c r="AV26" s="1">
        <v>0</v>
      </c>
      <c r="AW26" s="1">
        <v>0</v>
      </c>
      <c r="AX26" s="1">
        <v>0</v>
      </c>
      <c r="AY26" s="1">
        <v>0</v>
      </c>
      <c r="AZ26" s="1">
        <v>0</v>
      </c>
      <c r="BA26" s="1">
        <v>0</v>
      </c>
      <c r="BB26" s="1">
        <v>0</v>
      </c>
      <c r="BC26" s="1">
        <v>0</v>
      </c>
      <c r="BD26" s="1">
        <v>0</v>
      </c>
      <c r="BE26" s="1">
        <v>0</v>
      </c>
      <c r="BF26" s="1">
        <v>0</v>
      </c>
      <c r="BG26" s="1">
        <v>0</v>
      </c>
      <c r="BH26" s="1">
        <v>0</v>
      </c>
      <c r="BI26" s="1">
        <v>0</v>
      </c>
      <c r="BJ26" s="1">
        <v>0</v>
      </c>
      <c r="BK26" s="1">
        <v>0</v>
      </c>
      <c r="BL26" s="1">
        <v>0</v>
      </c>
      <c r="BM26" s="1">
        <v>0</v>
      </c>
      <c r="BN26" s="1">
        <v>0</v>
      </c>
      <c r="BO26" s="1">
        <v>0</v>
      </c>
      <c r="BP26" s="1">
        <v>0</v>
      </c>
      <c r="BQ26" s="1">
        <v>0</v>
      </c>
      <c r="BR26" s="1">
        <v>0</v>
      </c>
      <c r="BS26" s="233">
        <v>0</v>
      </c>
      <c r="BT26" s="233">
        <v>0</v>
      </c>
      <c r="BU26" s="233">
        <v>0</v>
      </c>
      <c r="BV26" s="233">
        <v>0</v>
      </c>
      <c r="BW26" s="233">
        <v>0</v>
      </c>
      <c r="BX26" s="233">
        <v>0</v>
      </c>
      <c r="BY26" s="233">
        <v>0</v>
      </c>
      <c r="BZ26" s="233">
        <v>0</v>
      </c>
      <c r="CA26" s="233">
        <v>0</v>
      </c>
      <c r="CB26" s="233">
        <v>0</v>
      </c>
      <c r="CC26" s="233">
        <v>0</v>
      </c>
      <c r="CD26" s="233">
        <v>0</v>
      </c>
      <c r="CE26" s="233">
        <v>0</v>
      </c>
      <c r="CF26" s="233">
        <v>0</v>
      </c>
      <c r="CG26" s="233">
        <v>0</v>
      </c>
      <c r="CH26" s="233">
        <v>0</v>
      </c>
      <c r="CI26" s="233">
        <v>0</v>
      </c>
      <c r="CJ26" s="233">
        <v>0</v>
      </c>
      <c r="CK26" s="233">
        <v>0</v>
      </c>
      <c r="CL26" s="233">
        <v>0</v>
      </c>
      <c r="CM26" s="233">
        <v>0</v>
      </c>
      <c r="CN26" s="233">
        <v>0</v>
      </c>
      <c r="CO26" s="233">
        <v>0</v>
      </c>
      <c r="CP26" s="233">
        <v>0</v>
      </c>
      <c r="CQ26" s="233">
        <v>0</v>
      </c>
      <c r="CR26" s="233">
        <v>0</v>
      </c>
      <c r="CS26" s="233">
        <v>0</v>
      </c>
      <c r="CT26" s="233">
        <v>0</v>
      </c>
      <c r="CU26" s="233">
        <v>0</v>
      </c>
      <c r="CV26" s="233">
        <v>0</v>
      </c>
      <c r="CW26" s="233">
        <v>0</v>
      </c>
      <c r="CX26" s="233">
        <v>0</v>
      </c>
      <c r="CY26" s="233">
        <v>0</v>
      </c>
      <c r="CZ26" s="233">
        <v>0</v>
      </c>
      <c r="DA26" s="233">
        <v>0</v>
      </c>
      <c r="DB26" s="233">
        <v>0</v>
      </c>
      <c r="DC26" s="233">
        <v>0</v>
      </c>
      <c r="DD26" s="233">
        <v>0</v>
      </c>
      <c r="DE26" s="233">
        <v>0</v>
      </c>
      <c r="DF26" s="233">
        <v>0</v>
      </c>
      <c r="DG26" s="233">
        <v>0</v>
      </c>
      <c r="DH26" s="1">
        <v>0</v>
      </c>
      <c r="DI26" s="1">
        <v>0</v>
      </c>
      <c r="DJ26" s="1">
        <v>0</v>
      </c>
      <c r="DK26" s="1">
        <v>0</v>
      </c>
      <c r="DL26" s="1">
        <v>0</v>
      </c>
      <c r="DM26" s="1">
        <v>0</v>
      </c>
      <c r="DN26" s="1">
        <v>0</v>
      </c>
      <c r="DO26" s="1">
        <v>0</v>
      </c>
      <c r="DP26" s="1">
        <v>0</v>
      </c>
      <c r="DQ26" s="1">
        <v>0</v>
      </c>
      <c r="DR26" s="1">
        <v>0</v>
      </c>
      <c r="DS26" s="1">
        <v>0</v>
      </c>
      <c r="DT26" s="1">
        <v>0</v>
      </c>
      <c r="DU26" s="1">
        <v>0</v>
      </c>
      <c r="DV26" s="1">
        <v>0</v>
      </c>
      <c r="DW26" s="1">
        <v>0</v>
      </c>
      <c r="DX26" s="1">
        <v>0</v>
      </c>
      <c r="DY26" s="1">
        <v>0</v>
      </c>
      <c r="DZ26" s="1">
        <v>0</v>
      </c>
      <c r="EA26" s="1">
        <v>0</v>
      </c>
      <c r="EB26" s="1">
        <v>0</v>
      </c>
      <c r="EC26" s="1">
        <v>0</v>
      </c>
      <c r="ED26" s="1">
        <v>0</v>
      </c>
      <c r="EE26" s="1">
        <v>0</v>
      </c>
      <c r="EF26" s="1">
        <v>0</v>
      </c>
      <c r="EG26" s="1">
        <v>0</v>
      </c>
      <c r="EH26" s="1">
        <v>0</v>
      </c>
      <c r="EI26" s="1">
        <v>0</v>
      </c>
      <c r="EJ26" s="1">
        <v>0</v>
      </c>
      <c r="EK26" s="1">
        <v>0</v>
      </c>
      <c r="EL26" s="1">
        <v>0</v>
      </c>
      <c r="EM26" s="1">
        <v>0</v>
      </c>
      <c r="EN26" s="1">
        <v>0</v>
      </c>
      <c r="EO26" s="1">
        <v>0</v>
      </c>
      <c r="EP26" s="1">
        <v>0</v>
      </c>
      <c r="EQ26" s="1">
        <v>0</v>
      </c>
      <c r="ER26" s="1">
        <v>0</v>
      </c>
      <c r="ES26" s="1">
        <v>0</v>
      </c>
      <c r="ET26" s="1">
        <v>0</v>
      </c>
      <c r="EU26" s="1">
        <v>0</v>
      </c>
      <c r="EV26" s="1">
        <v>0</v>
      </c>
      <c r="EW26" s="1">
        <v>0</v>
      </c>
      <c r="EX26" s="1">
        <v>0</v>
      </c>
      <c r="EY26" s="1">
        <v>0</v>
      </c>
      <c r="EZ26" s="1">
        <v>0</v>
      </c>
      <c r="FA26" s="1">
        <v>0</v>
      </c>
      <c r="FB26" s="1">
        <v>0</v>
      </c>
      <c r="FC26" s="1">
        <v>0</v>
      </c>
      <c r="FD26" s="1">
        <v>0</v>
      </c>
      <c r="FE26" s="1">
        <v>0</v>
      </c>
      <c r="FF26" s="1">
        <v>0</v>
      </c>
      <c r="FG26" s="1">
        <v>0</v>
      </c>
      <c r="FH26" s="1">
        <v>0</v>
      </c>
      <c r="FI26" s="1">
        <v>0</v>
      </c>
      <c r="FJ26" s="1">
        <v>0</v>
      </c>
      <c r="FK26" s="1">
        <v>0</v>
      </c>
      <c r="FL26" s="1">
        <v>0</v>
      </c>
      <c r="FM26" s="1">
        <v>0</v>
      </c>
      <c r="FN26" s="1">
        <v>0</v>
      </c>
      <c r="FO26" s="1">
        <v>0</v>
      </c>
      <c r="FP26" s="1">
        <v>0</v>
      </c>
      <c r="FQ26" s="1">
        <v>0</v>
      </c>
      <c r="FR26" s="1">
        <v>0</v>
      </c>
      <c r="FS26" s="1">
        <v>0</v>
      </c>
      <c r="FT26" s="8">
        <v>0</v>
      </c>
    </row>
    <row r="27" spans="7:176" x14ac:dyDescent="0.25">
      <c r="G27" s="11" t="s">
        <v>122</v>
      </c>
      <c r="H27" s="458">
        <v>0</v>
      </c>
      <c r="I27" s="458">
        <v>0</v>
      </c>
      <c r="J27" s="458">
        <v>0</v>
      </c>
      <c r="K27" s="458">
        <v>0</v>
      </c>
      <c r="L27" s="458">
        <v>0</v>
      </c>
      <c r="M27" s="458">
        <v>0</v>
      </c>
      <c r="N27" s="458">
        <v>0</v>
      </c>
      <c r="O27" s="458">
        <v>0</v>
      </c>
      <c r="P27" s="458">
        <v>0</v>
      </c>
      <c r="Q27" s="458">
        <v>0</v>
      </c>
      <c r="R27" s="458">
        <v>0</v>
      </c>
      <c r="S27" s="458">
        <v>0</v>
      </c>
      <c r="T27" s="458">
        <v>0</v>
      </c>
      <c r="U27" s="458">
        <v>0</v>
      </c>
      <c r="V27" s="458">
        <v>0</v>
      </c>
      <c r="W27" s="458">
        <v>0</v>
      </c>
      <c r="X27" s="458">
        <v>0</v>
      </c>
      <c r="Y27" s="458">
        <v>0</v>
      </c>
      <c r="Z27" s="458">
        <v>0</v>
      </c>
      <c r="AA27" s="458">
        <v>0</v>
      </c>
      <c r="AB27" s="458">
        <v>0</v>
      </c>
      <c r="AC27" s="458">
        <v>0</v>
      </c>
      <c r="AD27" s="458">
        <v>0</v>
      </c>
      <c r="AE27" s="458">
        <v>0</v>
      </c>
      <c r="AF27" s="458">
        <v>0</v>
      </c>
      <c r="AG27" s="458">
        <v>0</v>
      </c>
      <c r="AH27" s="458">
        <v>0</v>
      </c>
      <c r="AI27" s="458">
        <v>0</v>
      </c>
      <c r="AJ27" s="458">
        <v>0</v>
      </c>
      <c r="AK27" s="458">
        <v>0</v>
      </c>
      <c r="AL27" s="458">
        <v>0</v>
      </c>
      <c r="AM27" s="458">
        <v>0</v>
      </c>
      <c r="AN27" s="458">
        <v>0</v>
      </c>
      <c r="AO27" s="458">
        <v>0</v>
      </c>
      <c r="AP27" s="458">
        <v>0</v>
      </c>
      <c r="AQ27" s="458">
        <v>0</v>
      </c>
      <c r="AR27" s="458">
        <v>0</v>
      </c>
      <c r="AS27" s="458">
        <v>0</v>
      </c>
      <c r="AT27" s="458">
        <v>0</v>
      </c>
      <c r="AU27" s="458">
        <v>0</v>
      </c>
      <c r="AV27" s="458">
        <v>0</v>
      </c>
      <c r="AW27" s="458">
        <v>0</v>
      </c>
      <c r="AX27" s="458">
        <v>0</v>
      </c>
      <c r="AY27" s="458">
        <v>0</v>
      </c>
      <c r="AZ27" s="458">
        <v>0</v>
      </c>
      <c r="BA27" s="458">
        <v>0</v>
      </c>
      <c r="BB27" s="458">
        <v>0</v>
      </c>
      <c r="BC27" s="458">
        <v>0</v>
      </c>
      <c r="BD27" s="458">
        <v>0</v>
      </c>
      <c r="BE27" s="458">
        <v>0</v>
      </c>
      <c r="BF27" s="458">
        <v>0</v>
      </c>
      <c r="BG27" s="458">
        <v>0</v>
      </c>
      <c r="BH27" s="458">
        <v>0</v>
      </c>
      <c r="BI27" s="458">
        <v>0</v>
      </c>
      <c r="BJ27" s="458">
        <v>0</v>
      </c>
      <c r="BK27" s="458">
        <v>0</v>
      </c>
      <c r="BL27" s="458">
        <v>0</v>
      </c>
      <c r="BM27" s="458">
        <v>0</v>
      </c>
      <c r="BN27" s="458">
        <v>0</v>
      </c>
      <c r="BO27" s="458">
        <v>0</v>
      </c>
      <c r="BP27" s="458">
        <v>0</v>
      </c>
      <c r="BQ27" s="458">
        <v>0</v>
      </c>
      <c r="BR27" s="458">
        <v>0</v>
      </c>
      <c r="BS27" s="458">
        <v>0</v>
      </c>
      <c r="BT27" s="458">
        <v>0</v>
      </c>
      <c r="BU27" s="458">
        <v>0</v>
      </c>
      <c r="BV27" s="458">
        <v>0</v>
      </c>
      <c r="BW27" s="458">
        <v>0</v>
      </c>
      <c r="BX27" s="458">
        <v>0</v>
      </c>
      <c r="BY27" s="458">
        <v>0</v>
      </c>
      <c r="BZ27" s="458">
        <v>0</v>
      </c>
      <c r="CA27" s="458">
        <v>0</v>
      </c>
      <c r="CB27" s="458">
        <v>0</v>
      </c>
      <c r="CC27" s="458">
        <v>0</v>
      </c>
      <c r="CD27" s="458">
        <v>0</v>
      </c>
      <c r="CE27" s="458">
        <v>0</v>
      </c>
      <c r="CF27" s="458">
        <v>0</v>
      </c>
      <c r="CG27" s="458">
        <v>0</v>
      </c>
      <c r="CH27" s="458">
        <v>0</v>
      </c>
      <c r="CI27" s="458">
        <v>0</v>
      </c>
      <c r="CJ27" s="458">
        <v>0</v>
      </c>
      <c r="CK27" s="458">
        <v>0</v>
      </c>
      <c r="CL27" s="458">
        <v>0</v>
      </c>
      <c r="CM27" s="458">
        <v>0</v>
      </c>
      <c r="CN27" s="458">
        <v>0</v>
      </c>
      <c r="CO27" s="458">
        <v>0</v>
      </c>
      <c r="CP27" s="459">
        <v>1</v>
      </c>
      <c r="CQ27" s="460">
        <v>13</v>
      </c>
      <c r="CR27" s="461">
        <v>22</v>
      </c>
      <c r="CS27" s="462">
        <v>26</v>
      </c>
      <c r="CT27" s="463">
        <v>10</v>
      </c>
      <c r="CU27" s="464">
        <v>9</v>
      </c>
      <c r="CV27" s="465">
        <v>5</v>
      </c>
      <c r="CW27" s="466">
        <v>18</v>
      </c>
      <c r="CX27" s="467">
        <v>12</v>
      </c>
      <c r="CY27" s="468">
        <v>13</v>
      </c>
      <c r="CZ27" s="469">
        <v>25</v>
      </c>
      <c r="DA27" s="470">
        <v>7</v>
      </c>
      <c r="DB27" s="471">
        <v>6</v>
      </c>
      <c r="DC27" s="472">
        <v>1</v>
      </c>
      <c r="DD27" s="473">
        <v>4</v>
      </c>
      <c r="DE27" s="474">
        <v>1</v>
      </c>
      <c r="DF27" s="475">
        <v>7</v>
      </c>
      <c r="DG27" s="464">
        <v>3</v>
      </c>
      <c r="DH27" s="1">
        <v>0</v>
      </c>
      <c r="DI27" s="1">
        <v>0</v>
      </c>
      <c r="DJ27" s="1">
        <v>0</v>
      </c>
      <c r="DK27" s="1">
        <v>0</v>
      </c>
      <c r="DL27" s="1">
        <v>0</v>
      </c>
      <c r="DM27" s="1">
        <v>0</v>
      </c>
      <c r="DN27" s="1">
        <v>0</v>
      </c>
      <c r="DO27" s="1">
        <v>0</v>
      </c>
      <c r="DP27" s="1">
        <v>0</v>
      </c>
      <c r="DQ27" s="1">
        <v>0</v>
      </c>
      <c r="DR27" s="1">
        <v>0</v>
      </c>
      <c r="DS27" s="1">
        <v>0</v>
      </c>
      <c r="DT27" s="1">
        <v>0</v>
      </c>
      <c r="DU27" s="1">
        <v>0</v>
      </c>
      <c r="DV27" s="1">
        <v>0</v>
      </c>
      <c r="DW27" s="1">
        <v>0</v>
      </c>
      <c r="DX27" s="1">
        <v>0</v>
      </c>
      <c r="DY27" s="1">
        <v>0</v>
      </c>
      <c r="DZ27" s="1">
        <v>0</v>
      </c>
      <c r="EA27" s="1">
        <v>0</v>
      </c>
      <c r="EB27" s="1">
        <v>0</v>
      </c>
      <c r="EC27" s="1">
        <v>0</v>
      </c>
      <c r="ED27" s="1">
        <v>0</v>
      </c>
      <c r="EE27" s="1">
        <v>0</v>
      </c>
      <c r="EF27" s="1">
        <v>0</v>
      </c>
      <c r="EG27" s="1">
        <v>0</v>
      </c>
      <c r="EH27" s="1">
        <v>0</v>
      </c>
      <c r="EI27" s="1">
        <v>0</v>
      </c>
      <c r="EJ27" s="1">
        <v>0</v>
      </c>
      <c r="EK27" s="1">
        <v>0</v>
      </c>
      <c r="EL27" s="1">
        <v>0</v>
      </c>
      <c r="EM27" s="1">
        <v>0</v>
      </c>
      <c r="EN27" s="1">
        <v>0</v>
      </c>
      <c r="EO27" s="1">
        <v>0</v>
      </c>
      <c r="EP27" s="1">
        <v>0</v>
      </c>
      <c r="EQ27" s="1">
        <v>0</v>
      </c>
      <c r="ER27" s="1">
        <v>0</v>
      </c>
      <c r="ES27" s="1">
        <v>0</v>
      </c>
      <c r="ET27" s="1">
        <v>0</v>
      </c>
      <c r="EU27" s="1">
        <v>0</v>
      </c>
      <c r="EV27" s="1">
        <v>0</v>
      </c>
      <c r="EW27" s="1">
        <v>0</v>
      </c>
      <c r="EX27" s="1">
        <v>0</v>
      </c>
      <c r="EY27" s="1">
        <v>0</v>
      </c>
      <c r="EZ27" s="1">
        <v>0</v>
      </c>
      <c r="FA27" s="1">
        <v>0</v>
      </c>
      <c r="FB27" s="1">
        <v>0</v>
      </c>
      <c r="FC27" s="1">
        <v>0</v>
      </c>
      <c r="FD27" s="1">
        <v>0</v>
      </c>
      <c r="FE27" s="1">
        <v>0</v>
      </c>
      <c r="FF27" s="1">
        <v>0</v>
      </c>
      <c r="FG27" s="1">
        <v>0</v>
      </c>
      <c r="FH27" s="1">
        <v>0</v>
      </c>
      <c r="FI27" s="1">
        <v>0</v>
      </c>
      <c r="FJ27" s="1">
        <v>0</v>
      </c>
      <c r="FK27" s="1">
        <v>0</v>
      </c>
      <c r="FL27" s="1">
        <v>0</v>
      </c>
      <c r="FM27" s="1">
        <v>0</v>
      </c>
      <c r="FN27" s="1">
        <v>0</v>
      </c>
      <c r="FO27" s="1">
        <v>0</v>
      </c>
      <c r="FP27" s="1">
        <v>0</v>
      </c>
      <c r="FQ27" s="1">
        <v>0</v>
      </c>
      <c r="FR27" s="1">
        <v>0</v>
      </c>
      <c r="FS27" s="1">
        <v>0</v>
      </c>
      <c r="FT27" s="8">
        <v>0</v>
      </c>
    </row>
    <row r="28" spans="7:176" x14ac:dyDescent="0.25">
      <c r="G28" s="11" t="s">
        <v>123</v>
      </c>
      <c r="H28" s="458">
        <v>0</v>
      </c>
      <c r="I28" s="458">
        <v>0</v>
      </c>
      <c r="J28" s="458">
        <v>0</v>
      </c>
      <c r="K28" s="458">
        <v>0</v>
      </c>
      <c r="L28" s="458">
        <v>0</v>
      </c>
      <c r="M28" s="458">
        <v>0</v>
      </c>
      <c r="N28" s="458">
        <v>0</v>
      </c>
      <c r="O28" s="458">
        <v>0</v>
      </c>
      <c r="P28" s="458">
        <v>0</v>
      </c>
      <c r="Q28" s="458">
        <v>0</v>
      </c>
      <c r="R28" s="458">
        <v>0</v>
      </c>
      <c r="S28" s="458">
        <v>0</v>
      </c>
      <c r="T28" s="458">
        <v>0</v>
      </c>
      <c r="U28" s="458">
        <v>0</v>
      </c>
      <c r="V28" s="458">
        <v>0</v>
      </c>
      <c r="W28" s="458">
        <v>0</v>
      </c>
      <c r="X28" s="458">
        <v>0</v>
      </c>
      <c r="Y28" s="458">
        <v>0</v>
      </c>
      <c r="Z28" s="458">
        <v>0</v>
      </c>
      <c r="AA28" s="458">
        <v>0</v>
      </c>
      <c r="AB28" s="458">
        <v>0</v>
      </c>
      <c r="AC28" s="458">
        <v>0</v>
      </c>
      <c r="AD28" s="458">
        <v>0</v>
      </c>
      <c r="AE28" s="458">
        <v>0</v>
      </c>
      <c r="AF28" s="458">
        <v>0</v>
      </c>
      <c r="AG28" s="458">
        <v>0</v>
      </c>
      <c r="AH28" s="458">
        <v>0</v>
      </c>
      <c r="AI28" s="458">
        <v>0</v>
      </c>
      <c r="AJ28" s="458">
        <v>0</v>
      </c>
      <c r="AK28" s="458">
        <v>0</v>
      </c>
      <c r="AL28" s="458">
        <v>0</v>
      </c>
      <c r="AM28" s="458">
        <v>0</v>
      </c>
      <c r="AN28" s="458">
        <v>0</v>
      </c>
      <c r="AO28" s="458">
        <v>0</v>
      </c>
      <c r="AP28" s="458">
        <v>0</v>
      </c>
      <c r="AQ28" s="458">
        <v>0</v>
      </c>
      <c r="AR28" s="458">
        <v>0</v>
      </c>
      <c r="AS28" s="458">
        <v>0</v>
      </c>
      <c r="AT28" s="458">
        <v>0</v>
      </c>
      <c r="AU28" s="458">
        <v>0</v>
      </c>
      <c r="AV28" s="458">
        <v>0</v>
      </c>
      <c r="AW28" s="458">
        <v>0</v>
      </c>
      <c r="AX28" s="458">
        <v>0</v>
      </c>
      <c r="AY28" s="458">
        <v>0</v>
      </c>
      <c r="AZ28" s="458">
        <v>0</v>
      </c>
      <c r="BA28" s="458">
        <v>0</v>
      </c>
      <c r="BB28" s="458">
        <v>0</v>
      </c>
      <c r="BC28" s="458">
        <v>0</v>
      </c>
      <c r="BD28" s="458">
        <v>0</v>
      </c>
      <c r="BE28" s="458">
        <v>0</v>
      </c>
      <c r="BF28" s="458">
        <v>0</v>
      </c>
      <c r="BG28" s="458">
        <v>0</v>
      </c>
      <c r="BH28" s="458">
        <v>0</v>
      </c>
      <c r="BI28" s="458">
        <v>0</v>
      </c>
      <c r="BJ28" s="458">
        <v>0</v>
      </c>
      <c r="BK28" s="458">
        <v>0</v>
      </c>
      <c r="BL28" s="458">
        <v>0</v>
      </c>
      <c r="BM28" s="458">
        <v>0</v>
      </c>
      <c r="BN28" s="458">
        <v>0</v>
      </c>
      <c r="BO28" s="458">
        <v>0</v>
      </c>
      <c r="BP28" s="458">
        <v>0</v>
      </c>
      <c r="BQ28" s="458">
        <v>0</v>
      </c>
      <c r="BR28" s="458">
        <v>0</v>
      </c>
      <c r="BS28" s="458">
        <v>0</v>
      </c>
      <c r="BT28" s="458">
        <v>0</v>
      </c>
      <c r="BU28" s="458">
        <v>0</v>
      </c>
      <c r="BV28" s="458">
        <v>0</v>
      </c>
      <c r="BW28" s="458">
        <v>0</v>
      </c>
      <c r="BX28" s="458">
        <v>0</v>
      </c>
      <c r="BY28" s="458">
        <v>0</v>
      </c>
      <c r="BZ28" s="458">
        <v>0</v>
      </c>
      <c r="CA28" s="458">
        <v>0</v>
      </c>
      <c r="CB28" s="458">
        <v>0</v>
      </c>
      <c r="CC28" s="458">
        <v>0</v>
      </c>
      <c r="CD28" s="458">
        <v>0</v>
      </c>
      <c r="CE28" s="458">
        <v>0</v>
      </c>
      <c r="CF28" s="458">
        <v>0</v>
      </c>
      <c r="CG28" s="458">
        <v>0</v>
      </c>
      <c r="CH28" s="458">
        <v>0</v>
      </c>
      <c r="CI28" s="458">
        <v>0</v>
      </c>
      <c r="CJ28" s="458">
        <v>0</v>
      </c>
      <c r="CK28" s="458">
        <v>0</v>
      </c>
      <c r="CL28" s="458">
        <v>0</v>
      </c>
      <c r="CM28" s="458">
        <v>0</v>
      </c>
      <c r="CN28" s="458">
        <v>0</v>
      </c>
      <c r="CO28" s="458">
        <v>0</v>
      </c>
      <c r="CP28" s="459">
        <v>1</v>
      </c>
      <c r="CQ28" s="464">
        <v>12</v>
      </c>
      <c r="CR28" s="476">
        <v>16</v>
      </c>
      <c r="CS28" s="477">
        <v>15</v>
      </c>
      <c r="CT28" s="478">
        <v>9</v>
      </c>
      <c r="CU28" s="479">
        <v>6</v>
      </c>
      <c r="CV28" s="465">
        <v>5</v>
      </c>
      <c r="CW28" s="480">
        <v>17</v>
      </c>
      <c r="CX28" s="481">
        <v>10</v>
      </c>
      <c r="CY28" s="464">
        <v>11</v>
      </c>
      <c r="CZ28" s="482">
        <v>21</v>
      </c>
      <c r="DA28" s="470">
        <v>7</v>
      </c>
      <c r="DB28" s="483">
        <v>4</v>
      </c>
      <c r="DC28" s="472">
        <v>1</v>
      </c>
      <c r="DD28" s="479">
        <v>3</v>
      </c>
      <c r="DE28" s="474">
        <v>1</v>
      </c>
      <c r="DF28" s="484">
        <v>3</v>
      </c>
      <c r="DG28" s="485">
        <v>1</v>
      </c>
      <c r="DH28" s="1">
        <v>0</v>
      </c>
      <c r="DI28" s="1">
        <v>0</v>
      </c>
      <c r="DJ28" s="1">
        <v>0</v>
      </c>
      <c r="DK28" s="1">
        <v>0</v>
      </c>
      <c r="DL28" s="1">
        <v>0</v>
      </c>
      <c r="DM28" s="1">
        <v>0</v>
      </c>
      <c r="DN28" s="1">
        <v>0</v>
      </c>
      <c r="DO28" s="1">
        <v>0</v>
      </c>
      <c r="DP28" s="1">
        <v>0</v>
      </c>
      <c r="DQ28" s="1">
        <v>0</v>
      </c>
      <c r="DR28" s="1">
        <v>0</v>
      </c>
      <c r="DS28" s="1">
        <v>0</v>
      </c>
      <c r="DT28" s="1">
        <v>0</v>
      </c>
      <c r="DU28" s="1">
        <v>0</v>
      </c>
      <c r="DV28" s="1">
        <v>0</v>
      </c>
      <c r="DW28" s="1">
        <v>0</v>
      </c>
      <c r="DX28" s="1">
        <v>0</v>
      </c>
      <c r="DY28" s="1">
        <v>0</v>
      </c>
      <c r="DZ28" s="1">
        <v>0</v>
      </c>
      <c r="EA28" s="1">
        <v>0</v>
      </c>
      <c r="EB28" s="1">
        <v>0</v>
      </c>
      <c r="EC28" s="1">
        <v>0</v>
      </c>
      <c r="ED28" s="1">
        <v>0</v>
      </c>
      <c r="EE28" s="1">
        <v>0</v>
      </c>
      <c r="EF28" s="1">
        <v>0</v>
      </c>
      <c r="EG28" s="1">
        <v>0</v>
      </c>
      <c r="EH28" s="1">
        <v>0</v>
      </c>
      <c r="EI28" s="1">
        <v>0</v>
      </c>
      <c r="EJ28" s="1">
        <v>0</v>
      </c>
      <c r="EK28" s="1">
        <v>0</v>
      </c>
      <c r="EL28" s="1">
        <v>0</v>
      </c>
      <c r="EM28" s="1">
        <v>0</v>
      </c>
      <c r="EN28" s="1">
        <v>0</v>
      </c>
      <c r="EO28" s="1">
        <v>0</v>
      </c>
      <c r="EP28" s="1">
        <v>0</v>
      </c>
      <c r="EQ28" s="1">
        <v>0</v>
      </c>
      <c r="ER28" s="1">
        <v>0</v>
      </c>
      <c r="ES28" s="1">
        <v>0</v>
      </c>
      <c r="ET28" s="1">
        <v>0</v>
      </c>
      <c r="EU28" s="1">
        <v>0</v>
      </c>
      <c r="EV28" s="1">
        <v>0</v>
      </c>
      <c r="EW28" s="1">
        <v>0</v>
      </c>
      <c r="EX28" s="1">
        <v>0</v>
      </c>
      <c r="EY28" s="1">
        <v>0</v>
      </c>
      <c r="EZ28" s="1">
        <v>0</v>
      </c>
      <c r="FA28" s="1">
        <v>0</v>
      </c>
      <c r="FB28" s="1">
        <v>0</v>
      </c>
      <c r="FC28" s="1">
        <v>0</v>
      </c>
      <c r="FD28" s="1">
        <v>0</v>
      </c>
      <c r="FE28" s="1">
        <v>0</v>
      </c>
      <c r="FF28" s="1">
        <v>0</v>
      </c>
      <c r="FG28" s="1">
        <v>0</v>
      </c>
      <c r="FH28" s="1">
        <v>0</v>
      </c>
      <c r="FI28" s="1">
        <v>0</v>
      </c>
      <c r="FJ28" s="1">
        <v>0</v>
      </c>
      <c r="FK28" s="1">
        <v>0</v>
      </c>
      <c r="FL28" s="1">
        <v>0</v>
      </c>
      <c r="FM28" s="1">
        <v>0</v>
      </c>
      <c r="FN28" s="1">
        <v>0</v>
      </c>
      <c r="FO28" s="1">
        <v>0</v>
      </c>
      <c r="FP28" s="1">
        <v>0</v>
      </c>
      <c r="FQ28" s="1">
        <v>0</v>
      </c>
      <c r="FR28" s="1">
        <v>0</v>
      </c>
      <c r="FS28" s="1">
        <v>0</v>
      </c>
      <c r="FT28" s="8">
        <v>0</v>
      </c>
    </row>
    <row r="29" spans="7:176" x14ac:dyDescent="0.25">
      <c r="G29" s="11" t="s">
        <v>124</v>
      </c>
      <c r="H29" s="458">
        <v>0</v>
      </c>
      <c r="I29" s="458">
        <v>0</v>
      </c>
      <c r="J29" s="458">
        <v>0</v>
      </c>
      <c r="K29" s="458">
        <v>0</v>
      </c>
      <c r="L29" s="458">
        <v>0</v>
      </c>
      <c r="M29" s="458">
        <v>0</v>
      </c>
      <c r="N29" s="458">
        <v>0</v>
      </c>
      <c r="O29" s="458">
        <v>0</v>
      </c>
      <c r="P29" s="458">
        <v>0</v>
      </c>
      <c r="Q29" s="458">
        <v>0</v>
      </c>
      <c r="R29" s="458">
        <v>0</v>
      </c>
      <c r="S29" s="458">
        <v>0</v>
      </c>
      <c r="T29" s="458">
        <v>0</v>
      </c>
      <c r="U29" s="458">
        <v>0</v>
      </c>
      <c r="V29" s="458">
        <v>0</v>
      </c>
      <c r="W29" s="458">
        <v>0</v>
      </c>
      <c r="X29" s="458">
        <v>0</v>
      </c>
      <c r="Y29" s="458">
        <v>0</v>
      </c>
      <c r="Z29" s="458">
        <v>0</v>
      </c>
      <c r="AA29" s="458">
        <v>0</v>
      </c>
      <c r="AB29" s="458">
        <v>0</v>
      </c>
      <c r="AC29" s="458">
        <v>0</v>
      </c>
      <c r="AD29" s="458">
        <v>0</v>
      </c>
      <c r="AE29" s="458">
        <v>0</v>
      </c>
      <c r="AF29" s="458">
        <v>0</v>
      </c>
      <c r="AG29" s="458">
        <v>0</v>
      </c>
      <c r="AH29" s="458">
        <v>0</v>
      </c>
      <c r="AI29" s="458">
        <v>0</v>
      </c>
      <c r="AJ29" s="458">
        <v>0</v>
      </c>
      <c r="AK29" s="458">
        <v>0</v>
      </c>
      <c r="AL29" s="458">
        <v>0</v>
      </c>
      <c r="AM29" s="458">
        <v>0</v>
      </c>
      <c r="AN29" s="458">
        <v>0</v>
      </c>
      <c r="AO29" s="458">
        <v>0</v>
      </c>
      <c r="AP29" s="458">
        <v>0</v>
      </c>
      <c r="AQ29" s="458">
        <v>0</v>
      </c>
      <c r="AR29" s="458">
        <v>0</v>
      </c>
      <c r="AS29" s="458">
        <v>0</v>
      </c>
      <c r="AT29" s="458">
        <v>0</v>
      </c>
      <c r="AU29" s="458">
        <v>0</v>
      </c>
      <c r="AV29" s="458">
        <v>0</v>
      </c>
      <c r="AW29" s="458">
        <v>0</v>
      </c>
      <c r="AX29" s="458">
        <v>0</v>
      </c>
      <c r="AY29" s="458">
        <v>0</v>
      </c>
      <c r="AZ29" s="458">
        <v>0</v>
      </c>
      <c r="BA29" s="458">
        <v>0</v>
      </c>
      <c r="BB29" s="458">
        <v>0</v>
      </c>
      <c r="BC29" s="458">
        <v>0</v>
      </c>
      <c r="BD29" s="458">
        <v>0</v>
      </c>
      <c r="BE29" s="458">
        <v>0</v>
      </c>
      <c r="BF29" s="458">
        <v>0</v>
      </c>
      <c r="BG29" s="458">
        <v>0</v>
      </c>
      <c r="BH29" s="458">
        <v>0</v>
      </c>
      <c r="BI29" s="458">
        <v>0</v>
      </c>
      <c r="BJ29" s="458">
        <v>0</v>
      </c>
      <c r="BK29" s="458">
        <v>0</v>
      </c>
      <c r="BL29" s="458">
        <v>0</v>
      </c>
      <c r="BM29" s="458">
        <v>0</v>
      </c>
      <c r="BN29" s="458">
        <v>0</v>
      </c>
      <c r="BO29" s="458">
        <v>0</v>
      </c>
      <c r="BP29" s="458">
        <v>0</v>
      </c>
      <c r="BQ29" s="458">
        <v>0</v>
      </c>
      <c r="BR29" s="458">
        <v>0</v>
      </c>
      <c r="BS29" s="458">
        <v>0</v>
      </c>
      <c r="BT29" s="458">
        <v>0</v>
      </c>
      <c r="BU29" s="458">
        <v>0</v>
      </c>
      <c r="BV29" s="458">
        <v>0</v>
      </c>
      <c r="BW29" s="458">
        <v>0</v>
      </c>
      <c r="BX29" s="458">
        <v>0</v>
      </c>
      <c r="BY29" s="458">
        <v>0</v>
      </c>
      <c r="BZ29" s="458">
        <v>0</v>
      </c>
      <c r="CA29" s="458">
        <v>0</v>
      </c>
      <c r="CB29" s="458">
        <v>0</v>
      </c>
      <c r="CC29" s="458">
        <v>0</v>
      </c>
      <c r="CD29" s="458">
        <v>0</v>
      </c>
      <c r="CE29" s="458">
        <v>0</v>
      </c>
      <c r="CF29" s="458">
        <v>0</v>
      </c>
      <c r="CG29" s="458">
        <v>0</v>
      </c>
      <c r="CH29" s="458">
        <v>0</v>
      </c>
      <c r="CI29" s="458">
        <v>0</v>
      </c>
      <c r="CJ29" s="458">
        <v>0</v>
      </c>
      <c r="CK29" s="458">
        <v>0</v>
      </c>
      <c r="CL29" s="458">
        <v>0</v>
      </c>
      <c r="CM29" s="458">
        <v>0</v>
      </c>
      <c r="CN29" s="458">
        <v>0</v>
      </c>
      <c r="CO29" s="458">
        <v>0</v>
      </c>
      <c r="CP29" s="458">
        <v>0</v>
      </c>
      <c r="CQ29" s="486">
        <v>1</v>
      </c>
      <c r="CR29" s="487">
        <v>6</v>
      </c>
      <c r="CS29" s="488">
        <v>11</v>
      </c>
      <c r="CT29" s="489">
        <v>1</v>
      </c>
      <c r="CU29" s="485">
        <v>3</v>
      </c>
      <c r="CV29" s="458">
        <v>0</v>
      </c>
      <c r="CW29" s="490">
        <v>1</v>
      </c>
      <c r="CX29" s="491">
        <v>2</v>
      </c>
      <c r="CY29" s="492">
        <v>2</v>
      </c>
      <c r="CZ29" s="493">
        <v>4</v>
      </c>
      <c r="DA29" s="458">
        <v>0</v>
      </c>
      <c r="DB29" s="494">
        <v>2</v>
      </c>
      <c r="DC29" s="458">
        <v>0</v>
      </c>
      <c r="DD29" s="459">
        <v>1</v>
      </c>
      <c r="DE29" s="458">
        <v>0</v>
      </c>
      <c r="DF29" s="495">
        <v>4</v>
      </c>
      <c r="DG29" s="479">
        <v>2</v>
      </c>
      <c r="DH29" s="1">
        <v>0</v>
      </c>
      <c r="DI29" s="1">
        <v>0</v>
      </c>
      <c r="DJ29" s="1">
        <v>0</v>
      </c>
      <c r="DK29" s="1">
        <v>0</v>
      </c>
      <c r="DL29" s="1">
        <v>0</v>
      </c>
      <c r="DM29" s="1">
        <v>0</v>
      </c>
      <c r="DN29" s="1">
        <v>0</v>
      </c>
      <c r="DO29" s="1">
        <v>0</v>
      </c>
      <c r="DP29" s="1">
        <v>0</v>
      </c>
      <c r="DQ29" s="1">
        <v>0</v>
      </c>
      <c r="DR29" s="1">
        <v>0</v>
      </c>
      <c r="DS29" s="1">
        <v>0</v>
      </c>
      <c r="DT29" s="1">
        <v>0</v>
      </c>
      <c r="DU29" s="1">
        <v>0</v>
      </c>
      <c r="DV29" s="1">
        <v>0</v>
      </c>
      <c r="DW29" s="1">
        <v>0</v>
      </c>
      <c r="DX29" s="1">
        <v>0</v>
      </c>
      <c r="DY29" s="1">
        <v>0</v>
      </c>
      <c r="DZ29" s="1">
        <v>0</v>
      </c>
      <c r="EA29" s="1">
        <v>0</v>
      </c>
      <c r="EB29" s="1">
        <v>0</v>
      </c>
      <c r="EC29" s="1">
        <v>0</v>
      </c>
      <c r="ED29" s="1">
        <v>0</v>
      </c>
      <c r="EE29" s="1">
        <v>0</v>
      </c>
      <c r="EF29" s="1">
        <v>0</v>
      </c>
      <c r="EG29" s="1">
        <v>0</v>
      </c>
      <c r="EH29" s="1">
        <v>0</v>
      </c>
      <c r="EI29" s="1">
        <v>0</v>
      </c>
      <c r="EJ29" s="1">
        <v>0</v>
      </c>
      <c r="EK29" s="1">
        <v>0</v>
      </c>
      <c r="EL29" s="1">
        <v>0</v>
      </c>
      <c r="EM29" s="1">
        <v>0</v>
      </c>
      <c r="EN29" s="1">
        <v>0</v>
      </c>
      <c r="EO29" s="1">
        <v>0</v>
      </c>
      <c r="EP29" s="1">
        <v>0</v>
      </c>
      <c r="EQ29" s="1">
        <v>0</v>
      </c>
      <c r="ER29" s="1">
        <v>0</v>
      </c>
      <c r="ES29" s="1">
        <v>0</v>
      </c>
      <c r="ET29" s="1">
        <v>0</v>
      </c>
      <c r="EU29" s="1">
        <v>0</v>
      </c>
      <c r="EV29" s="1">
        <v>0</v>
      </c>
      <c r="EW29" s="1">
        <v>0</v>
      </c>
      <c r="EX29" s="1">
        <v>0</v>
      </c>
      <c r="EY29" s="1">
        <v>0</v>
      </c>
      <c r="EZ29" s="1">
        <v>0</v>
      </c>
      <c r="FA29" s="1">
        <v>0</v>
      </c>
      <c r="FB29" s="1">
        <v>0</v>
      </c>
      <c r="FC29" s="1">
        <v>0</v>
      </c>
      <c r="FD29" s="1">
        <v>0</v>
      </c>
      <c r="FE29" s="1">
        <v>0</v>
      </c>
      <c r="FF29" s="1">
        <v>0</v>
      </c>
      <c r="FG29" s="1">
        <v>0</v>
      </c>
      <c r="FH29" s="1">
        <v>0</v>
      </c>
      <c r="FI29" s="1">
        <v>0</v>
      </c>
      <c r="FJ29" s="1">
        <v>0</v>
      </c>
      <c r="FK29" s="1">
        <v>0</v>
      </c>
      <c r="FL29" s="1">
        <v>0</v>
      </c>
      <c r="FM29" s="1">
        <v>0</v>
      </c>
      <c r="FN29" s="1">
        <v>0</v>
      </c>
      <c r="FO29" s="1">
        <v>0</v>
      </c>
      <c r="FP29" s="1">
        <v>0</v>
      </c>
      <c r="FQ29" s="1">
        <v>0</v>
      </c>
      <c r="FR29" s="1">
        <v>0</v>
      </c>
      <c r="FS29" s="1">
        <v>0</v>
      </c>
      <c r="FT29" s="8">
        <v>0</v>
      </c>
    </row>
    <row r="30" spans="7:176" x14ac:dyDescent="0.25">
      <c r="G30" s="11" t="s">
        <v>132</v>
      </c>
      <c r="H30" s="458"/>
      <c r="I30" s="458"/>
      <c r="J30" s="458"/>
      <c r="K30" s="458"/>
      <c r="L30" s="458"/>
      <c r="M30" s="458"/>
      <c r="N30" s="458"/>
      <c r="O30" s="458"/>
      <c r="P30" s="458"/>
      <c r="Q30" s="458"/>
      <c r="R30" s="458"/>
      <c r="S30" s="458"/>
      <c r="T30" s="458"/>
      <c r="U30" s="458"/>
      <c r="V30" s="458"/>
      <c r="W30" s="458"/>
      <c r="X30" s="458"/>
      <c r="Y30" s="458"/>
      <c r="Z30" s="458"/>
      <c r="AA30" s="458"/>
      <c r="AB30" s="458"/>
      <c r="AC30" s="458"/>
      <c r="AD30" s="458"/>
      <c r="AE30" s="458"/>
      <c r="AF30" s="458"/>
      <c r="AG30" s="458"/>
      <c r="AH30" s="458"/>
      <c r="AI30" s="458"/>
      <c r="AJ30" s="458"/>
      <c r="AK30" s="458"/>
      <c r="AL30" s="458"/>
      <c r="AM30" s="458"/>
      <c r="AN30" s="458"/>
      <c r="AO30" s="458"/>
      <c r="AP30" s="458"/>
      <c r="AQ30" s="458"/>
      <c r="AR30" s="458"/>
      <c r="AS30" s="458"/>
      <c r="AT30" s="458"/>
      <c r="AU30" s="458"/>
      <c r="AV30" s="458"/>
      <c r="AW30" s="458"/>
      <c r="AX30" s="458"/>
      <c r="AY30" s="458"/>
      <c r="AZ30" s="458"/>
      <c r="BA30" s="458"/>
      <c r="BB30" s="458"/>
      <c r="BC30" s="458"/>
      <c r="BD30" s="458"/>
      <c r="BE30" s="458"/>
      <c r="BF30" s="458"/>
      <c r="BG30" s="458"/>
      <c r="BH30" s="458"/>
      <c r="BI30" s="458"/>
      <c r="BJ30" s="458"/>
      <c r="BK30" s="458"/>
      <c r="BL30" s="458"/>
      <c r="BM30" s="458"/>
      <c r="BN30" s="458"/>
      <c r="BO30" s="458"/>
      <c r="BP30" s="458"/>
      <c r="BQ30" s="458"/>
      <c r="BR30" s="458"/>
      <c r="BS30" s="458"/>
      <c r="BT30" s="458"/>
      <c r="BU30" s="458"/>
      <c r="BV30" s="458"/>
      <c r="BW30" s="458"/>
      <c r="BX30" s="458"/>
      <c r="BY30" s="458"/>
      <c r="BZ30" s="458"/>
      <c r="CA30" s="458"/>
      <c r="CB30" s="458"/>
      <c r="CC30" s="458"/>
      <c r="CD30" s="458"/>
      <c r="CE30" s="458"/>
      <c r="CF30" s="458"/>
      <c r="CG30" s="458"/>
      <c r="CH30" s="458"/>
      <c r="CI30" s="458"/>
      <c r="CJ30" s="458"/>
      <c r="CK30" s="458"/>
      <c r="CL30" s="458"/>
      <c r="CM30" s="458"/>
      <c r="CN30" s="458"/>
      <c r="CO30" s="458"/>
      <c r="CP30" s="458"/>
      <c r="CQ30" s="486"/>
      <c r="CR30" s="487"/>
      <c r="CS30" s="488"/>
      <c r="CT30" s="489"/>
      <c r="CU30" s="485"/>
      <c r="CV30" s="458"/>
      <c r="CW30" s="490"/>
      <c r="CX30" s="491"/>
      <c r="CY30" s="492"/>
      <c r="CZ30" s="493"/>
      <c r="DA30" s="458"/>
      <c r="DB30" s="494"/>
      <c r="DC30" s="458"/>
      <c r="DD30" s="459"/>
      <c r="DE30" s="458"/>
      <c r="DF30" s="495"/>
      <c r="DG30" s="479"/>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8"/>
    </row>
    <row r="31" spans="7:176" x14ac:dyDescent="0.25">
      <c r="G31" s="11" t="s">
        <v>133</v>
      </c>
      <c r="H31" s="458"/>
      <c r="I31" s="458"/>
      <c r="J31" s="458"/>
      <c r="K31" s="458"/>
      <c r="L31" s="458"/>
      <c r="M31" s="458"/>
      <c r="N31" s="458"/>
      <c r="O31" s="458"/>
      <c r="P31" s="458"/>
      <c r="Q31" s="458"/>
      <c r="R31" s="458"/>
      <c r="S31" s="458"/>
      <c r="T31" s="458"/>
      <c r="U31" s="458"/>
      <c r="V31" s="458"/>
      <c r="W31" s="458"/>
      <c r="X31" s="458"/>
      <c r="Y31" s="458"/>
      <c r="Z31" s="458"/>
      <c r="AA31" s="458"/>
      <c r="AB31" s="458"/>
      <c r="AC31" s="458"/>
      <c r="AD31" s="458"/>
      <c r="AE31" s="458"/>
      <c r="AF31" s="458"/>
      <c r="AG31" s="458"/>
      <c r="AH31" s="458"/>
      <c r="AI31" s="458"/>
      <c r="AJ31" s="458"/>
      <c r="AK31" s="458"/>
      <c r="AL31" s="458"/>
      <c r="AM31" s="458"/>
      <c r="AN31" s="458"/>
      <c r="AO31" s="458"/>
      <c r="AP31" s="458"/>
      <c r="AQ31" s="458"/>
      <c r="AR31" s="458"/>
      <c r="AS31" s="458"/>
      <c r="AT31" s="458"/>
      <c r="AU31" s="458"/>
      <c r="AV31" s="458"/>
      <c r="AW31" s="458"/>
      <c r="AX31" s="458"/>
      <c r="AY31" s="458"/>
      <c r="AZ31" s="458"/>
      <c r="BA31" s="458"/>
      <c r="BB31" s="458"/>
      <c r="BC31" s="458"/>
      <c r="BD31" s="458"/>
      <c r="BE31" s="458"/>
      <c r="BF31" s="458"/>
      <c r="BG31" s="458"/>
      <c r="BH31" s="458"/>
      <c r="BI31" s="458"/>
      <c r="BJ31" s="458"/>
      <c r="BK31" s="458"/>
      <c r="BL31" s="458"/>
      <c r="BM31" s="458"/>
      <c r="BN31" s="458"/>
      <c r="BO31" s="458"/>
      <c r="BP31" s="458"/>
      <c r="BQ31" s="458"/>
      <c r="BR31" s="458"/>
      <c r="BS31" s="458"/>
      <c r="BT31" s="458"/>
      <c r="BU31" s="458"/>
      <c r="BV31" s="458"/>
      <c r="BW31" s="458"/>
      <c r="BX31" s="458"/>
      <c r="BY31" s="458"/>
      <c r="BZ31" s="458"/>
      <c r="CA31" s="458"/>
      <c r="CB31" s="458"/>
      <c r="CC31" s="458"/>
      <c r="CD31" s="458"/>
      <c r="CE31" s="458"/>
      <c r="CF31" s="458"/>
      <c r="CG31" s="458"/>
      <c r="CH31" s="458"/>
      <c r="CI31" s="458"/>
      <c r="CJ31" s="458"/>
      <c r="CK31" s="458"/>
      <c r="CL31" s="458"/>
      <c r="CM31" s="458"/>
      <c r="CN31" s="458"/>
      <c r="CO31" s="458"/>
      <c r="CP31" s="458"/>
      <c r="CQ31" s="486"/>
      <c r="CR31" s="487"/>
      <c r="CS31" s="488"/>
      <c r="CT31" s="489"/>
      <c r="CU31" s="485"/>
      <c r="CV31" s="458"/>
      <c r="CW31" s="490"/>
      <c r="CX31" s="491"/>
      <c r="CY31" s="492"/>
      <c r="CZ31" s="493"/>
      <c r="DA31" s="458"/>
      <c r="DB31" s="494"/>
      <c r="DC31" s="458"/>
      <c r="DD31" s="459"/>
      <c r="DE31" s="458"/>
      <c r="DF31" s="495"/>
      <c r="DG31" s="479"/>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8"/>
    </row>
    <row r="32" spans="7:176" x14ac:dyDescent="0.25">
      <c r="G32" s="11" t="s">
        <v>125</v>
      </c>
      <c r="H32" s="1">
        <v>0</v>
      </c>
      <c r="I32" s="1">
        <v>0</v>
      </c>
      <c r="J32" s="1">
        <v>0</v>
      </c>
      <c r="K32" s="1">
        <v>0</v>
      </c>
      <c r="L32" s="1">
        <v>0</v>
      </c>
      <c r="M32" s="1">
        <v>0</v>
      </c>
      <c r="N32" s="1">
        <v>0</v>
      </c>
      <c r="O32" s="1">
        <v>0</v>
      </c>
      <c r="P32" s="1">
        <v>0</v>
      </c>
      <c r="Q32" s="1">
        <v>0</v>
      </c>
      <c r="R32" s="1">
        <v>0</v>
      </c>
      <c r="S32" s="1">
        <v>0</v>
      </c>
      <c r="T32" s="1">
        <v>0</v>
      </c>
      <c r="U32" s="1">
        <v>0</v>
      </c>
      <c r="V32" s="1">
        <v>0</v>
      </c>
      <c r="W32" s="1">
        <v>0</v>
      </c>
      <c r="X32" s="1">
        <v>0</v>
      </c>
      <c r="Y32" s="1">
        <v>0</v>
      </c>
      <c r="Z32" s="1">
        <v>0</v>
      </c>
      <c r="AA32" s="1">
        <v>0</v>
      </c>
      <c r="AB32" s="1">
        <v>0</v>
      </c>
      <c r="AC32" s="1">
        <v>0</v>
      </c>
      <c r="AD32" s="1">
        <v>0</v>
      </c>
      <c r="AE32" s="1">
        <v>0</v>
      </c>
      <c r="AF32" s="1">
        <v>0</v>
      </c>
      <c r="AG32" s="1">
        <v>0</v>
      </c>
      <c r="AH32" s="1">
        <v>0</v>
      </c>
      <c r="AI32" s="1">
        <v>0</v>
      </c>
      <c r="AJ32" s="1">
        <v>0</v>
      </c>
      <c r="AK32" s="1">
        <v>0</v>
      </c>
      <c r="AL32" s="1">
        <v>0</v>
      </c>
      <c r="AM32" s="1">
        <v>0</v>
      </c>
      <c r="AN32" s="1">
        <v>0</v>
      </c>
      <c r="AO32" s="1">
        <v>0</v>
      </c>
      <c r="AP32" s="1">
        <v>0</v>
      </c>
      <c r="AQ32" s="1">
        <v>0</v>
      </c>
      <c r="AR32" s="1">
        <v>0</v>
      </c>
      <c r="AS32" s="1">
        <v>0</v>
      </c>
      <c r="AT32" s="1">
        <v>0</v>
      </c>
      <c r="AU32" s="1">
        <v>0</v>
      </c>
      <c r="AV32" s="1">
        <v>0</v>
      </c>
      <c r="AW32" s="1">
        <v>0</v>
      </c>
      <c r="AX32" s="1">
        <v>0</v>
      </c>
      <c r="AY32" s="1">
        <v>0</v>
      </c>
      <c r="AZ32" s="1">
        <v>0</v>
      </c>
      <c r="BA32" s="1">
        <v>0</v>
      </c>
      <c r="BB32" s="1">
        <v>0</v>
      </c>
      <c r="BC32" s="1">
        <v>0</v>
      </c>
      <c r="BD32" s="1">
        <v>0</v>
      </c>
      <c r="BE32" s="1">
        <v>0</v>
      </c>
      <c r="BF32" s="1">
        <v>0</v>
      </c>
      <c r="BG32" s="1">
        <v>0</v>
      </c>
      <c r="BH32" s="1">
        <v>0</v>
      </c>
      <c r="BI32" s="1">
        <v>0</v>
      </c>
      <c r="BJ32" s="1">
        <v>0</v>
      </c>
      <c r="BK32" s="1">
        <v>0</v>
      </c>
      <c r="BL32" s="1">
        <v>0</v>
      </c>
      <c r="BM32" s="1">
        <v>0</v>
      </c>
      <c r="BN32" s="1">
        <v>0</v>
      </c>
      <c r="BO32" s="1">
        <v>0</v>
      </c>
      <c r="BP32" s="1">
        <v>0</v>
      </c>
      <c r="BQ32" s="1">
        <v>0</v>
      </c>
      <c r="BR32" s="1">
        <v>0</v>
      </c>
      <c r="BS32" s="1">
        <v>0</v>
      </c>
      <c r="BT32" s="1">
        <v>0</v>
      </c>
      <c r="BU32" s="1">
        <v>0</v>
      </c>
      <c r="BV32" s="1">
        <v>0</v>
      </c>
      <c r="BW32" s="1">
        <v>0</v>
      </c>
      <c r="BX32" s="1">
        <v>0</v>
      </c>
      <c r="BY32" s="1">
        <v>0</v>
      </c>
      <c r="BZ32" s="1">
        <v>0</v>
      </c>
      <c r="CA32" s="1">
        <v>0</v>
      </c>
      <c r="CB32" s="1">
        <v>0</v>
      </c>
      <c r="CC32" s="1">
        <v>0</v>
      </c>
      <c r="CD32" s="1">
        <v>0</v>
      </c>
      <c r="CE32" s="1">
        <v>0</v>
      </c>
      <c r="CF32" s="1">
        <v>0</v>
      </c>
      <c r="CG32" s="1">
        <v>0</v>
      </c>
      <c r="CH32" s="1">
        <v>0</v>
      </c>
      <c r="CI32" s="1">
        <v>0</v>
      </c>
      <c r="CJ32" s="1">
        <v>0</v>
      </c>
      <c r="CK32" s="1">
        <v>0</v>
      </c>
      <c r="CL32" s="1">
        <v>0</v>
      </c>
      <c r="CM32" s="1">
        <v>0</v>
      </c>
      <c r="CN32" s="1">
        <v>0</v>
      </c>
      <c r="CO32" s="1">
        <v>0</v>
      </c>
      <c r="CP32" s="1">
        <v>0</v>
      </c>
      <c r="CQ32" s="1">
        <v>0</v>
      </c>
      <c r="CR32" s="1">
        <v>0</v>
      </c>
      <c r="CS32" s="1">
        <v>0</v>
      </c>
      <c r="CT32" s="1">
        <v>0</v>
      </c>
      <c r="CU32" s="1">
        <v>0</v>
      </c>
      <c r="CV32" s="1">
        <v>0</v>
      </c>
      <c r="CW32" s="1">
        <v>0</v>
      </c>
      <c r="CX32" s="1">
        <v>0</v>
      </c>
      <c r="CY32" s="1">
        <v>0</v>
      </c>
      <c r="CZ32" s="1">
        <v>0</v>
      </c>
      <c r="DA32" s="1">
        <v>0</v>
      </c>
      <c r="DB32" s="1">
        <v>0</v>
      </c>
      <c r="DC32" s="1">
        <v>0</v>
      </c>
      <c r="DD32" s="1">
        <v>0</v>
      </c>
      <c r="DE32" s="1">
        <v>0</v>
      </c>
      <c r="DF32" s="1">
        <v>0</v>
      </c>
      <c r="DG32" s="1">
        <v>0</v>
      </c>
      <c r="DH32" s="1">
        <v>0</v>
      </c>
      <c r="DI32" s="1">
        <v>0</v>
      </c>
      <c r="DJ32" s="1">
        <v>0</v>
      </c>
      <c r="DK32" s="1">
        <v>0</v>
      </c>
      <c r="DL32" s="1">
        <v>0</v>
      </c>
      <c r="DM32" s="1">
        <v>0</v>
      </c>
      <c r="DN32" s="1">
        <v>0</v>
      </c>
      <c r="DO32" s="1">
        <v>0</v>
      </c>
      <c r="DP32" s="1">
        <v>0</v>
      </c>
      <c r="DQ32" s="1">
        <v>0</v>
      </c>
      <c r="DR32" s="1">
        <v>0</v>
      </c>
      <c r="DS32" s="1">
        <v>0</v>
      </c>
      <c r="DT32" s="1">
        <v>0</v>
      </c>
      <c r="DU32" s="1">
        <v>0</v>
      </c>
      <c r="DV32" s="1">
        <v>0</v>
      </c>
      <c r="DW32" s="1">
        <v>0</v>
      </c>
      <c r="DX32" s="1">
        <v>0</v>
      </c>
      <c r="DY32" s="1">
        <v>0</v>
      </c>
      <c r="DZ32" s="1">
        <v>0</v>
      </c>
      <c r="EA32" s="1">
        <v>0</v>
      </c>
      <c r="EB32" s="1">
        <v>0</v>
      </c>
      <c r="EC32" s="1">
        <v>0</v>
      </c>
      <c r="ED32" s="1">
        <v>0</v>
      </c>
      <c r="EE32" s="1">
        <v>0</v>
      </c>
      <c r="EF32" s="1">
        <v>0</v>
      </c>
      <c r="EG32" s="1">
        <v>0</v>
      </c>
      <c r="EH32" s="1">
        <v>0</v>
      </c>
      <c r="EI32" s="1">
        <v>0</v>
      </c>
      <c r="EJ32" s="1">
        <v>0</v>
      </c>
      <c r="EK32" s="1">
        <v>0</v>
      </c>
      <c r="EL32" s="1">
        <v>0</v>
      </c>
      <c r="EM32" s="1">
        <v>0</v>
      </c>
      <c r="EN32" s="1">
        <v>0</v>
      </c>
      <c r="EO32" s="1">
        <v>0</v>
      </c>
      <c r="EP32" s="1">
        <v>0</v>
      </c>
      <c r="EQ32" s="1">
        <v>0</v>
      </c>
      <c r="ER32" s="1">
        <v>0</v>
      </c>
      <c r="ES32" s="1">
        <v>0</v>
      </c>
      <c r="ET32" s="1">
        <v>0</v>
      </c>
      <c r="EU32" s="1">
        <v>0</v>
      </c>
      <c r="EV32" s="1">
        <v>0</v>
      </c>
      <c r="EW32" s="1">
        <v>0</v>
      </c>
      <c r="EX32" s="1">
        <v>0</v>
      </c>
      <c r="EY32" s="1">
        <v>0</v>
      </c>
      <c r="EZ32" s="1">
        <v>0</v>
      </c>
      <c r="FA32" s="1">
        <v>0</v>
      </c>
      <c r="FB32" s="1">
        <v>0</v>
      </c>
      <c r="FC32" s="1">
        <v>0</v>
      </c>
      <c r="FD32" s="1">
        <v>0</v>
      </c>
      <c r="FE32" s="1">
        <v>0</v>
      </c>
      <c r="FF32" s="1">
        <v>0</v>
      </c>
      <c r="FG32" s="1">
        <v>0</v>
      </c>
      <c r="FH32" s="1">
        <v>0</v>
      </c>
      <c r="FI32" s="1">
        <v>0</v>
      </c>
      <c r="FJ32" s="1">
        <v>0</v>
      </c>
      <c r="FK32" s="1">
        <v>0</v>
      </c>
      <c r="FL32" s="1">
        <v>0</v>
      </c>
      <c r="FM32" s="1">
        <v>0</v>
      </c>
      <c r="FN32" s="1">
        <v>0</v>
      </c>
      <c r="FO32" s="1">
        <v>0</v>
      </c>
      <c r="FP32" s="1">
        <v>0</v>
      </c>
      <c r="FQ32" s="1">
        <v>0</v>
      </c>
      <c r="FR32" s="1">
        <v>0</v>
      </c>
      <c r="FS32" s="1">
        <v>0</v>
      </c>
      <c r="FT32" s="8">
        <v>0</v>
      </c>
    </row>
    <row r="33" spans="2:176" x14ac:dyDescent="0.25">
      <c r="G33" s="11" t="s">
        <v>126</v>
      </c>
      <c r="H33" s="158">
        <v>0</v>
      </c>
      <c r="I33" s="158">
        <v>0</v>
      </c>
      <c r="J33" s="158">
        <v>0</v>
      </c>
      <c r="K33" s="158">
        <v>0</v>
      </c>
      <c r="L33" s="158">
        <v>0</v>
      </c>
      <c r="M33" s="158">
        <v>0</v>
      </c>
      <c r="N33" s="158">
        <v>0</v>
      </c>
      <c r="O33" s="158">
        <v>0</v>
      </c>
      <c r="P33" s="158">
        <v>0</v>
      </c>
      <c r="Q33" s="158">
        <v>0</v>
      </c>
      <c r="R33" s="158">
        <v>0</v>
      </c>
      <c r="S33" s="158">
        <v>0</v>
      </c>
      <c r="T33" s="158">
        <v>0</v>
      </c>
      <c r="U33" s="158">
        <v>0</v>
      </c>
      <c r="V33" s="158">
        <v>0</v>
      </c>
      <c r="W33" s="158">
        <v>0</v>
      </c>
      <c r="X33" s="158">
        <v>0</v>
      </c>
      <c r="Y33" s="158">
        <v>0</v>
      </c>
      <c r="Z33" s="158">
        <v>0</v>
      </c>
      <c r="AA33" s="158">
        <v>0</v>
      </c>
      <c r="AB33" s="158">
        <v>0</v>
      </c>
      <c r="AC33" s="158">
        <v>0</v>
      </c>
      <c r="AD33" s="158">
        <v>0</v>
      </c>
      <c r="AE33" s="158">
        <v>0</v>
      </c>
      <c r="AF33" s="158">
        <v>0</v>
      </c>
      <c r="AG33" s="158">
        <v>0</v>
      </c>
      <c r="AH33" s="158">
        <v>0</v>
      </c>
      <c r="AI33" s="158">
        <v>0</v>
      </c>
      <c r="AJ33" s="158">
        <v>0</v>
      </c>
      <c r="AK33" s="158">
        <v>0</v>
      </c>
      <c r="AL33" s="158">
        <v>0</v>
      </c>
      <c r="AM33" s="158">
        <v>0</v>
      </c>
      <c r="AN33" s="158">
        <v>0</v>
      </c>
      <c r="AO33" s="158">
        <v>0</v>
      </c>
      <c r="AP33" s="158">
        <v>0</v>
      </c>
      <c r="AQ33" s="158">
        <v>0</v>
      </c>
      <c r="AR33" s="158">
        <v>0</v>
      </c>
      <c r="AS33" s="158">
        <v>0</v>
      </c>
      <c r="AT33" s="158">
        <v>0</v>
      </c>
      <c r="AU33" s="158">
        <v>0</v>
      </c>
      <c r="AV33" s="158">
        <v>0</v>
      </c>
      <c r="AW33" s="158">
        <v>0</v>
      </c>
      <c r="AX33" s="158">
        <v>0</v>
      </c>
      <c r="AY33" s="158">
        <v>0</v>
      </c>
      <c r="AZ33" s="158">
        <v>0</v>
      </c>
      <c r="BA33" s="158">
        <v>0</v>
      </c>
      <c r="BB33" s="158">
        <v>0</v>
      </c>
      <c r="BC33" s="158">
        <v>0</v>
      </c>
      <c r="BD33" s="158">
        <v>0</v>
      </c>
      <c r="BE33" s="158">
        <v>0</v>
      </c>
      <c r="BF33" s="158">
        <v>0</v>
      </c>
      <c r="BG33" s="158">
        <v>0</v>
      </c>
      <c r="BH33" s="158">
        <v>0</v>
      </c>
      <c r="BI33" s="158">
        <v>0</v>
      </c>
      <c r="BJ33" s="158">
        <v>0</v>
      </c>
      <c r="BK33" s="158">
        <v>0</v>
      </c>
      <c r="BL33" s="158">
        <v>0</v>
      </c>
      <c r="BM33" s="158">
        <v>0</v>
      </c>
      <c r="BN33" s="158">
        <v>0</v>
      </c>
      <c r="BO33" s="158">
        <v>0</v>
      </c>
      <c r="BP33" s="158">
        <v>0</v>
      </c>
      <c r="BQ33" s="158">
        <v>0</v>
      </c>
      <c r="BR33" s="158">
        <v>0</v>
      </c>
      <c r="BS33" s="158">
        <v>0</v>
      </c>
      <c r="BT33" s="158">
        <v>0</v>
      </c>
      <c r="BU33" s="158">
        <v>0</v>
      </c>
      <c r="BV33" s="158">
        <v>0</v>
      </c>
      <c r="BW33" s="158">
        <v>0</v>
      </c>
      <c r="BX33" s="158">
        <v>0</v>
      </c>
      <c r="BY33" s="158">
        <v>0</v>
      </c>
      <c r="BZ33" s="158">
        <v>0</v>
      </c>
      <c r="CA33" s="158">
        <v>0</v>
      </c>
      <c r="CB33" s="158">
        <v>0</v>
      </c>
      <c r="CC33" s="158">
        <v>0</v>
      </c>
      <c r="CD33" s="158">
        <v>0</v>
      </c>
      <c r="CE33" s="158">
        <v>0</v>
      </c>
      <c r="CF33" s="158">
        <v>0</v>
      </c>
      <c r="CG33" s="158">
        <v>0</v>
      </c>
      <c r="CH33" s="158">
        <v>0</v>
      </c>
      <c r="CI33" s="158">
        <v>0</v>
      </c>
      <c r="CJ33" s="158">
        <v>0</v>
      </c>
      <c r="CK33" s="158">
        <v>0</v>
      </c>
      <c r="CL33" s="158">
        <v>0</v>
      </c>
      <c r="CM33" s="158">
        <v>0</v>
      </c>
      <c r="CN33" s="158">
        <v>0</v>
      </c>
      <c r="CO33" s="158">
        <v>0</v>
      </c>
      <c r="CP33" s="158">
        <v>0</v>
      </c>
      <c r="CQ33" s="158">
        <v>0</v>
      </c>
      <c r="CR33" s="158">
        <v>0</v>
      </c>
      <c r="CS33" s="158">
        <v>0</v>
      </c>
      <c r="CT33" s="158">
        <v>0</v>
      </c>
      <c r="CU33" s="158">
        <v>0</v>
      </c>
      <c r="CV33" s="158">
        <v>0</v>
      </c>
      <c r="CW33" s="158">
        <v>0</v>
      </c>
      <c r="CX33" s="158">
        <v>0</v>
      </c>
      <c r="CY33" s="158">
        <v>0</v>
      </c>
      <c r="CZ33" s="158">
        <v>0</v>
      </c>
      <c r="DA33" s="158">
        <v>0</v>
      </c>
      <c r="DB33" s="158">
        <v>0</v>
      </c>
      <c r="DC33" s="158">
        <v>0</v>
      </c>
      <c r="DD33" s="158">
        <v>0</v>
      </c>
      <c r="DE33" s="158">
        <v>0</v>
      </c>
      <c r="DF33" s="158">
        <v>0</v>
      </c>
      <c r="DG33" s="158">
        <v>0</v>
      </c>
      <c r="DH33" s="158">
        <v>0</v>
      </c>
      <c r="DI33" s="158">
        <v>0</v>
      </c>
      <c r="DJ33" s="158">
        <v>0</v>
      </c>
      <c r="DK33" s="158">
        <v>0</v>
      </c>
      <c r="DL33" s="158">
        <v>0</v>
      </c>
      <c r="DM33" s="158">
        <v>0</v>
      </c>
      <c r="DN33" s="158">
        <v>0</v>
      </c>
      <c r="DO33" s="158">
        <v>0</v>
      </c>
      <c r="DP33" s="158">
        <v>0</v>
      </c>
      <c r="DQ33" s="158">
        <v>0</v>
      </c>
      <c r="DR33" s="158">
        <v>0</v>
      </c>
      <c r="DS33" s="158">
        <v>0</v>
      </c>
      <c r="DT33" s="158">
        <v>0</v>
      </c>
      <c r="DU33" s="158">
        <v>0</v>
      </c>
      <c r="DV33" s="158">
        <v>0</v>
      </c>
      <c r="DW33" s="158">
        <v>0</v>
      </c>
      <c r="DX33" s="158">
        <v>0</v>
      </c>
      <c r="DY33" s="158">
        <v>0</v>
      </c>
      <c r="DZ33" s="158">
        <v>0</v>
      </c>
      <c r="EA33" s="158">
        <v>0</v>
      </c>
      <c r="EB33" s="158">
        <v>0</v>
      </c>
      <c r="EC33" s="158">
        <v>0</v>
      </c>
      <c r="ED33" s="158">
        <v>0</v>
      </c>
      <c r="EE33" s="158">
        <v>0</v>
      </c>
      <c r="EF33" s="158">
        <v>0</v>
      </c>
      <c r="EG33" s="158">
        <v>0</v>
      </c>
      <c r="EH33" s="158">
        <v>0</v>
      </c>
      <c r="EI33" s="158">
        <v>0</v>
      </c>
      <c r="EJ33" s="158">
        <v>0</v>
      </c>
      <c r="EK33" s="158">
        <v>0</v>
      </c>
      <c r="EL33" s="158">
        <v>0</v>
      </c>
      <c r="EM33" s="158">
        <v>0</v>
      </c>
      <c r="EN33" s="158">
        <v>0</v>
      </c>
      <c r="EO33" s="158">
        <v>0</v>
      </c>
      <c r="EP33" s="158">
        <v>0</v>
      </c>
      <c r="EQ33" s="158">
        <v>0</v>
      </c>
      <c r="ER33" s="158">
        <v>0</v>
      </c>
      <c r="ES33" s="158">
        <v>0</v>
      </c>
      <c r="ET33" s="158">
        <v>0</v>
      </c>
      <c r="EU33" s="158">
        <v>0</v>
      </c>
      <c r="EV33" s="158">
        <v>0</v>
      </c>
      <c r="EW33" s="158">
        <v>0</v>
      </c>
      <c r="EX33" s="158">
        <v>0</v>
      </c>
      <c r="EY33" s="158">
        <v>0</v>
      </c>
      <c r="EZ33" s="158">
        <v>0</v>
      </c>
      <c r="FA33" s="158">
        <v>0</v>
      </c>
      <c r="FB33" s="158">
        <v>0</v>
      </c>
      <c r="FC33" s="158">
        <v>0</v>
      </c>
      <c r="FD33" s="158">
        <v>0</v>
      </c>
      <c r="FE33" s="158">
        <v>0</v>
      </c>
      <c r="FF33" s="158">
        <v>0</v>
      </c>
      <c r="FG33" s="158">
        <v>0</v>
      </c>
      <c r="FH33" s="158">
        <v>0</v>
      </c>
      <c r="FI33" s="158">
        <v>0</v>
      </c>
      <c r="FJ33" s="158">
        <v>0</v>
      </c>
      <c r="FK33" s="158">
        <v>0</v>
      </c>
      <c r="FL33" s="158">
        <v>0</v>
      </c>
      <c r="FM33" s="158">
        <v>0</v>
      </c>
      <c r="FN33" s="158">
        <v>0</v>
      </c>
      <c r="FO33" s="158">
        <v>0</v>
      </c>
      <c r="FP33" s="158">
        <v>0</v>
      </c>
      <c r="FQ33" s="158">
        <v>0</v>
      </c>
      <c r="FR33" s="158">
        <v>0</v>
      </c>
      <c r="FS33" s="158">
        <v>0</v>
      </c>
      <c r="FT33" s="206">
        <v>0</v>
      </c>
    </row>
    <row r="34" spans="2:176" ht="15.75" thickBot="1" x14ac:dyDescent="0.3">
      <c r="G34" s="208" t="s">
        <v>135</v>
      </c>
      <c r="H34" s="1">
        <v>0</v>
      </c>
      <c r="I34" s="1">
        <v>0</v>
      </c>
      <c r="J34" s="1">
        <v>0</v>
      </c>
      <c r="K34" s="1">
        <v>0</v>
      </c>
      <c r="L34" s="1">
        <v>0</v>
      </c>
      <c r="M34" s="1">
        <v>0</v>
      </c>
      <c r="N34" s="1">
        <v>0</v>
      </c>
      <c r="O34" s="1">
        <v>0</v>
      </c>
      <c r="P34" s="1">
        <v>0</v>
      </c>
      <c r="Q34" s="1">
        <v>0</v>
      </c>
      <c r="R34" s="1">
        <v>0</v>
      </c>
      <c r="S34" s="1">
        <v>0</v>
      </c>
      <c r="T34" s="1">
        <v>0</v>
      </c>
      <c r="U34" s="1">
        <v>0</v>
      </c>
      <c r="V34" s="1">
        <v>0</v>
      </c>
      <c r="W34" s="1">
        <v>0</v>
      </c>
      <c r="X34" s="1">
        <v>0</v>
      </c>
      <c r="Y34" s="1">
        <v>0</v>
      </c>
      <c r="Z34" s="1">
        <v>0</v>
      </c>
      <c r="AA34" s="1">
        <v>0</v>
      </c>
      <c r="AB34" s="1">
        <v>0</v>
      </c>
      <c r="AC34" s="1">
        <v>0</v>
      </c>
      <c r="AD34" s="1">
        <v>0</v>
      </c>
      <c r="AE34" s="1">
        <v>0</v>
      </c>
      <c r="AF34" s="1">
        <v>0</v>
      </c>
      <c r="AG34" s="1">
        <v>0</v>
      </c>
      <c r="AH34" s="1">
        <v>0</v>
      </c>
      <c r="AI34" s="1">
        <v>0</v>
      </c>
      <c r="AJ34" s="1">
        <v>0</v>
      </c>
      <c r="AK34" s="1">
        <v>0</v>
      </c>
      <c r="AL34" s="1">
        <v>0</v>
      </c>
      <c r="AM34" s="1">
        <v>0</v>
      </c>
      <c r="AN34" s="1">
        <v>0</v>
      </c>
      <c r="AO34" s="1">
        <v>0</v>
      </c>
      <c r="AP34" s="1">
        <v>0</v>
      </c>
      <c r="AQ34" s="1">
        <v>0</v>
      </c>
      <c r="AR34" s="1">
        <v>0</v>
      </c>
      <c r="AS34" s="1">
        <v>0</v>
      </c>
      <c r="AT34" s="1">
        <v>0</v>
      </c>
      <c r="AU34" s="1">
        <v>0</v>
      </c>
      <c r="AV34" s="1">
        <v>0</v>
      </c>
      <c r="AW34" s="1">
        <v>0</v>
      </c>
      <c r="AX34" s="1">
        <v>0</v>
      </c>
      <c r="AY34" s="1">
        <v>0</v>
      </c>
      <c r="AZ34" s="1">
        <v>0</v>
      </c>
      <c r="BA34" s="1">
        <v>0</v>
      </c>
      <c r="BB34" s="1">
        <v>0</v>
      </c>
      <c r="BC34" s="1">
        <v>0</v>
      </c>
      <c r="BD34" s="1">
        <v>0</v>
      </c>
      <c r="BE34" s="1">
        <v>0</v>
      </c>
      <c r="BF34" s="1">
        <v>0</v>
      </c>
      <c r="BG34" s="1">
        <v>0</v>
      </c>
      <c r="BH34" s="1">
        <v>0</v>
      </c>
      <c r="BI34" s="1">
        <v>0</v>
      </c>
      <c r="BJ34" s="1">
        <v>0</v>
      </c>
      <c r="BK34" s="1">
        <v>0</v>
      </c>
      <c r="BL34" s="1">
        <v>0</v>
      </c>
      <c r="BM34" s="1">
        <v>0</v>
      </c>
      <c r="BN34" s="1">
        <v>0</v>
      </c>
      <c r="BO34" s="1">
        <v>0</v>
      </c>
      <c r="BP34" s="1">
        <v>0</v>
      </c>
      <c r="BQ34" s="1">
        <v>0</v>
      </c>
      <c r="BR34" s="1">
        <v>0</v>
      </c>
      <c r="BS34" s="1">
        <v>0</v>
      </c>
      <c r="BT34" s="1">
        <v>0</v>
      </c>
      <c r="BU34" s="1">
        <v>0</v>
      </c>
      <c r="BV34" s="1">
        <v>0</v>
      </c>
      <c r="BW34" s="1">
        <v>0</v>
      </c>
      <c r="BX34" s="1">
        <v>0</v>
      </c>
      <c r="BY34" s="1">
        <v>0</v>
      </c>
      <c r="BZ34" s="1">
        <v>0</v>
      </c>
      <c r="CA34" s="1">
        <v>0</v>
      </c>
      <c r="CB34" s="1">
        <v>0</v>
      </c>
      <c r="CC34" s="1">
        <v>0</v>
      </c>
      <c r="CD34" s="1">
        <v>0</v>
      </c>
      <c r="CE34" s="1">
        <v>0</v>
      </c>
      <c r="CF34" s="1">
        <v>0</v>
      </c>
      <c r="CG34" s="1">
        <v>0</v>
      </c>
      <c r="CH34" s="1">
        <v>0</v>
      </c>
      <c r="CI34" s="1">
        <v>0</v>
      </c>
      <c r="CJ34" s="1">
        <v>0</v>
      </c>
      <c r="CK34" s="1">
        <v>0</v>
      </c>
      <c r="CL34" s="1">
        <v>0</v>
      </c>
      <c r="CM34" s="1">
        <v>0</v>
      </c>
      <c r="CN34" s="1">
        <v>0</v>
      </c>
      <c r="CO34" s="1">
        <v>0</v>
      </c>
      <c r="CP34" s="1">
        <v>0</v>
      </c>
      <c r="CQ34" s="1">
        <v>0</v>
      </c>
      <c r="CR34" s="1">
        <v>0</v>
      </c>
      <c r="CS34" s="1">
        <v>0</v>
      </c>
      <c r="CT34" s="1">
        <v>0</v>
      </c>
      <c r="CU34" s="1">
        <v>0</v>
      </c>
      <c r="CV34" s="1">
        <v>0</v>
      </c>
      <c r="CW34" s="1">
        <v>0</v>
      </c>
      <c r="CX34" s="1">
        <v>0</v>
      </c>
      <c r="CY34" s="1">
        <v>0</v>
      </c>
      <c r="CZ34" s="1">
        <v>0</v>
      </c>
      <c r="DA34" s="1">
        <v>0</v>
      </c>
      <c r="DB34" s="1">
        <v>0</v>
      </c>
      <c r="DC34" s="1">
        <v>0</v>
      </c>
      <c r="DD34" s="1">
        <v>0</v>
      </c>
      <c r="DE34" s="1">
        <v>0</v>
      </c>
      <c r="DF34" s="1">
        <v>0</v>
      </c>
      <c r="DG34" s="1">
        <v>0</v>
      </c>
      <c r="DH34" s="1">
        <v>0</v>
      </c>
      <c r="DI34" s="1">
        <v>0</v>
      </c>
      <c r="DJ34" s="1">
        <v>0</v>
      </c>
      <c r="DK34" s="1">
        <v>0</v>
      </c>
      <c r="DL34" s="1">
        <v>0</v>
      </c>
      <c r="DM34" s="1">
        <v>0</v>
      </c>
      <c r="DN34" s="1">
        <v>0</v>
      </c>
      <c r="DO34" s="1">
        <v>0</v>
      </c>
      <c r="DP34" s="1">
        <v>0</v>
      </c>
      <c r="DQ34" s="1">
        <v>0</v>
      </c>
      <c r="DR34" s="1">
        <v>0</v>
      </c>
      <c r="DS34" s="1">
        <v>0</v>
      </c>
      <c r="DT34" s="1">
        <v>0</v>
      </c>
      <c r="DU34" s="1">
        <v>0</v>
      </c>
      <c r="DV34" s="1">
        <v>0</v>
      </c>
      <c r="DW34" s="1">
        <v>0</v>
      </c>
      <c r="DX34" s="1">
        <v>0</v>
      </c>
      <c r="DY34" s="1">
        <v>0</v>
      </c>
      <c r="DZ34" s="1">
        <v>0</v>
      </c>
      <c r="EA34" s="1">
        <v>0</v>
      </c>
      <c r="EB34" s="1">
        <v>0</v>
      </c>
      <c r="EC34" s="1">
        <v>0</v>
      </c>
      <c r="ED34" s="1">
        <v>0</v>
      </c>
      <c r="EE34" s="1">
        <v>0</v>
      </c>
      <c r="EF34" s="1">
        <v>0</v>
      </c>
      <c r="EG34" s="1">
        <v>0</v>
      </c>
      <c r="EH34" s="1">
        <v>0</v>
      </c>
      <c r="EI34" s="1">
        <v>0</v>
      </c>
      <c r="EJ34" s="1">
        <v>0</v>
      </c>
      <c r="EK34" s="1">
        <v>0</v>
      </c>
      <c r="EL34" s="1">
        <v>0</v>
      </c>
      <c r="EM34" s="1">
        <v>0</v>
      </c>
      <c r="EN34" s="1">
        <v>0</v>
      </c>
      <c r="EO34" s="1">
        <v>0</v>
      </c>
      <c r="EP34" s="1">
        <v>0</v>
      </c>
      <c r="EQ34" s="1">
        <v>0</v>
      </c>
      <c r="ER34" s="1">
        <v>0</v>
      </c>
      <c r="ES34" s="1">
        <v>0</v>
      </c>
      <c r="ET34" s="1">
        <v>0</v>
      </c>
      <c r="EU34" s="1">
        <v>0</v>
      </c>
      <c r="EV34" s="1">
        <v>0</v>
      </c>
      <c r="EW34" s="1">
        <v>0</v>
      </c>
      <c r="EX34" s="1">
        <v>0</v>
      </c>
      <c r="EY34" s="1">
        <v>0</v>
      </c>
      <c r="EZ34" s="1">
        <v>0</v>
      </c>
      <c r="FA34" s="1">
        <v>0</v>
      </c>
      <c r="FB34" s="1">
        <v>0</v>
      </c>
      <c r="FC34" s="1">
        <v>0</v>
      </c>
      <c r="FD34" s="1">
        <v>0</v>
      </c>
      <c r="FE34" s="1">
        <v>0</v>
      </c>
      <c r="FF34" s="1">
        <v>0</v>
      </c>
      <c r="FG34" s="1">
        <v>0</v>
      </c>
      <c r="FH34" s="1">
        <v>0</v>
      </c>
      <c r="FI34" s="1">
        <v>0</v>
      </c>
      <c r="FJ34" s="1">
        <v>0</v>
      </c>
      <c r="FK34" s="1">
        <v>0</v>
      </c>
      <c r="FL34" s="1">
        <v>0</v>
      </c>
      <c r="FM34" s="1">
        <v>0</v>
      </c>
      <c r="FN34" s="1">
        <v>0</v>
      </c>
      <c r="FO34" s="1">
        <v>0</v>
      </c>
      <c r="FP34" s="1">
        <v>0</v>
      </c>
      <c r="FQ34" s="1">
        <v>0</v>
      </c>
      <c r="FR34" s="1">
        <v>0</v>
      </c>
      <c r="FS34" s="1">
        <v>0</v>
      </c>
      <c r="FT34" s="8">
        <v>0</v>
      </c>
    </row>
    <row r="35" spans="2:176" ht="15.75" thickBot="1" x14ac:dyDescent="0.3">
      <c r="G35" s="208" t="s">
        <v>74</v>
      </c>
      <c r="H35" s="224">
        <v>100</v>
      </c>
      <c r="I35" s="224">
        <v>100</v>
      </c>
      <c r="J35" s="224">
        <v>100</v>
      </c>
      <c r="K35" s="224">
        <v>100</v>
      </c>
      <c r="L35" s="224">
        <v>100</v>
      </c>
      <c r="M35" s="224">
        <v>100</v>
      </c>
      <c r="N35" s="224">
        <v>100</v>
      </c>
      <c r="O35" s="224">
        <v>100</v>
      </c>
      <c r="P35" s="224">
        <v>100</v>
      </c>
      <c r="Q35" s="224">
        <v>100</v>
      </c>
      <c r="R35" s="224">
        <v>100</v>
      </c>
      <c r="S35" s="224">
        <v>100</v>
      </c>
      <c r="T35" s="224">
        <v>100</v>
      </c>
      <c r="U35" s="224">
        <v>100</v>
      </c>
      <c r="V35" s="224">
        <v>100</v>
      </c>
      <c r="W35" s="224">
        <v>100</v>
      </c>
      <c r="X35" s="224">
        <v>100</v>
      </c>
      <c r="Y35" s="224">
        <v>100</v>
      </c>
      <c r="Z35" s="224">
        <v>100</v>
      </c>
      <c r="AA35" s="224">
        <v>100</v>
      </c>
      <c r="AB35" s="224">
        <v>100</v>
      </c>
      <c r="AC35" s="224">
        <v>100</v>
      </c>
      <c r="AD35" s="224">
        <v>100</v>
      </c>
      <c r="AE35" s="224">
        <v>100</v>
      </c>
      <c r="AF35" s="224">
        <v>100</v>
      </c>
      <c r="AG35" s="224">
        <v>100</v>
      </c>
      <c r="AH35" s="224">
        <v>100</v>
      </c>
      <c r="AI35" s="224">
        <v>100</v>
      </c>
      <c r="AJ35" s="224">
        <v>100</v>
      </c>
      <c r="AK35" s="224">
        <v>100</v>
      </c>
      <c r="AL35" s="224">
        <v>100</v>
      </c>
      <c r="AM35" s="224">
        <v>100</v>
      </c>
      <c r="AN35" s="224">
        <v>100</v>
      </c>
      <c r="AO35" s="224">
        <v>100</v>
      </c>
      <c r="AP35" s="224">
        <v>100</v>
      </c>
      <c r="AQ35" s="224">
        <v>100</v>
      </c>
      <c r="AR35" s="224">
        <v>100</v>
      </c>
      <c r="AS35" s="224">
        <v>100</v>
      </c>
      <c r="AT35" s="224">
        <v>100</v>
      </c>
      <c r="AU35" s="224">
        <v>100</v>
      </c>
      <c r="AV35" s="224">
        <v>100</v>
      </c>
      <c r="AW35" s="224">
        <v>100</v>
      </c>
      <c r="AX35" s="224">
        <v>100</v>
      </c>
      <c r="AY35" s="224">
        <v>100</v>
      </c>
      <c r="AZ35" s="224">
        <v>100</v>
      </c>
      <c r="BA35" s="224">
        <v>100</v>
      </c>
      <c r="BB35" s="224">
        <v>100</v>
      </c>
      <c r="BC35" s="224">
        <v>100</v>
      </c>
      <c r="BD35" s="224">
        <v>100</v>
      </c>
      <c r="BE35" s="224">
        <v>100</v>
      </c>
      <c r="BF35" s="224">
        <v>100</v>
      </c>
      <c r="BG35" s="224">
        <v>100</v>
      </c>
      <c r="BH35" s="224">
        <v>100</v>
      </c>
      <c r="BI35" s="224">
        <v>100</v>
      </c>
      <c r="BJ35" s="224">
        <v>100</v>
      </c>
      <c r="BK35" s="224">
        <v>100</v>
      </c>
      <c r="BL35" s="224">
        <v>100</v>
      </c>
      <c r="BM35" s="224">
        <v>100</v>
      </c>
      <c r="BN35" s="224">
        <v>100</v>
      </c>
      <c r="BO35" s="224">
        <v>100</v>
      </c>
      <c r="BP35" s="224">
        <v>100</v>
      </c>
      <c r="BQ35" s="224">
        <v>100</v>
      </c>
      <c r="BR35" s="224">
        <v>100</v>
      </c>
      <c r="BS35" s="224">
        <v>100</v>
      </c>
      <c r="BT35" s="224">
        <v>100</v>
      </c>
      <c r="BU35" s="224">
        <v>100</v>
      </c>
      <c r="BV35" s="224">
        <v>100</v>
      </c>
      <c r="BW35" s="224">
        <v>100</v>
      </c>
      <c r="BX35" s="224">
        <v>100</v>
      </c>
      <c r="BY35" s="224">
        <v>100</v>
      </c>
      <c r="BZ35" s="224">
        <v>100</v>
      </c>
      <c r="CA35" s="224">
        <v>100</v>
      </c>
      <c r="CB35" s="224">
        <v>100</v>
      </c>
      <c r="CC35" s="224">
        <v>100</v>
      </c>
      <c r="CD35" s="224">
        <v>100</v>
      </c>
      <c r="CE35" s="224">
        <v>100</v>
      </c>
      <c r="CF35" s="224">
        <v>100</v>
      </c>
      <c r="CG35" s="224">
        <v>100</v>
      </c>
      <c r="CH35" s="224">
        <v>100</v>
      </c>
      <c r="CI35" s="224">
        <v>100</v>
      </c>
      <c r="CJ35" s="224">
        <v>100</v>
      </c>
      <c r="CK35" s="224">
        <v>100</v>
      </c>
      <c r="CL35" s="224">
        <v>100</v>
      </c>
      <c r="CM35" s="224">
        <v>100</v>
      </c>
      <c r="CN35" s="224">
        <v>100</v>
      </c>
      <c r="CO35" s="224">
        <v>100</v>
      </c>
      <c r="CP35" s="224">
        <v>100</v>
      </c>
      <c r="CQ35" s="224">
        <v>100</v>
      </c>
      <c r="CR35" s="224">
        <v>100</v>
      </c>
      <c r="CS35" s="224">
        <v>100</v>
      </c>
      <c r="CT35" s="224">
        <v>100</v>
      </c>
      <c r="CU35" s="224">
        <v>100</v>
      </c>
      <c r="CV35" s="224">
        <v>100</v>
      </c>
      <c r="CW35" s="224">
        <v>100</v>
      </c>
      <c r="CX35" s="224">
        <v>100</v>
      </c>
      <c r="CY35" s="224">
        <v>100</v>
      </c>
      <c r="CZ35" s="224">
        <v>100</v>
      </c>
      <c r="DA35" s="224">
        <v>100</v>
      </c>
      <c r="DB35" s="224">
        <v>100</v>
      </c>
      <c r="DC35" s="224">
        <v>100</v>
      </c>
      <c r="DD35" s="224">
        <v>100</v>
      </c>
      <c r="DE35" s="224">
        <v>100</v>
      </c>
      <c r="DF35" s="224">
        <v>100</v>
      </c>
      <c r="DG35" s="224">
        <v>100</v>
      </c>
      <c r="DH35" s="328" t="s">
        <v>9</v>
      </c>
      <c r="DI35" s="328" t="s">
        <v>9</v>
      </c>
      <c r="DJ35" s="328" t="s">
        <v>9</v>
      </c>
      <c r="DK35" s="328" t="s">
        <v>9</v>
      </c>
      <c r="DL35" s="328" t="s">
        <v>9</v>
      </c>
      <c r="DM35" s="328" t="s">
        <v>9</v>
      </c>
      <c r="DN35" s="328" t="s">
        <v>9</v>
      </c>
      <c r="DO35" s="328" t="s">
        <v>9</v>
      </c>
      <c r="DP35" s="328" t="s">
        <v>9</v>
      </c>
      <c r="DQ35" s="328" t="s">
        <v>9</v>
      </c>
      <c r="DR35" s="328" t="s">
        <v>9</v>
      </c>
      <c r="DS35" s="328" t="s">
        <v>9</v>
      </c>
      <c r="DT35" s="328" t="s">
        <v>9</v>
      </c>
      <c r="DU35" s="328" t="s">
        <v>9</v>
      </c>
      <c r="DV35" s="328" t="s">
        <v>9</v>
      </c>
      <c r="DW35" s="328" t="s">
        <v>9</v>
      </c>
      <c r="DX35" s="328" t="s">
        <v>9</v>
      </c>
      <c r="DY35" s="328" t="s">
        <v>9</v>
      </c>
      <c r="DZ35" s="328" t="s">
        <v>9</v>
      </c>
      <c r="EA35" s="328" t="s">
        <v>9</v>
      </c>
      <c r="EB35" s="328" t="s">
        <v>9</v>
      </c>
      <c r="EC35" s="328" t="s">
        <v>9</v>
      </c>
      <c r="ED35" s="328" t="s">
        <v>9</v>
      </c>
      <c r="EE35" s="328" t="s">
        <v>9</v>
      </c>
      <c r="EF35" s="328" t="s">
        <v>9</v>
      </c>
      <c r="EG35" s="328" t="s">
        <v>9</v>
      </c>
      <c r="EH35" s="328" t="s">
        <v>9</v>
      </c>
      <c r="EI35" s="328" t="s">
        <v>9</v>
      </c>
      <c r="EJ35" s="328" t="s">
        <v>9</v>
      </c>
      <c r="EK35" s="328" t="s">
        <v>9</v>
      </c>
      <c r="EL35" s="328" t="s">
        <v>9</v>
      </c>
      <c r="EM35" s="328" t="s">
        <v>9</v>
      </c>
      <c r="EN35" s="328" t="s">
        <v>9</v>
      </c>
      <c r="EO35" s="328" t="s">
        <v>9</v>
      </c>
      <c r="EP35" s="328" t="s">
        <v>9</v>
      </c>
      <c r="EQ35" s="328" t="s">
        <v>9</v>
      </c>
      <c r="ER35" s="328" t="s">
        <v>9</v>
      </c>
      <c r="ES35" s="328" t="s">
        <v>9</v>
      </c>
      <c r="ET35" s="328" t="s">
        <v>9</v>
      </c>
      <c r="EU35" s="328" t="s">
        <v>9</v>
      </c>
      <c r="EV35" s="328" t="s">
        <v>9</v>
      </c>
      <c r="EW35" s="328" t="s">
        <v>9</v>
      </c>
      <c r="EX35" s="328" t="s">
        <v>9</v>
      </c>
      <c r="EY35" s="328" t="s">
        <v>9</v>
      </c>
      <c r="EZ35" s="328" t="s">
        <v>9</v>
      </c>
      <c r="FA35" s="328" t="s">
        <v>9</v>
      </c>
      <c r="FB35" s="328" t="s">
        <v>9</v>
      </c>
      <c r="FC35" s="328" t="s">
        <v>9</v>
      </c>
      <c r="FD35" s="328" t="s">
        <v>9</v>
      </c>
      <c r="FE35" s="328" t="s">
        <v>9</v>
      </c>
      <c r="FF35" s="328" t="s">
        <v>9</v>
      </c>
      <c r="FG35" s="328" t="s">
        <v>9</v>
      </c>
      <c r="FH35" s="328" t="s">
        <v>9</v>
      </c>
      <c r="FI35" s="328" t="s">
        <v>9</v>
      </c>
      <c r="FJ35" s="328" t="s">
        <v>9</v>
      </c>
      <c r="FK35" s="328" t="s">
        <v>9</v>
      </c>
      <c r="FL35" s="328" t="s">
        <v>9</v>
      </c>
      <c r="FM35" s="328" t="s">
        <v>9</v>
      </c>
      <c r="FN35" s="328" t="s">
        <v>9</v>
      </c>
      <c r="FO35" s="328" t="s">
        <v>9</v>
      </c>
      <c r="FP35" s="328" t="s">
        <v>9</v>
      </c>
      <c r="FQ35" s="328" t="s">
        <v>9</v>
      </c>
      <c r="FR35" s="328" t="s">
        <v>9</v>
      </c>
      <c r="FS35" s="328" t="s">
        <v>9</v>
      </c>
      <c r="FT35" s="329" t="s">
        <v>9</v>
      </c>
    </row>
    <row r="39" spans="2:176" x14ac:dyDescent="0.25">
      <c r="H39" s="17"/>
      <c r="I39" s="498"/>
      <c r="J39" s="498"/>
      <c r="K39" s="498"/>
      <c r="L39" s="498"/>
      <c r="M39" s="498"/>
      <c r="N39" s="498"/>
      <c r="O39" s="500"/>
      <c r="P39" s="500"/>
      <c r="Q39" s="500"/>
      <c r="R39" s="500"/>
      <c r="S39" s="500"/>
      <c r="T39" s="500"/>
      <c r="U39" s="500"/>
      <c r="V39" s="500"/>
      <c r="W39" s="500"/>
      <c r="X39" s="500"/>
      <c r="Y39" s="500"/>
      <c r="Z39" s="500"/>
      <c r="AA39" s="500"/>
      <c r="AB39" s="500"/>
      <c r="AC39" s="500"/>
      <c r="AD39" s="500"/>
      <c r="AE39" s="500"/>
      <c r="AF39" s="500"/>
      <c r="AG39" s="500"/>
      <c r="AH39" s="500"/>
      <c r="AI39" s="500"/>
      <c r="AJ39" s="500"/>
      <c r="AK39" s="500"/>
      <c r="AL39" s="500"/>
      <c r="AM39" s="500"/>
      <c r="AN39" s="500"/>
      <c r="AO39" s="500"/>
      <c r="AP39" s="500"/>
      <c r="AQ39" s="500"/>
      <c r="AR39" s="500"/>
      <c r="AS39" s="500"/>
      <c r="AT39" s="500"/>
      <c r="AU39" s="500"/>
      <c r="AV39" s="500"/>
      <c r="AW39" s="500"/>
      <c r="AX39" s="500"/>
      <c r="AY39" s="500"/>
      <c r="AZ39" s="500"/>
      <c r="BA39" s="500"/>
      <c r="BB39" s="500"/>
      <c r="BC39" s="500"/>
      <c r="BD39" s="500"/>
    </row>
    <row r="40" spans="2:176" ht="15.75" x14ac:dyDescent="0.25">
      <c r="G40" s="496"/>
      <c r="H40" s="330" t="s">
        <v>91</v>
      </c>
      <c r="I40" s="499"/>
      <c r="J40" s="499"/>
      <c r="K40" s="499"/>
      <c r="L40" s="499"/>
      <c r="M40" s="499"/>
      <c r="N40" s="499"/>
      <c r="O40" s="499"/>
      <c r="P40" s="499"/>
      <c r="Q40" s="499"/>
      <c r="R40" s="499"/>
      <c r="S40" s="499"/>
      <c r="T40" s="499"/>
      <c r="U40" s="499"/>
      <c r="V40" s="499"/>
      <c r="W40" s="499"/>
      <c r="X40" s="499"/>
      <c r="Y40" s="499"/>
      <c r="Z40" s="499"/>
      <c r="AA40" s="499"/>
      <c r="AB40" s="499"/>
      <c r="AC40" s="499"/>
      <c r="AD40" s="499"/>
      <c r="AE40" s="499"/>
      <c r="AF40" s="499"/>
      <c r="AG40" s="499"/>
      <c r="AH40" s="499"/>
      <c r="AI40" s="499"/>
      <c r="AJ40" s="499"/>
      <c r="AK40" s="499"/>
      <c r="AL40" s="499"/>
      <c r="AM40" s="499"/>
      <c r="AN40" s="499"/>
      <c r="AO40" s="499"/>
      <c r="AP40" s="499"/>
      <c r="AQ40" s="499"/>
      <c r="AR40" s="499"/>
      <c r="AS40" s="499"/>
      <c r="AT40" s="499"/>
      <c r="AU40" s="499"/>
      <c r="AV40" s="499"/>
      <c r="AW40" s="499"/>
      <c r="AX40" s="499"/>
      <c r="AY40" s="499"/>
      <c r="AZ40" s="499"/>
      <c r="BA40" s="499"/>
      <c r="BB40" s="499"/>
      <c r="BC40" s="499"/>
      <c r="BD40" s="499"/>
      <c r="BE40" s="496"/>
      <c r="BF40" s="496"/>
      <c r="BG40" s="496"/>
      <c r="BH40" s="496"/>
      <c r="BI40" s="496"/>
      <c r="BJ40" s="496"/>
      <c r="BK40" s="496"/>
      <c r="BL40" s="496"/>
      <c r="BM40" s="496"/>
      <c r="BN40" s="496"/>
      <c r="BO40" s="496"/>
      <c r="BP40" s="496"/>
      <c r="BQ40" s="496"/>
      <c r="BR40" s="496"/>
      <c r="BS40" s="496"/>
      <c r="BT40" s="496"/>
      <c r="BU40" s="496"/>
      <c r="BV40" s="496"/>
      <c r="BW40" s="496"/>
      <c r="BX40" s="496"/>
      <c r="BY40" s="496"/>
      <c r="BZ40" s="496"/>
      <c r="CA40" s="496"/>
      <c r="CB40" s="496"/>
      <c r="CC40" s="496"/>
    </row>
    <row r="41" spans="2:176" ht="15.75" x14ac:dyDescent="0.25">
      <c r="B41" t="s">
        <v>77</v>
      </c>
      <c r="H41" s="17"/>
      <c r="BE41" s="496"/>
      <c r="BF41" s="496"/>
      <c r="BG41" s="496"/>
      <c r="BH41" s="496"/>
      <c r="BI41" s="496"/>
      <c r="BJ41" s="496"/>
      <c r="BK41" s="496"/>
      <c r="BL41" s="496"/>
      <c r="BM41" s="496"/>
      <c r="BN41" s="496"/>
      <c r="BO41" s="496"/>
      <c r="BP41" s="496"/>
      <c r="BQ41" s="496"/>
      <c r="BR41" s="496"/>
      <c r="BS41" s="496"/>
      <c r="BT41" s="496"/>
      <c r="BU41" s="496"/>
      <c r="BV41" s="496"/>
      <c r="BW41" s="496"/>
      <c r="BX41" s="496"/>
      <c r="BY41" s="496"/>
      <c r="BZ41" s="496"/>
      <c r="CA41" s="496"/>
      <c r="CB41" s="496"/>
      <c r="CC41" s="496"/>
    </row>
    <row r="42" spans="2:176" ht="15.75" x14ac:dyDescent="0.25">
      <c r="H42" s="17" t="s">
        <v>155</v>
      </c>
      <c r="BE42" s="497"/>
      <c r="BF42" s="497"/>
      <c r="BG42" s="497"/>
      <c r="BH42" s="497"/>
      <c r="BI42" s="497"/>
      <c r="BJ42" s="497"/>
      <c r="BK42" s="497"/>
      <c r="BL42" s="497"/>
      <c r="BM42" s="497"/>
      <c r="BN42" s="497"/>
      <c r="BO42" s="497"/>
      <c r="BP42" s="497"/>
      <c r="BQ42" s="497"/>
      <c r="BR42" s="497"/>
      <c r="BS42" s="497"/>
      <c r="BT42" s="497"/>
      <c r="BU42" s="497"/>
      <c r="BV42" s="497"/>
      <c r="BW42" s="497"/>
      <c r="BX42" s="497"/>
      <c r="BY42" s="497"/>
      <c r="BZ42" s="497"/>
      <c r="CA42" s="497"/>
      <c r="CB42" s="497"/>
      <c r="CC42" s="497"/>
    </row>
    <row r="43" spans="2:176" x14ac:dyDescent="0.25">
      <c r="G43" s="39"/>
      <c r="X43" t="s">
        <v>92</v>
      </c>
      <c r="BE43" s="499"/>
      <c r="BF43" s="499"/>
      <c r="BG43" s="499"/>
      <c r="BH43" s="499"/>
      <c r="BI43" s="499"/>
      <c r="BJ43" s="499"/>
      <c r="BK43" s="499"/>
      <c r="BL43" s="499"/>
      <c r="BM43" s="499"/>
      <c r="BN43" s="499"/>
      <c r="BO43" s="499"/>
      <c r="BP43" s="499"/>
      <c r="BQ43" s="499"/>
      <c r="BR43" s="499"/>
      <c r="BS43" s="499"/>
      <c r="BT43" s="499"/>
      <c r="BU43" s="498"/>
      <c r="BV43" s="498"/>
      <c r="BW43" s="498"/>
      <c r="BX43" s="498"/>
      <c r="BY43" s="498"/>
      <c r="BZ43" s="498"/>
      <c r="CA43" s="498"/>
      <c r="CB43" s="498"/>
      <c r="CC43" s="498"/>
    </row>
    <row r="44" spans="2:176" x14ac:dyDescent="0.25">
      <c r="G44" s="39"/>
      <c r="X44" t="s">
        <v>93</v>
      </c>
      <c r="BE44" s="498"/>
      <c r="BF44" s="498"/>
      <c r="BG44" s="498"/>
      <c r="BH44" s="498"/>
      <c r="BI44" s="498"/>
      <c r="BJ44" s="498"/>
      <c r="BK44" s="498"/>
      <c r="BL44" s="498"/>
      <c r="BM44" s="498"/>
      <c r="BN44" s="498"/>
      <c r="BO44" s="498"/>
      <c r="BP44" s="498"/>
      <c r="BQ44" s="498"/>
      <c r="BR44" s="498"/>
      <c r="BS44" s="498"/>
      <c r="BT44" s="498"/>
      <c r="BU44" s="498"/>
      <c r="BV44" s="498"/>
      <c r="BW44" s="498"/>
      <c r="BX44" s="498"/>
      <c r="BY44" s="498"/>
      <c r="BZ44" s="498"/>
      <c r="CA44" s="498"/>
      <c r="CB44" s="498"/>
      <c r="CC44" s="498"/>
    </row>
    <row r="45" spans="2:176" x14ac:dyDescent="0.25">
      <c r="G45" s="39"/>
      <c r="X45" t="s">
        <v>94</v>
      </c>
      <c r="BE45" s="498"/>
      <c r="BF45" s="498"/>
      <c r="BG45" s="498"/>
      <c r="BH45" s="498"/>
      <c r="BI45" s="498"/>
      <c r="BJ45" s="498"/>
      <c r="BK45" s="498"/>
      <c r="BL45" s="498"/>
      <c r="BM45" s="498"/>
      <c r="BN45" s="498"/>
      <c r="BO45" s="498"/>
      <c r="BP45" s="498"/>
      <c r="BQ45" s="498"/>
      <c r="BR45" s="498"/>
      <c r="BS45" s="498"/>
      <c r="BT45" s="498"/>
      <c r="BU45" s="498"/>
      <c r="BV45" s="498"/>
      <c r="BW45" s="498"/>
      <c r="BX45" s="498"/>
      <c r="BY45" s="498"/>
      <c r="BZ45" s="498"/>
      <c r="CA45" s="498"/>
      <c r="CB45" s="498"/>
      <c r="CC45" s="498"/>
    </row>
    <row r="46" spans="2:176" x14ac:dyDescent="0.25">
      <c r="G46" s="39"/>
      <c r="BE46" s="498"/>
      <c r="BF46" s="498"/>
      <c r="BG46" s="498"/>
      <c r="BH46" s="498"/>
      <c r="BI46" s="498"/>
      <c r="BJ46" s="498"/>
      <c r="BK46" s="498"/>
      <c r="BL46" s="498"/>
      <c r="BM46" s="498"/>
      <c r="BN46" s="498"/>
      <c r="BO46" s="498"/>
      <c r="BP46" s="498"/>
      <c r="BQ46" s="498"/>
      <c r="BR46" s="499"/>
      <c r="BS46" s="499"/>
      <c r="BT46" s="498"/>
      <c r="BU46" s="498"/>
      <c r="BV46" s="498"/>
      <c r="BW46" s="498"/>
      <c r="BX46" s="498"/>
      <c r="BY46" s="498"/>
      <c r="BZ46" s="498"/>
      <c r="CA46" s="498"/>
      <c r="CB46" s="498"/>
      <c r="CC46" s="498"/>
    </row>
    <row r="47" spans="2:176" x14ac:dyDescent="0.25">
      <c r="G47" s="39"/>
      <c r="BE47" s="498"/>
      <c r="BF47" s="498"/>
      <c r="BG47" s="498"/>
      <c r="BH47" s="498"/>
      <c r="BI47" s="498"/>
      <c r="BJ47" s="498"/>
      <c r="BK47" s="498"/>
      <c r="BL47" s="498"/>
      <c r="BM47" s="498"/>
      <c r="BN47" s="498"/>
      <c r="BO47" s="498"/>
      <c r="BP47" s="498"/>
      <c r="BQ47" s="498"/>
      <c r="BR47" s="498"/>
      <c r="BS47" s="498"/>
      <c r="BT47" s="498"/>
      <c r="BU47" s="498"/>
      <c r="BV47" s="498"/>
      <c r="BW47" s="498"/>
      <c r="BX47" s="498"/>
      <c r="BY47" s="498"/>
      <c r="BZ47" s="498"/>
      <c r="CA47" s="498"/>
      <c r="CB47" s="498"/>
      <c r="CC47" s="498"/>
    </row>
    <row r="48" spans="2:176" x14ac:dyDescent="0.25">
      <c r="G48" s="39"/>
      <c r="X48" t="s">
        <v>36</v>
      </c>
      <c r="BE48" s="498"/>
      <c r="BF48" s="498"/>
      <c r="BG48" s="498"/>
      <c r="BH48" s="498"/>
      <c r="BI48" s="498"/>
      <c r="BJ48" s="498"/>
      <c r="BK48" s="498"/>
      <c r="BL48" s="498"/>
      <c r="BM48" s="498"/>
      <c r="BN48" s="498"/>
      <c r="BO48" s="498"/>
      <c r="BP48" s="498"/>
      <c r="BQ48" s="498"/>
      <c r="BR48" s="498"/>
      <c r="BS48" s="498"/>
      <c r="BT48" s="498"/>
      <c r="BU48" s="498"/>
      <c r="BV48" s="498"/>
      <c r="BW48" s="498"/>
      <c r="BX48" s="498"/>
      <c r="BY48" s="498"/>
      <c r="BZ48" s="498"/>
      <c r="CA48" s="498"/>
      <c r="CB48" s="498"/>
      <c r="CC48" s="498"/>
    </row>
    <row r="49" spans="2:81" x14ac:dyDescent="0.25">
      <c r="G49" s="39"/>
      <c r="X49" t="s">
        <v>115</v>
      </c>
      <c r="BE49" s="499"/>
      <c r="BF49" s="499"/>
      <c r="BG49" s="499"/>
      <c r="BH49" s="499"/>
      <c r="BI49" s="499"/>
      <c r="BJ49" s="499"/>
      <c r="BK49" s="499"/>
      <c r="BL49" s="499"/>
      <c r="BM49" s="499"/>
      <c r="BN49" s="499"/>
      <c r="BO49" s="499"/>
      <c r="BP49" s="499"/>
      <c r="BQ49" s="499"/>
      <c r="BR49" s="499"/>
      <c r="BS49" s="499"/>
      <c r="BT49" s="499"/>
      <c r="BU49" s="498"/>
      <c r="BV49" s="498"/>
      <c r="BW49" s="498"/>
      <c r="BX49" s="498"/>
      <c r="BY49" s="498"/>
      <c r="BZ49" s="498"/>
      <c r="CA49" s="498"/>
      <c r="CB49" s="498"/>
      <c r="CC49" s="498"/>
    </row>
    <row r="50" spans="2:81" x14ac:dyDescent="0.25">
      <c r="G50" s="39"/>
      <c r="X50" t="s">
        <v>116</v>
      </c>
      <c r="BE50" s="499"/>
      <c r="BF50" s="499"/>
      <c r="BG50" s="499"/>
      <c r="BH50" s="499"/>
      <c r="BI50" s="499"/>
      <c r="BJ50" s="499"/>
      <c r="BK50" s="499"/>
      <c r="BL50" s="499"/>
      <c r="BM50" s="499"/>
      <c r="BN50" s="499"/>
      <c r="BO50" s="499"/>
      <c r="BP50" s="499"/>
      <c r="BQ50" s="499"/>
      <c r="BR50" s="499"/>
      <c r="BS50" s="499"/>
      <c r="BT50" s="499"/>
      <c r="BU50" s="498"/>
      <c r="BV50" s="498"/>
      <c r="BW50" s="498"/>
      <c r="BX50" s="498"/>
      <c r="BY50" s="498"/>
      <c r="BZ50" s="498"/>
      <c r="CA50" s="498"/>
      <c r="CB50" s="498"/>
      <c r="CC50" s="498"/>
    </row>
    <row r="51" spans="2:81" x14ac:dyDescent="0.25">
      <c r="G51" s="39"/>
      <c r="BE51" s="499"/>
      <c r="BF51" s="499"/>
      <c r="BG51" s="499"/>
      <c r="BH51" s="499"/>
      <c r="BI51" s="499"/>
      <c r="BJ51" s="499"/>
      <c r="BK51" s="499"/>
      <c r="BL51" s="499"/>
      <c r="BM51" s="499"/>
      <c r="BN51" s="499"/>
      <c r="BO51" s="499"/>
      <c r="BP51" s="499"/>
      <c r="BQ51" s="499"/>
      <c r="BR51" s="499"/>
      <c r="BS51" s="499"/>
      <c r="BT51" s="499"/>
      <c r="BU51" s="498"/>
      <c r="BV51" s="498"/>
      <c r="BW51" s="498"/>
      <c r="BX51" s="498"/>
      <c r="BY51" s="498"/>
      <c r="BZ51" s="498"/>
      <c r="CA51" s="498"/>
      <c r="CB51" s="498"/>
      <c r="CC51" s="498"/>
    </row>
    <row r="52" spans="2:81" x14ac:dyDescent="0.25">
      <c r="G52" s="39"/>
      <c r="BE52" s="498"/>
      <c r="BF52" s="498"/>
      <c r="BG52" s="498"/>
      <c r="BH52" s="498"/>
      <c r="BI52" s="498"/>
      <c r="BJ52" s="498"/>
      <c r="BK52" s="498"/>
      <c r="BL52" s="498"/>
      <c r="BM52" s="498"/>
      <c r="BN52" s="498"/>
      <c r="BO52" s="498"/>
      <c r="BP52" s="498"/>
      <c r="BQ52" s="498"/>
      <c r="BR52" s="498"/>
      <c r="BS52" s="498"/>
      <c r="BT52" s="498"/>
      <c r="BU52" s="498"/>
      <c r="BV52" s="498"/>
      <c r="BW52" s="498"/>
      <c r="BX52" s="498"/>
      <c r="BY52" s="498"/>
      <c r="BZ52" s="498"/>
      <c r="CA52" s="498"/>
      <c r="CB52" s="498"/>
      <c r="CC52" s="498"/>
    </row>
    <row r="53" spans="2:81" x14ac:dyDescent="0.25">
      <c r="G53" s="39"/>
      <c r="BE53" s="498"/>
      <c r="BF53" s="498"/>
      <c r="BG53" s="498"/>
      <c r="BH53" s="498"/>
      <c r="BI53" s="498"/>
      <c r="BJ53" s="498"/>
      <c r="BK53" s="498"/>
      <c r="BL53" s="498"/>
      <c r="BM53" s="498"/>
      <c r="BN53" s="498"/>
      <c r="BO53" s="498"/>
      <c r="BP53" s="498"/>
      <c r="BQ53" s="498"/>
      <c r="BR53" s="498"/>
      <c r="BS53" s="498"/>
      <c r="BT53" s="498"/>
      <c r="BU53" s="498"/>
      <c r="BV53" s="498"/>
      <c r="BW53" s="498"/>
      <c r="BX53" s="498"/>
      <c r="BY53" s="498"/>
      <c r="BZ53" s="498"/>
      <c r="CA53" s="498"/>
      <c r="CB53" s="498"/>
      <c r="CC53" s="498"/>
    </row>
    <row r="54" spans="2:81" x14ac:dyDescent="0.25">
      <c r="G54" s="39"/>
      <c r="BE54" s="498"/>
      <c r="BF54" s="498"/>
      <c r="BG54" s="498"/>
      <c r="BH54" s="498"/>
      <c r="BI54" s="498"/>
      <c r="BJ54" s="498"/>
      <c r="BK54" s="498"/>
      <c r="BL54" s="498"/>
      <c r="BM54" s="498"/>
      <c r="BN54" s="498"/>
      <c r="BO54" s="498"/>
      <c r="BP54" s="498"/>
      <c r="BQ54" s="498"/>
      <c r="BR54" s="499"/>
      <c r="BS54" s="499"/>
      <c r="BT54" s="498"/>
      <c r="BU54" s="498"/>
      <c r="BV54" s="498"/>
      <c r="BW54" s="498"/>
      <c r="BX54" s="498"/>
      <c r="BY54" s="498"/>
      <c r="BZ54" s="498"/>
      <c r="CA54" s="498"/>
      <c r="CB54" s="498"/>
      <c r="CC54" s="498"/>
    </row>
    <row r="55" spans="2:81" x14ac:dyDescent="0.25">
      <c r="G55" s="39"/>
      <c r="BE55" s="498"/>
      <c r="BF55" s="498"/>
      <c r="BG55" s="498"/>
      <c r="BH55" s="498"/>
      <c r="BI55" s="498"/>
      <c r="BJ55" s="498"/>
      <c r="BK55" s="498"/>
      <c r="BL55" s="498"/>
      <c r="BM55" s="498"/>
      <c r="BN55" s="498"/>
      <c r="BO55" s="498"/>
      <c r="BP55" s="498"/>
      <c r="BQ55" s="498"/>
      <c r="BR55" s="498"/>
      <c r="BS55" s="498"/>
      <c r="BT55" s="498"/>
      <c r="BU55" s="498"/>
      <c r="BV55" s="498"/>
      <c r="BW55" s="498"/>
      <c r="BX55" s="498"/>
      <c r="BY55" s="498"/>
      <c r="BZ55" s="498"/>
      <c r="CA55" s="498"/>
      <c r="CB55" s="498"/>
      <c r="CC55" s="498"/>
    </row>
    <row r="56" spans="2:81" x14ac:dyDescent="0.25">
      <c r="G56" s="39"/>
      <c r="BE56" s="498"/>
      <c r="BF56" s="498"/>
      <c r="BG56" s="498"/>
      <c r="BH56" s="498"/>
      <c r="BI56" s="498"/>
      <c r="BJ56" s="498"/>
      <c r="BK56" s="498"/>
      <c r="BL56" s="498"/>
      <c r="BM56" s="498"/>
      <c r="BN56" s="498"/>
      <c r="BO56" s="498"/>
      <c r="BP56" s="498"/>
      <c r="BQ56" s="498"/>
      <c r="BR56" s="498"/>
      <c r="BS56" s="498"/>
      <c r="BT56" s="498"/>
      <c r="BU56" s="498"/>
      <c r="BV56" s="498"/>
      <c r="BW56" s="498"/>
      <c r="BX56" s="498"/>
      <c r="BY56" s="498"/>
      <c r="BZ56" s="498"/>
      <c r="CA56" s="498"/>
      <c r="CB56" s="498"/>
      <c r="CC56" s="498"/>
    </row>
    <row r="57" spans="2:81" x14ac:dyDescent="0.25">
      <c r="B57" t="s">
        <v>78</v>
      </c>
      <c r="G57" s="39"/>
      <c r="BE57" s="498"/>
      <c r="BF57" s="498"/>
      <c r="BG57" s="498"/>
      <c r="BH57" s="498"/>
      <c r="BI57" s="498"/>
      <c r="BJ57" s="498"/>
      <c r="BK57" s="498"/>
      <c r="BL57" s="498"/>
      <c r="BM57" s="498"/>
      <c r="BN57" s="498"/>
      <c r="BO57" s="498"/>
      <c r="BP57" s="498"/>
      <c r="BQ57" s="498"/>
      <c r="BR57" s="498"/>
      <c r="BS57" s="499"/>
      <c r="BT57" s="499"/>
      <c r="BU57" s="498"/>
      <c r="BV57" s="498"/>
      <c r="BW57" s="498"/>
      <c r="BX57" s="498"/>
      <c r="BY57" s="498"/>
      <c r="BZ57" s="498"/>
      <c r="CA57" s="498"/>
      <c r="CB57" s="498"/>
      <c r="CC57" s="498"/>
    </row>
    <row r="58" spans="2:81" x14ac:dyDescent="0.25">
      <c r="G58" s="39"/>
      <c r="H58" s="17" t="s">
        <v>156</v>
      </c>
      <c r="X58" t="s">
        <v>95</v>
      </c>
      <c r="BE58" s="500"/>
      <c r="BF58" s="500"/>
      <c r="BG58" s="500"/>
      <c r="BH58" s="500"/>
      <c r="BI58" s="500"/>
      <c r="BJ58" s="500"/>
      <c r="BK58" s="500"/>
      <c r="BL58" s="500"/>
      <c r="BM58" s="500"/>
      <c r="BN58" s="500"/>
      <c r="BO58" s="500"/>
      <c r="BP58" s="500"/>
      <c r="BQ58" s="500"/>
      <c r="BR58" s="500"/>
      <c r="BS58" s="500"/>
      <c r="BT58" s="500"/>
      <c r="BU58" s="498"/>
      <c r="BV58" s="498"/>
      <c r="BW58" s="498"/>
      <c r="BX58" s="498"/>
      <c r="BY58" s="498"/>
      <c r="BZ58" s="498"/>
      <c r="CA58" s="498"/>
      <c r="CB58" s="498"/>
      <c r="CC58" s="498"/>
    </row>
    <row r="59" spans="2:81" x14ac:dyDescent="0.25">
      <c r="G59" s="39"/>
      <c r="X59" t="s">
        <v>96</v>
      </c>
      <c r="BE59" s="499"/>
      <c r="BF59" s="499"/>
      <c r="BG59" s="499"/>
      <c r="BH59" s="499"/>
      <c r="BI59" s="499"/>
      <c r="BJ59" s="499"/>
      <c r="BK59" s="499"/>
      <c r="BL59" s="499"/>
      <c r="BM59" s="499"/>
      <c r="BN59" s="499"/>
      <c r="BO59" s="499"/>
      <c r="BP59" s="499"/>
      <c r="BQ59" s="499"/>
      <c r="BR59" s="499"/>
      <c r="BS59" s="499"/>
      <c r="BT59" s="499"/>
      <c r="BU59" s="499"/>
      <c r="BV59" s="499"/>
      <c r="BW59" s="499"/>
      <c r="BX59" s="499"/>
      <c r="BY59" s="499"/>
      <c r="BZ59" s="499"/>
      <c r="CA59" s="499"/>
      <c r="CB59" s="499"/>
      <c r="CC59" s="499"/>
    </row>
    <row r="60" spans="2:81" x14ac:dyDescent="0.25">
      <c r="X60" t="s">
        <v>97</v>
      </c>
    </row>
    <row r="61" spans="2:81" x14ac:dyDescent="0.25">
      <c r="X61" t="s">
        <v>94</v>
      </c>
    </row>
    <row r="74" spans="8:24" x14ac:dyDescent="0.25">
      <c r="H74" s="330" t="s">
        <v>98</v>
      </c>
    </row>
    <row r="75" spans="8:24" x14ac:dyDescent="0.25">
      <c r="X75" t="s">
        <v>99</v>
      </c>
    </row>
    <row r="76" spans="8:24" x14ac:dyDescent="0.25">
      <c r="H76" s="17" t="s">
        <v>157</v>
      </c>
    </row>
    <row r="92" spans="8:24" x14ac:dyDescent="0.25">
      <c r="H92" s="17" t="s">
        <v>158</v>
      </c>
      <c r="X92" t="s">
        <v>100</v>
      </c>
    </row>
    <row r="93" spans="8:24" x14ac:dyDescent="0.25">
      <c r="X93" t="s">
        <v>97</v>
      </c>
    </row>
    <row r="108" spans="9:9" x14ac:dyDescent="0.25">
      <c r="I108" s="523" t="s">
        <v>178</v>
      </c>
    </row>
    <row r="109" spans="9:9" x14ac:dyDescent="0.25">
      <c r="I109" s="524"/>
    </row>
    <row r="110" spans="9:9" x14ac:dyDescent="0.25">
      <c r="I110" s="523" t="s">
        <v>179</v>
      </c>
    </row>
    <row r="111" spans="9:9" x14ac:dyDescent="0.25">
      <c r="I111" s="524"/>
    </row>
    <row r="112" spans="9:9" x14ac:dyDescent="0.25">
      <c r="I112" s="523" t="s">
        <v>180</v>
      </c>
    </row>
    <row r="113" spans="9:9" x14ac:dyDescent="0.25">
      <c r="I113" s="524"/>
    </row>
    <row r="114" spans="9:9" x14ac:dyDescent="0.25">
      <c r="I114" s="523" t="s">
        <v>181</v>
      </c>
    </row>
    <row r="115" spans="9:9" x14ac:dyDescent="0.25">
      <c r="I115" s="524"/>
    </row>
    <row r="116" spans="9:9" x14ac:dyDescent="0.25">
      <c r="I116" s="523" t="s">
        <v>159</v>
      </c>
    </row>
    <row r="117" spans="9:9" x14ac:dyDescent="0.25">
      <c r="I117" s="524"/>
    </row>
    <row r="118" spans="9:9" x14ac:dyDescent="0.25">
      <c r="I118" s="523" t="s">
        <v>160</v>
      </c>
    </row>
    <row r="119" spans="9:9" x14ac:dyDescent="0.25">
      <c r="I119" s="527"/>
    </row>
    <row r="120" spans="9:9" x14ac:dyDescent="0.25">
      <c r="I120" s="530" t="s">
        <v>182</v>
      </c>
    </row>
    <row r="121" spans="9:9" x14ac:dyDescent="0.25">
      <c r="I121" s="530" t="s">
        <v>183</v>
      </c>
    </row>
    <row r="122" spans="9:9" x14ac:dyDescent="0.25">
      <c r="I122" s="524"/>
    </row>
    <row r="123" spans="9:9" x14ac:dyDescent="0.25">
      <c r="I123" s="523" t="s">
        <v>161</v>
      </c>
    </row>
    <row r="124" spans="9:9" x14ac:dyDescent="0.25">
      <c r="I124" s="527"/>
    </row>
    <row r="125" spans="9:9" x14ac:dyDescent="0.25">
      <c r="I125" s="530" t="s">
        <v>184</v>
      </c>
    </row>
    <row r="126" spans="9:9" x14ac:dyDescent="0.25">
      <c r="I126" s="530" t="s">
        <v>185</v>
      </c>
    </row>
    <row r="127" spans="9:9" x14ac:dyDescent="0.25">
      <c r="I127" s="530" t="s">
        <v>186</v>
      </c>
    </row>
    <row r="128" spans="9:9" x14ac:dyDescent="0.25">
      <c r="I128" s="530" t="s">
        <v>187</v>
      </c>
    </row>
    <row r="129" spans="9:9" x14ac:dyDescent="0.25">
      <c r="I129" s="524"/>
    </row>
    <row r="130" spans="9:9" x14ac:dyDescent="0.25">
      <c r="I130" s="523" t="s">
        <v>188</v>
      </c>
    </row>
    <row r="131" spans="9:9" x14ac:dyDescent="0.25">
      <c r="I131" s="527"/>
    </row>
    <row r="132" spans="9:9" x14ac:dyDescent="0.25">
      <c r="I132" s="530" t="s">
        <v>189</v>
      </c>
    </row>
    <row r="133" spans="9:9" x14ac:dyDescent="0.25">
      <c r="I133" s="530" t="s">
        <v>190</v>
      </c>
    </row>
    <row r="134" spans="9:9" x14ac:dyDescent="0.25">
      <c r="I134" s="530" t="s">
        <v>191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7AC1C-01E0-4AD3-891A-2191E8403D69}">
  <sheetPr codeName="Sheet4">
    <tabColor rgb="FFCC66FF"/>
  </sheetPr>
  <dimension ref="A1:KL89"/>
  <sheetViews>
    <sheetView topLeftCell="CM54" zoomScale="85" zoomScaleNormal="85" workbookViewId="0">
      <selection activeCell="IZ75" sqref="IZ75"/>
    </sheetView>
  </sheetViews>
  <sheetFormatPr defaultRowHeight="15" x14ac:dyDescent="0.25"/>
  <cols>
    <col min="2" max="2" width="2.85546875" bestFit="1" customWidth="1"/>
    <col min="3" max="3" width="48.140625" customWidth="1"/>
    <col min="4" max="4" width="8" hidden="1" customWidth="1"/>
    <col min="5" max="5" width="7.85546875" hidden="1" customWidth="1"/>
    <col min="6" max="6" width="7.5703125" hidden="1" customWidth="1"/>
    <col min="7" max="7" width="8.140625" hidden="1" customWidth="1"/>
    <col min="8" max="8" width="7.85546875" hidden="1" customWidth="1"/>
    <col min="9" max="9" width="7.5703125" hidden="1" customWidth="1"/>
    <col min="10" max="10" width="7.7109375" hidden="1" customWidth="1"/>
    <col min="11" max="11" width="8.140625" hidden="1" customWidth="1"/>
    <col min="12" max="12" width="7.7109375" hidden="1" customWidth="1"/>
    <col min="13" max="13" width="8.5703125" hidden="1" customWidth="1"/>
    <col min="14" max="14" width="7.7109375" hidden="1" customWidth="1"/>
    <col min="15" max="15" width="6.85546875" hidden="1" customWidth="1"/>
    <col min="16" max="16" width="8" hidden="1" customWidth="1"/>
    <col min="17" max="17" width="7.85546875" hidden="1" customWidth="1"/>
    <col min="18" max="18" width="7.7109375" hidden="1" customWidth="1"/>
    <col min="19" max="19" width="8.140625" hidden="1" customWidth="1"/>
    <col min="20" max="20" width="12.140625" hidden="1" customWidth="1"/>
    <col min="21" max="58" width="11.140625" hidden="1" customWidth="1"/>
    <col min="59" max="59" width="11.5703125" hidden="1" customWidth="1"/>
    <col min="60" max="60" width="11.28515625" hidden="1" customWidth="1"/>
    <col min="61" max="61" width="11" hidden="1" customWidth="1"/>
    <col min="62" max="62" width="11.85546875" hidden="1" customWidth="1"/>
    <col min="63" max="63" width="11.5703125" hidden="1" customWidth="1"/>
    <col min="64" max="64" width="11" hidden="1" customWidth="1"/>
    <col min="65" max="65" width="11.28515625" hidden="1" customWidth="1"/>
    <col min="66" max="66" width="11.5703125" hidden="1" customWidth="1"/>
    <col min="67" max="67" width="11" hidden="1" customWidth="1"/>
    <col min="68" max="68" width="11.85546875" hidden="1" customWidth="1"/>
    <col min="69" max="69" width="11" hidden="1" customWidth="1"/>
    <col min="70" max="70" width="10.28515625" hidden="1" customWidth="1"/>
    <col min="71" max="71" width="11.5703125" hidden="1" customWidth="1"/>
    <col min="72" max="72" width="11.28515625" hidden="1" customWidth="1"/>
    <col min="73" max="73" width="11" hidden="1" customWidth="1"/>
    <col min="74" max="74" width="11.85546875" hidden="1" customWidth="1"/>
    <col min="75" max="75" width="11.5703125" hidden="1" customWidth="1"/>
    <col min="76" max="76" width="11" hidden="1" customWidth="1"/>
    <col min="77" max="77" width="11.28515625" hidden="1" customWidth="1"/>
    <col min="78" max="78" width="11.5703125" bestFit="1" customWidth="1"/>
    <col min="79" max="79" width="11" bestFit="1" customWidth="1"/>
    <col min="80" max="80" width="11.85546875" bestFit="1" customWidth="1"/>
    <col min="81" max="81" width="11" bestFit="1" customWidth="1"/>
    <col min="82" max="82" width="10.28515625" bestFit="1" customWidth="1"/>
    <col min="83" max="83" width="11.5703125" bestFit="1" customWidth="1"/>
    <col min="84" max="84" width="11.28515625" bestFit="1" customWidth="1"/>
    <col min="85" max="85" width="11" bestFit="1" customWidth="1"/>
    <col min="86" max="86" width="11.85546875" bestFit="1" customWidth="1"/>
    <col min="87" max="87" width="11.5703125" bestFit="1" customWidth="1"/>
    <col min="88" max="88" width="11" bestFit="1" customWidth="1"/>
    <col min="89" max="89" width="11.28515625" customWidth="1"/>
    <col min="90" max="90" width="11.5703125" bestFit="1" customWidth="1"/>
    <col min="91" max="91" width="11" bestFit="1" customWidth="1"/>
    <col min="92" max="92" width="11.85546875" bestFit="1" customWidth="1"/>
    <col min="93" max="93" width="11" bestFit="1" customWidth="1"/>
    <col min="94" max="94" width="10.28515625" bestFit="1" customWidth="1"/>
    <col min="95" max="95" width="11.5703125" bestFit="1" customWidth="1"/>
    <col min="96" max="96" width="11.28515625" bestFit="1" customWidth="1"/>
    <col min="97" max="97" width="11" bestFit="1" customWidth="1"/>
    <col min="98" max="98" width="11.85546875" bestFit="1" customWidth="1"/>
    <col min="99" max="99" width="11.5703125" bestFit="1" customWidth="1"/>
    <col min="100" max="100" width="11" bestFit="1" customWidth="1"/>
    <col min="101" max="101" width="11.28515625" bestFit="1" customWidth="1"/>
    <col min="102" max="102" width="11.5703125" bestFit="1" customWidth="1"/>
    <col min="103" max="103" width="11" hidden="1" customWidth="1"/>
    <col min="104" max="104" width="11.85546875" hidden="1" customWidth="1"/>
    <col min="105" max="105" width="11" hidden="1" customWidth="1"/>
    <col min="106" max="106" width="10.28515625" hidden="1" customWidth="1"/>
    <col min="107" max="107" width="11.5703125" hidden="1" customWidth="1"/>
    <col min="108" max="108" width="11.28515625" hidden="1" customWidth="1"/>
    <col min="109" max="133" width="5.140625" hidden="1" customWidth="1"/>
    <col min="134" max="134" width="5.42578125" hidden="1" customWidth="1"/>
    <col min="135" max="248" width="5.140625" hidden="1" customWidth="1"/>
    <col min="249" max="257" width="4.5703125" hidden="1" customWidth="1"/>
    <col min="258" max="258" width="8.140625" hidden="1" customWidth="1"/>
  </cols>
  <sheetData>
    <row r="1" spans="1:259" ht="18.75" x14ac:dyDescent="0.3">
      <c r="B1" s="231" t="s">
        <v>297</v>
      </c>
    </row>
    <row r="3" spans="1:259" x14ac:dyDescent="0.25">
      <c r="C3" s="30" t="s">
        <v>142</v>
      </c>
    </row>
    <row r="4" spans="1:259" x14ac:dyDescent="0.25">
      <c r="C4" t="s">
        <v>145</v>
      </c>
    </row>
    <row r="5" spans="1:259" x14ac:dyDescent="0.25">
      <c r="B5" s="511" t="s">
        <v>147</v>
      </c>
      <c r="C5" s="511" t="s">
        <v>146</v>
      </c>
    </row>
    <row r="7" spans="1:259" ht="21" x14ac:dyDescent="0.25">
      <c r="B7" s="552" t="s">
        <v>8</v>
      </c>
      <c r="C7" s="552" t="s">
        <v>8</v>
      </c>
      <c r="D7" s="552"/>
      <c r="E7" s="552"/>
      <c r="F7" s="552"/>
      <c r="G7" s="552"/>
      <c r="H7" s="552"/>
      <c r="I7" s="552"/>
      <c r="J7" s="552"/>
      <c r="K7" s="552"/>
      <c r="L7" s="552"/>
      <c r="M7" s="552"/>
      <c r="N7" s="552"/>
      <c r="O7" s="552"/>
      <c r="P7" s="552"/>
      <c r="Q7" s="552"/>
      <c r="R7" s="552"/>
      <c r="S7" s="552"/>
      <c r="T7" s="552"/>
      <c r="U7" s="552"/>
      <c r="V7" s="552"/>
      <c r="W7" s="552"/>
      <c r="X7" s="552"/>
      <c r="Y7" s="552"/>
      <c r="Z7" s="552"/>
      <c r="AA7" s="552"/>
      <c r="AB7" s="552"/>
      <c r="AC7" s="552"/>
      <c r="AD7" s="552"/>
      <c r="AE7" s="552"/>
      <c r="AF7" s="552"/>
      <c r="AG7" s="552"/>
      <c r="AH7" s="552"/>
      <c r="AI7" s="552"/>
      <c r="AJ7" s="552"/>
      <c r="AK7" s="552"/>
      <c r="AL7" s="552"/>
      <c r="AM7" s="552"/>
      <c r="AN7" s="552"/>
      <c r="AO7" s="552"/>
      <c r="AP7" s="552"/>
      <c r="AQ7" s="552"/>
      <c r="AR7" s="552"/>
      <c r="AS7" s="552"/>
      <c r="AT7" s="552"/>
      <c r="AU7" s="552"/>
      <c r="AV7" s="552"/>
      <c r="AW7" s="552"/>
      <c r="AX7" s="552"/>
      <c r="AY7" s="552"/>
      <c r="AZ7" s="552"/>
      <c r="BA7" s="552"/>
      <c r="BB7" s="552"/>
      <c r="BC7" s="552"/>
      <c r="BD7" s="552"/>
      <c r="BE7" s="552"/>
      <c r="BF7" s="552"/>
      <c r="BG7" s="552"/>
      <c r="BH7" s="552"/>
      <c r="BI7" s="552"/>
      <c r="BJ7" s="552"/>
      <c r="BK7" s="552"/>
      <c r="BL7" s="552"/>
      <c r="BM7" s="552"/>
      <c r="BN7" s="552"/>
      <c r="BO7" s="552"/>
      <c r="BP7" s="552"/>
      <c r="BQ7" s="552"/>
      <c r="BR7" s="552"/>
      <c r="BS7" s="552"/>
      <c r="BT7" s="552"/>
      <c r="BU7" s="552"/>
      <c r="BV7" s="552"/>
      <c r="BW7" s="552"/>
      <c r="BX7" s="552"/>
      <c r="BY7" s="552"/>
      <c r="BZ7" s="552"/>
      <c r="CA7" s="552"/>
      <c r="CB7" s="552"/>
      <c r="CC7" s="552"/>
      <c r="CD7" s="552"/>
      <c r="CE7" s="552"/>
      <c r="CF7" s="552"/>
      <c r="CG7" s="552"/>
      <c r="CH7" s="552"/>
      <c r="CI7" s="552"/>
      <c r="CJ7" s="552"/>
      <c r="CK7" s="552"/>
      <c r="CL7" s="552"/>
      <c r="CM7" s="552"/>
      <c r="CN7" s="552"/>
      <c r="CO7" s="552"/>
      <c r="CP7" s="552"/>
      <c r="CQ7" s="552"/>
      <c r="CR7" s="552"/>
      <c r="CS7" s="552"/>
      <c r="CT7" s="552"/>
      <c r="CU7" s="552"/>
      <c r="CV7" s="552"/>
      <c r="CW7" s="552"/>
      <c r="CX7" s="552"/>
      <c r="CY7" s="552"/>
      <c r="CZ7" s="552"/>
      <c r="DA7" s="552"/>
      <c r="DB7" s="552"/>
      <c r="DC7" s="552"/>
      <c r="DD7" s="552"/>
      <c r="DE7" s="552"/>
      <c r="DF7" s="552"/>
      <c r="DG7" s="552"/>
      <c r="DH7" s="552"/>
      <c r="DI7" s="552"/>
      <c r="DJ7" s="552"/>
      <c r="DK7" s="552"/>
      <c r="DL7" s="552"/>
      <c r="DM7" s="552"/>
      <c r="DN7" s="552"/>
      <c r="DO7" s="552"/>
      <c r="DP7" s="552"/>
      <c r="DQ7" s="552"/>
      <c r="DR7" s="552"/>
      <c r="DS7" s="552"/>
      <c r="DT7" s="552"/>
      <c r="DU7" s="552"/>
      <c r="DV7" s="552"/>
      <c r="DW7" s="552"/>
      <c r="DX7" s="552"/>
      <c r="DY7" s="552"/>
      <c r="DZ7" s="552"/>
      <c r="EA7" s="552"/>
      <c r="EB7" s="552"/>
      <c r="EC7" s="552"/>
      <c r="ED7" s="552"/>
      <c r="EE7" s="552"/>
      <c r="EF7" s="552"/>
      <c r="EG7" s="552"/>
      <c r="EH7" s="552"/>
      <c r="EI7" s="552"/>
      <c r="EJ7" s="552"/>
      <c r="EK7" s="552"/>
      <c r="EL7" s="552"/>
      <c r="EM7" s="552"/>
      <c r="EN7" s="552"/>
      <c r="EO7" s="552"/>
      <c r="EP7" s="552"/>
      <c r="EQ7" s="552"/>
      <c r="ER7" s="552"/>
      <c r="ES7" s="552"/>
      <c r="ET7" s="552"/>
      <c r="EU7" s="552"/>
      <c r="EV7" s="552"/>
      <c r="EW7" s="552"/>
      <c r="EX7" s="552"/>
      <c r="EY7" s="552"/>
      <c r="EZ7" s="552"/>
      <c r="FA7" s="552"/>
      <c r="FB7" s="552"/>
      <c r="FC7" s="552"/>
      <c r="FD7" s="552"/>
      <c r="FE7" s="552"/>
      <c r="FF7" s="552"/>
      <c r="FG7" s="552"/>
      <c r="FH7" s="552"/>
      <c r="FI7" s="552"/>
      <c r="FJ7" s="552"/>
      <c r="FK7" s="552"/>
      <c r="FL7" s="552"/>
      <c r="FM7" s="552"/>
      <c r="FN7" s="552"/>
      <c r="FO7" s="552"/>
      <c r="FP7" s="552"/>
      <c r="FQ7" s="552"/>
      <c r="FR7" s="552"/>
      <c r="FS7" s="552"/>
      <c r="FT7" s="552"/>
      <c r="FU7" s="552"/>
      <c r="FV7" s="552"/>
      <c r="FW7" s="552"/>
      <c r="FX7" s="552"/>
      <c r="FY7" s="552"/>
      <c r="FZ7" s="552"/>
      <c r="GA7" s="552"/>
      <c r="GB7" s="552"/>
      <c r="GC7" s="552"/>
      <c r="GD7" s="552"/>
      <c r="GE7" s="552"/>
      <c r="GF7" s="552"/>
      <c r="GG7" s="552"/>
      <c r="GH7" s="552"/>
      <c r="GI7" s="552"/>
      <c r="GJ7" s="552"/>
      <c r="GK7" s="552"/>
      <c r="GL7" s="552"/>
      <c r="GM7" s="552"/>
      <c r="GN7" s="552"/>
      <c r="GO7" s="552"/>
      <c r="GP7" s="552"/>
      <c r="GQ7" s="552"/>
      <c r="GR7" s="552"/>
      <c r="GS7" s="552"/>
      <c r="GT7" s="552"/>
      <c r="GU7" s="552"/>
      <c r="GV7" s="552"/>
      <c r="GW7" s="552"/>
      <c r="GX7" s="552"/>
      <c r="GY7" s="552"/>
      <c r="GZ7" s="552"/>
      <c r="HA7" s="552"/>
      <c r="HB7" s="552"/>
      <c r="HC7" s="552"/>
      <c r="HD7" s="552"/>
      <c r="HE7" s="552"/>
      <c r="HF7" s="552"/>
      <c r="HG7" s="552"/>
      <c r="HH7" s="552"/>
      <c r="HI7" s="552"/>
      <c r="HJ7" s="552"/>
      <c r="HK7" s="552"/>
      <c r="HL7" s="552"/>
      <c r="HM7" s="552"/>
      <c r="HN7" s="552"/>
      <c r="HO7" s="552"/>
      <c r="HP7" s="552"/>
      <c r="HQ7" s="552"/>
      <c r="HR7" s="552"/>
      <c r="HS7" s="552"/>
      <c r="HT7" s="552"/>
      <c r="HU7" s="552"/>
      <c r="HV7" s="552"/>
      <c r="HW7" s="552"/>
      <c r="HX7" s="552"/>
      <c r="HY7" s="552"/>
      <c r="HZ7" s="552"/>
      <c r="IA7" s="552"/>
      <c r="IB7" s="552"/>
      <c r="IC7" s="552"/>
      <c r="ID7" s="552"/>
      <c r="IE7" s="552"/>
      <c r="IF7" s="552"/>
      <c r="IG7" s="552"/>
      <c r="IH7" s="552"/>
      <c r="II7" s="552"/>
      <c r="IJ7" s="552"/>
      <c r="IK7" s="552"/>
      <c r="IL7" s="552"/>
      <c r="IM7" s="552"/>
      <c r="IN7" s="552"/>
      <c r="IO7" s="552" t="s">
        <v>8</v>
      </c>
      <c r="IP7" s="552" t="s">
        <v>8</v>
      </c>
      <c r="IQ7" s="552" t="s">
        <v>8</v>
      </c>
      <c r="IR7" s="552" t="s">
        <v>8</v>
      </c>
      <c r="IS7" s="552" t="s">
        <v>8</v>
      </c>
      <c r="IT7" s="552" t="s">
        <v>8</v>
      </c>
      <c r="IU7" s="552" t="s">
        <v>8</v>
      </c>
      <c r="IV7" s="552" t="s">
        <v>8</v>
      </c>
      <c r="IW7" s="552"/>
      <c r="IX7" s="552" t="s">
        <v>8</v>
      </c>
    </row>
    <row r="8" spans="1:259" ht="15.75" thickBot="1" x14ac:dyDescent="0.3"/>
    <row r="9" spans="1:259" ht="16.5" thickBot="1" x14ac:dyDescent="0.3">
      <c r="B9" s="553" t="s">
        <v>7</v>
      </c>
      <c r="C9" s="554" t="s">
        <v>7</v>
      </c>
      <c r="D9" s="554"/>
      <c r="E9" s="554"/>
      <c r="F9" s="554"/>
      <c r="G9" s="554"/>
      <c r="H9" s="554"/>
      <c r="I9" s="554"/>
      <c r="J9" s="554"/>
      <c r="K9" s="554"/>
      <c r="L9" s="554"/>
      <c r="M9" s="554"/>
      <c r="N9" s="554"/>
      <c r="O9" s="554"/>
      <c r="P9" s="554"/>
      <c r="Q9" s="554"/>
      <c r="R9" s="554"/>
      <c r="S9" s="554"/>
      <c r="T9" s="554"/>
      <c r="U9" s="554"/>
      <c r="V9" s="554"/>
      <c r="W9" s="554"/>
      <c r="X9" s="554"/>
      <c r="Y9" s="554"/>
      <c r="Z9" s="554"/>
      <c r="AA9" s="554"/>
      <c r="AB9" s="554"/>
      <c r="AC9" s="554"/>
      <c r="AD9" s="554"/>
      <c r="AE9" s="554"/>
      <c r="AF9" s="554"/>
      <c r="AG9" s="554"/>
      <c r="AH9" s="554"/>
      <c r="AI9" s="554"/>
      <c r="AJ9" s="554"/>
      <c r="AK9" s="554"/>
      <c r="AL9" s="554"/>
      <c r="AM9" s="554"/>
      <c r="AN9" s="554"/>
      <c r="AO9" s="554"/>
      <c r="AP9" s="554"/>
      <c r="AQ9" s="554"/>
      <c r="AR9" s="554"/>
      <c r="AS9" s="554"/>
      <c r="AT9" s="554"/>
      <c r="AU9" s="554"/>
      <c r="AV9" s="554"/>
      <c r="AW9" s="554"/>
      <c r="AX9" s="554"/>
      <c r="AY9" s="554"/>
      <c r="AZ9" s="554"/>
      <c r="BA9" s="554"/>
      <c r="BB9" s="554"/>
      <c r="BC9" s="554"/>
      <c r="BD9" s="554"/>
      <c r="BE9" s="554"/>
      <c r="BF9" s="554"/>
      <c r="BG9" s="554"/>
      <c r="BH9" s="554"/>
      <c r="BI9" s="554"/>
      <c r="BJ9" s="554"/>
      <c r="BK9" s="554"/>
      <c r="BL9" s="554"/>
      <c r="BM9" s="554"/>
      <c r="BN9" s="554"/>
      <c r="BO9" s="554"/>
      <c r="BP9" s="554"/>
      <c r="BQ9" s="554"/>
      <c r="BR9" s="554"/>
      <c r="BS9" s="554"/>
      <c r="BT9" s="554"/>
      <c r="BU9" s="554"/>
      <c r="BV9" s="554"/>
      <c r="BW9" s="554"/>
      <c r="BX9" s="554"/>
      <c r="BY9" s="554"/>
      <c r="BZ9" s="554"/>
      <c r="CA9" s="554"/>
      <c r="CB9" s="554"/>
      <c r="CC9" s="554"/>
      <c r="CD9" s="554"/>
      <c r="CE9" s="554"/>
      <c r="CF9" s="554"/>
      <c r="CG9" s="554"/>
      <c r="CH9" s="554"/>
      <c r="CI9" s="554"/>
      <c r="CJ9" s="554"/>
      <c r="CK9" s="554"/>
      <c r="CL9" s="554"/>
      <c r="CM9" s="554"/>
      <c r="CN9" s="554"/>
      <c r="CO9" s="554"/>
      <c r="CP9" s="554"/>
      <c r="CQ9" s="554"/>
      <c r="CR9" s="554"/>
      <c r="CS9" s="554"/>
      <c r="CT9" s="554"/>
      <c r="CU9" s="554"/>
      <c r="CV9" s="554"/>
      <c r="CW9" s="554"/>
      <c r="CX9" s="554"/>
      <c r="CY9" s="554"/>
      <c r="CZ9" s="554"/>
      <c r="DA9" s="554"/>
      <c r="DB9" s="554"/>
      <c r="DC9" s="554"/>
      <c r="DD9" s="554"/>
      <c r="DE9" s="554"/>
      <c r="DF9" s="554"/>
      <c r="DG9" s="554"/>
      <c r="DH9" s="554"/>
      <c r="DI9" s="554"/>
      <c r="DJ9" s="554"/>
      <c r="DK9" s="554"/>
      <c r="DL9" s="554"/>
      <c r="DM9" s="554"/>
      <c r="DN9" s="554"/>
      <c r="DO9" s="554"/>
      <c r="DP9" s="554"/>
      <c r="DQ9" s="554"/>
      <c r="DR9" s="554"/>
      <c r="DS9" s="554"/>
      <c r="DT9" s="554"/>
      <c r="DU9" s="554"/>
      <c r="DV9" s="554"/>
      <c r="DW9" s="554"/>
      <c r="DX9" s="554"/>
      <c r="DY9" s="554"/>
      <c r="DZ9" s="554"/>
      <c r="EA9" s="554"/>
      <c r="EB9" s="554"/>
      <c r="EC9" s="554"/>
      <c r="ED9" s="554"/>
      <c r="EE9" s="554"/>
      <c r="EF9" s="554"/>
      <c r="EG9" s="554"/>
      <c r="EH9" s="554"/>
      <c r="EI9" s="554"/>
      <c r="EJ9" s="554"/>
      <c r="EK9" s="554"/>
      <c r="EL9" s="554"/>
      <c r="EM9" s="554"/>
      <c r="EN9" s="554"/>
      <c r="EO9" s="554"/>
      <c r="EP9" s="554"/>
      <c r="EQ9" s="554"/>
      <c r="ER9" s="554"/>
      <c r="ES9" s="554"/>
      <c r="ET9" s="554"/>
      <c r="EU9" s="554"/>
      <c r="EV9" s="554"/>
      <c r="EW9" s="554"/>
      <c r="EX9" s="554"/>
      <c r="EY9" s="554"/>
      <c r="EZ9" s="554"/>
      <c r="FA9" s="554"/>
      <c r="FB9" s="554"/>
      <c r="FC9" s="554"/>
      <c r="FD9" s="554"/>
      <c r="FE9" s="554"/>
      <c r="FF9" s="554"/>
      <c r="FG9" s="554"/>
      <c r="FH9" s="554"/>
      <c r="FI9" s="554"/>
      <c r="FJ9" s="554"/>
      <c r="FK9" s="554"/>
      <c r="FL9" s="554"/>
      <c r="FM9" s="554"/>
      <c r="FN9" s="554"/>
      <c r="FO9" s="554"/>
      <c r="FP9" s="554"/>
      <c r="FQ9" s="554"/>
      <c r="FR9" s="554"/>
      <c r="FS9" s="554"/>
      <c r="FT9" s="554"/>
      <c r="FU9" s="554"/>
      <c r="FV9" s="554"/>
      <c r="FW9" s="554"/>
      <c r="FX9" s="554"/>
      <c r="FY9" s="554"/>
      <c r="FZ9" s="554"/>
      <c r="GA9" s="554"/>
      <c r="GB9" s="554"/>
      <c r="GC9" s="554"/>
      <c r="GD9" s="554"/>
      <c r="GE9" s="554"/>
      <c r="GF9" s="554"/>
      <c r="GG9" s="554"/>
      <c r="GH9" s="554"/>
      <c r="GI9" s="554"/>
      <c r="GJ9" s="554"/>
      <c r="GK9" s="554"/>
      <c r="GL9" s="554"/>
      <c r="GM9" s="554"/>
      <c r="GN9" s="554"/>
      <c r="GO9" s="554"/>
      <c r="GP9" s="554"/>
      <c r="GQ9" s="554"/>
      <c r="GR9" s="554"/>
      <c r="GS9" s="554"/>
      <c r="GT9" s="554"/>
      <c r="GU9" s="554"/>
      <c r="GV9" s="554"/>
      <c r="GW9" s="554"/>
      <c r="GX9" s="554"/>
      <c r="GY9" s="554"/>
      <c r="GZ9" s="554"/>
      <c r="HA9" s="554"/>
      <c r="HB9" s="554"/>
      <c r="HC9" s="554"/>
      <c r="HD9" s="554"/>
      <c r="HE9" s="554"/>
      <c r="HF9" s="554"/>
      <c r="HG9" s="554"/>
      <c r="HH9" s="554"/>
      <c r="HI9" s="554"/>
      <c r="HJ9" s="554"/>
      <c r="HK9" s="554"/>
      <c r="HL9" s="554"/>
      <c r="HM9" s="554"/>
      <c r="HN9" s="554"/>
      <c r="HO9" s="554"/>
      <c r="HP9" s="554"/>
      <c r="HQ9" s="554"/>
      <c r="HR9" s="554"/>
      <c r="HS9" s="554"/>
      <c r="HT9" s="554"/>
      <c r="HU9" s="554"/>
      <c r="HV9" s="554"/>
      <c r="HW9" s="554"/>
      <c r="HX9" s="554"/>
      <c r="HY9" s="554"/>
      <c r="HZ9" s="554"/>
      <c r="IA9" s="554"/>
      <c r="IB9" s="554"/>
      <c r="IC9" s="554"/>
      <c r="ID9" s="554"/>
      <c r="IE9" s="554"/>
      <c r="IF9" s="554"/>
      <c r="IG9" s="554"/>
      <c r="IH9" s="554"/>
      <c r="II9" s="554"/>
      <c r="IJ9" s="554"/>
      <c r="IK9" s="554"/>
      <c r="IL9" s="554"/>
      <c r="IM9" s="554"/>
      <c r="IN9" s="554"/>
      <c r="IO9" s="554" t="s">
        <v>7</v>
      </c>
      <c r="IP9" s="554" t="s">
        <v>7</v>
      </c>
      <c r="IQ9" s="554" t="s">
        <v>7</v>
      </c>
      <c r="IR9" s="554" t="s">
        <v>7</v>
      </c>
      <c r="IS9" s="554" t="s">
        <v>7</v>
      </c>
      <c r="IT9" s="554" t="s">
        <v>7</v>
      </c>
      <c r="IU9" s="554" t="s">
        <v>7</v>
      </c>
      <c r="IV9" s="554" t="s">
        <v>7</v>
      </c>
      <c r="IW9" s="554"/>
      <c r="IX9" s="554" t="s">
        <v>7</v>
      </c>
    </row>
    <row r="10" spans="1:259" ht="16.5" thickBot="1" x14ac:dyDescent="0.3">
      <c r="B10" s="7"/>
      <c r="C10" s="41"/>
      <c r="D10" s="563"/>
      <c r="E10" s="563"/>
      <c r="F10" s="563"/>
      <c r="G10" s="563"/>
      <c r="H10" s="563"/>
      <c r="I10" s="563"/>
      <c r="J10" s="563"/>
      <c r="K10" s="563"/>
      <c r="L10" s="563"/>
      <c r="M10" s="563"/>
      <c r="N10" s="563"/>
      <c r="O10" s="563"/>
      <c r="P10" s="563"/>
      <c r="Q10" s="563"/>
      <c r="R10" s="563"/>
      <c r="S10" s="563"/>
      <c r="T10" s="563"/>
      <c r="U10" s="563"/>
      <c r="V10" s="563"/>
      <c r="W10" s="563"/>
      <c r="X10" s="563"/>
      <c r="Y10" s="563"/>
      <c r="Z10" s="563"/>
      <c r="AA10" s="563"/>
      <c r="AB10" s="563"/>
      <c r="AC10" s="563"/>
      <c r="AD10" s="563"/>
      <c r="AE10" s="563"/>
      <c r="AF10" s="563"/>
      <c r="AG10" s="563"/>
      <c r="AH10" s="563"/>
      <c r="AI10" s="563"/>
      <c r="AJ10" s="563"/>
      <c r="AK10" s="563"/>
      <c r="AL10" s="563"/>
      <c r="AM10" s="563"/>
      <c r="AN10" s="563"/>
      <c r="AO10" s="563"/>
      <c r="AP10" s="563"/>
      <c r="AQ10" s="563"/>
      <c r="AR10" s="563"/>
      <c r="AS10" s="563"/>
      <c r="AT10" s="563"/>
      <c r="AU10" s="563"/>
      <c r="AV10" s="563"/>
      <c r="AW10" s="563"/>
      <c r="AX10" s="563"/>
      <c r="AY10" s="563"/>
      <c r="AZ10" s="563"/>
      <c r="BA10" s="563"/>
      <c r="BB10" s="563"/>
      <c r="BC10" s="563"/>
      <c r="BD10" s="563"/>
      <c r="BE10" s="563"/>
      <c r="BF10" s="563"/>
      <c r="BG10" s="563"/>
      <c r="BH10" s="563"/>
      <c r="BI10" s="563"/>
      <c r="BJ10" s="563"/>
      <c r="BK10" s="563"/>
      <c r="BL10" s="563"/>
      <c r="BM10" s="563"/>
      <c r="BN10" s="563"/>
      <c r="BO10" s="563"/>
      <c r="BP10" s="563"/>
      <c r="BQ10" s="563"/>
      <c r="BR10" s="563"/>
      <c r="BS10" s="563"/>
      <c r="BT10" s="563"/>
      <c r="BU10" s="563"/>
      <c r="BV10" s="563"/>
      <c r="BW10" s="563"/>
      <c r="BX10" s="563"/>
      <c r="BY10" s="563"/>
      <c r="BZ10" s="563"/>
      <c r="CA10" s="563"/>
      <c r="CB10" s="563"/>
      <c r="CC10" s="563"/>
      <c r="CD10" s="563"/>
      <c r="CE10" s="563"/>
      <c r="CF10" s="563"/>
      <c r="CG10" s="563"/>
      <c r="CH10" s="563"/>
      <c r="CI10" s="563"/>
      <c r="CJ10" s="563"/>
      <c r="CK10" s="563"/>
      <c r="CL10" s="563"/>
      <c r="CM10" s="563"/>
      <c r="CN10" s="563"/>
      <c r="CO10" s="563"/>
      <c r="CP10" s="563"/>
      <c r="CQ10" s="563"/>
      <c r="CR10" s="563"/>
      <c r="CS10" s="563"/>
      <c r="CT10" s="563"/>
      <c r="CU10" s="563"/>
      <c r="CV10" s="563"/>
      <c r="CW10" s="563"/>
      <c r="CX10" s="563"/>
      <c r="CY10" s="563"/>
      <c r="CZ10" s="563"/>
      <c r="DA10" s="563"/>
      <c r="DB10" s="563"/>
      <c r="DC10" s="563"/>
      <c r="DD10" s="563"/>
      <c r="DE10" s="563"/>
      <c r="DF10" s="563"/>
      <c r="DG10" s="563"/>
      <c r="DH10" s="563"/>
      <c r="DI10" s="563"/>
      <c r="DJ10" s="563"/>
      <c r="DK10" s="563"/>
      <c r="DL10" s="563"/>
      <c r="DM10" s="563"/>
      <c r="DN10" s="563"/>
      <c r="DO10" s="563"/>
      <c r="DP10" s="563"/>
      <c r="DQ10" s="563"/>
      <c r="DR10" s="563"/>
      <c r="DS10" s="563"/>
      <c r="DT10" s="563"/>
      <c r="DU10" s="563"/>
      <c r="DV10" s="563"/>
      <c r="DW10" s="563"/>
      <c r="DX10" s="563"/>
      <c r="DY10" s="563"/>
      <c r="DZ10" s="563"/>
      <c r="EA10" s="563"/>
      <c r="EB10" s="563"/>
      <c r="EC10" s="563"/>
      <c r="ED10" s="563"/>
      <c r="EE10" s="563"/>
      <c r="EF10" s="563"/>
      <c r="EG10" s="563"/>
      <c r="EH10" s="563"/>
      <c r="EI10" s="563"/>
      <c r="EJ10" s="563"/>
      <c r="EK10" s="563"/>
      <c r="EL10" s="563"/>
      <c r="EM10" s="563"/>
      <c r="EN10" s="563"/>
      <c r="EO10" s="563"/>
      <c r="EP10" s="563"/>
      <c r="EQ10" s="563"/>
      <c r="ER10" s="563"/>
      <c r="ES10" s="563"/>
      <c r="ET10" s="563"/>
      <c r="EU10" s="563"/>
      <c r="EV10" s="563"/>
      <c r="EW10" s="563"/>
      <c r="EX10" s="563"/>
      <c r="EY10" s="563"/>
      <c r="EZ10" s="563"/>
      <c r="FA10" s="563"/>
      <c r="FB10" s="563"/>
      <c r="FC10" s="563"/>
      <c r="FD10" s="563"/>
      <c r="FE10" s="563"/>
      <c r="FF10" s="563"/>
      <c r="FG10" s="563"/>
      <c r="FH10" s="563"/>
      <c r="FI10" s="563"/>
      <c r="FJ10" s="563"/>
      <c r="FK10" s="563"/>
      <c r="FL10" s="563"/>
      <c r="FM10" s="563"/>
      <c r="FN10" s="563"/>
      <c r="FO10" s="563"/>
      <c r="FP10" s="563"/>
      <c r="FQ10" s="563"/>
      <c r="FR10" s="563"/>
      <c r="FS10" s="563"/>
      <c r="FT10" s="563"/>
      <c r="FU10" s="563"/>
      <c r="FV10" s="563"/>
      <c r="FW10" s="563"/>
      <c r="FX10" s="563"/>
      <c r="FY10" s="563"/>
      <c r="FZ10" s="563"/>
      <c r="GA10" s="563"/>
      <c r="GB10" s="563"/>
      <c r="GC10" s="563"/>
      <c r="GD10" s="563"/>
      <c r="GE10" s="563"/>
      <c r="GF10" s="563"/>
      <c r="GG10" s="563"/>
      <c r="GH10" s="563"/>
      <c r="GI10" s="563"/>
      <c r="GJ10" s="563"/>
      <c r="GK10" s="563"/>
      <c r="GL10" s="563"/>
      <c r="GM10" s="563"/>
      <c r="GN10" s="563"/>
      <c r="GO10" s="563"/>
      <c r="GP10" s="563"/>
      <c r="GQ10" s="563"/>
      <c r="GR10" s="563"/>
      <c r="GS10" s="563"/>
      <c r="GT10" s="563"/>
      <c r="GU10" s="563"/>
      <c r="GV10" s="563"/>
      <c r="GW10" s="563"/>
      <c r="GX10" s="563"/>
      <c r="GY10" s="563"/>
      <c r="GZ10" s="563"/>
      <c r="HA10" s="563"/>
      <c r="HB10" s="563"/>
      <c r="HC10" s="563"/>
      <c r="HD10" s="563"/>
      <c r="HE10" s="563"/>
      <c r="HF10" s="563"/>
      <c r="HG10" s="563"/>
      <c r="HH10" s="563"/>
      <c r="HI10" s="563"/>
      <c r="HJ10" s="563"/>
      <c r="HK10" s="563"/>
      <c r="HL10" s="563"/>
      <c r="HM10" s="563"/>
      <c r="HN10" s="563"/>
      <c r="HO10" s="563"/>
      <c r="HP10" s="563"/>
      <c r="HQ10" s="563"/>
      <c r="HR10" s="563"/>
      <c r="HS10" s="563"/>
      <c r="HT10" s="563"/>
      <c r="HU10" s="563"/>
      <c r="HV10" s="563"/>
      <c r="HW10" s="563"/>
      <c r="HX10" s="563"/>
      <c r="HY10" s="563"/>
      <c r="HZ10" s="563"/>
      <c r="IA10" s="563"/>
      <c r="IB10" s="563"/>
      <c r="IC10" s="563"/>
      <c r="ID10" s="563"/>
      <c r="IE10" s="563"/>
      <c r="IF10" s="563"/>
      <c r="IG10" s="563"/>
      <c r="IH10" s="563"/>
      <c r="II10" s="563"/>
      <c r="IJ10" s="563"/>
      <c r="IK10" s="563"/>
      <c r="IL10" s="563"/>
      <c r="IM10" s="563"/>
      <c r="IN10" s="563"/>
      <c r="IO10" s="563" t="s">
        <v>3</v>
      </c>
      <c r="IP10" s="563" t="s">
        <v>3</v>
      </c>
      <c r="IQ10" s="563" t="s">
        <v>3</v>
      </c>
      <c r="IR10" s="563" t="s">
        <v>3</v>
      </c>
      <c r="IS10" s="563" t="s">
        <v>3</v>
      </c>
      <c r="IT10" s="563" t="s">
        <v>3</v>
      </c>
      <c r="IU10" s="563" t="s">
        <v>3</v>
      </c>
      <c r="IV10" s="563" t="s">
        <v>3</v>
      </c>
      <c r="IW10" s="563"/>
      <c r="IX10" s="563" t="s">
        <v>3</v>
      </c>
      <c r="IY10">
        <f>MAX(IY12:IY23)</f>
        <v>106</v>
      </c>
    </row>
    <row r="11" spans="1:259" ht="16.5" customHeight="1" thickBot="1" x14ac:dyDescent="0.3">
      <c r="A11" s="560" t="s">
        <v>20</v>
      </c>
      <c r="B11" s="34"/>
      <c r="C11" s="14">
        <v>45717</v>
      </c>
      <c r="D11" s="50">
        <v>43101</v>
      </c>
      <c r="E11" s="2">
        <v>43132</v>
      </c>
      <c r="F11" s="2">
        <v>43160</v>
      </c>
      <c r="G11" s="2">
        <v>43191</v>
      </c>
      <c r="H11" s="2">
        <v>43221</v>
      </c>
      <c r="I11" s="2">
        <v>43252</v>
      </c>
      <c r="J11" s="2">
        <v>43282</v>
      </c>
      <c r="K11" s="2">
        <v>43313</v>
      </c>
      <c r="L11" s="2">
        <v>43344</v>
      </c>
      <c r="M11" s="2">
        <v>43374</v>
      </c>
      <c r="N11" s="2">
        <v>43405</v>
      </c>
      <c r="O11" s="2">
        <v>43435</v>
      </c>
      <c r="P11" s="2">
        <v>43466</v>
      </c>
      <c r="Q11" s="2">
        <v>43497</v>
      </c>
      <c r="R11" s="2">
        <v>43525</v>
      </c>
      <c r="S11" s="2">
        <v>43556</v>
      </c>
      <c r="T11" s="2">
        <v>43586</v>
      </c>
      <c r="U11" s="2">
        <v>43617</v>
      </c>
      <c r="V11" s="2">
        <v>43647</v>
      </c>
      <c r="W11" s="2">
        <v>43678</v>
      </c>
      <c r="X11" s="2">
        <v>43709</v>
      </c>
      <c r="Y11" s="2">
        <v>43739</v>
      </c>
      <c r="Z11" s="2">
        <v>43770</v>
      </c>
      <c r="AA11" s="2">
        <v>43800</v>
      </c>
      <c r="AB11" s="2">
        <v>43831</v>
      </c>
      <c r="AC11" s="2">
        <v>43862</v>
      </c>
      <c r="AD11" s="2">
        <v>43891</v>
      </c>
      <c r="AE11" s="2">
        <v>43922</v>
      </c>
      <c r="AF11" s="2">
        <v>43952</v>
      </c>
      <c r="AG11" s="2">
        <v>43983</v>
      </c>
      <c r="AH11" s="2">
        <v>44013</v>
      </c>
      <c r="AI11" s="2">
        <v>44044</v>
      </c>
      <c r="AJ11" s="2">
        <v>44075</v>
      </c>
      <c r="AK11" s="2">
        <v>44105</v>
      </c>
      <c r="AL11" s="2">
        <v>44136</v>
      </c>
      <c r="AM11" s="2">
        <v>44166</v>
      </c>
      <c r="AN11" s="2">
        <v>44197</v>
      </c>
      <c r="AO11" s="2">
        <v>44228</v>
      </c>
      <c r="AP11" s="2">
        <v>44256</v>
      </c>
      <c r="AQ11" s="2">
        <v>44287</v>
      </c>
      <c r="AR11" s="2">
        <v>44317</v>
      </c>
      <c r="AS11" s="2">
        <v>44348</v>
      </c>
      <c r="AT11" s="2">
        <v>44378</v>
      </c>
      <c r="AU11" s="2">
        <v>44409</v>
      </c>
      <c r="AV11" s="2">
        <v>44440</v>
      </c>
      <c r="AW11" s="2">
        <v>44470</v>
      </c>
      <c r="AX11" s="2">
        <v>44501</v>
      </c>
      <c r="AY11" s="2">
        <v>44531</v>
      </c>
      <c r="AZ11" s="2">
        <v>44562</v>
      </c>
      <c r="BA11" s="2">
        <v>44593</v>
      </c>
      <c r="BB11" s="2">
        <v>44621</v>
      </c>
      <c r="BC11" s="2">
        <v>44652</v>
      </c>
      <c r="BD11" s="2">
        <v>44682</v>
      </c>
      <c r="BE11" s="2">
        <v>44713</v>
      </c>
      <c r="BF11" s="2">
        <v>44743</v>
      </c>
      <c r="BG11" s="2">
        <v>44774</v>
      </c>
      <c r="BH11" s="2">
        <v>44805</v>
      </c>
      <c r="BI11" s="2">
        <v>44835</v>
      </c>
      <c r="BJ11" s="2">
        <v>44866</v>
      </c>
      <c r="BK11" s="2">
        <v>44896</v>
      </c>
      <c r="BL11" s="2">
        <v>44927</v>
      </c>
      <c r="BM11" s="2">
        <v>44958</v>
      </c>
      <c r="BN11" s="2">
        <v>44986</v>
      </c>
      <c r="BO11" s="2">
        <v>45017</v>
      </c>
      <c r="BP11" s="2">
        <v>45047</v>
      </c>
      <c r="BQ11" s="2">
        <v>45078</v>
      </c>
      <c r="BR11" s="2">
        <v>45108</v>
      </c>
      <c r="BS11" s="2">
        <v>45139</v>
      </c>
      <c r="BT11" s="2">
        <v>45170</v>
      </c>
      <c r="BU11" s="2">
        <v>45200</v>
      </c>
      <c r="BV11" s="2">
        <v>45231</v>
      </c>
      <c r="BW11" s="2">
        <v>45261</v>
      </c>
      <c r="BX11" s="2">
        <v>45292</v>
      </c>
      <c r="BY11" s="2">
        <v>45323</v>
      </c>
      <c r="BZ11" s="2">
        <v>45352</v>
      </c>
      <c r="CA11" s="2">
        <v>45383</v>
      </c>
      <c r="CB11" s="2">
        <v>45413</v>
      </c>
      <c r="CC11" s="2">
        <v>45444</v>
      </c>
      <c r="CD11" s="2">
        <v>45474</v>
      </c>
      <c r="CE11" s="2">
        <v>45505</v>
      </c>
      <c r="CF11" s="2">
        <v>45536</v>
      </c>
      <c r="CG11" s="2">
        <v>45566</v>
      </c>
      <c r="CH11" s="2">
        <v>45597</v>
      </c>
      <c r="CI11" s="2">
        <v>45627</v>
      </c>
      <c r="CJ11" s="2">
        <v>45658</v>
      </c>
      <c r="CK11" s="2">
        <v>45689</v>
      </c>
      <c r="CL11" s="2">
        <v>45717</v>
      </c>
      <c r="CM11" s="2">
        <v>45748</v>
      </c>
      <c r="CN11" s="2">
        <v>45778</v>
      </c>
      <c r="CO11" s="2">
        <v>45809</v>
      </c>
      <c r="CP11" s="2">
        <v>45839</v>
      </c>
      <c r="CQ11" s="2">
        <v>45870</v>
      </c>
      <c r="CR11" s="2">
        <v>45901</v>
      </c>
      <c r="CS11" s="2">
        <v>45931</v>
      </c>
      <c r="CT11" s="2">
        <v>45962</v>
      </c>
      <c r="CU11" s="2">
        <v>45992</v>
      </c>
      <c r="CV11" s="2">
        <v>46023</v>
      </c>
      <c r="CW11" s="2">
        <v>46054</v>
      </c>
      <c r="CX11" s="2">
        <v>46082</v>
      </c>
      <c r="CY11" s="2">
        <v>46113</v>
      </c>
      <c r="CZ11" s="2">
        <v>46143</v>
      </c>
      <c r="DA11" s="2">
        <v>46174</v>
      </c>
      <c r="DB11" s="2">
        <v>46204</v>
      </c>
      <c r="DC11" s="2">
        <v>46235</v>
      </c>
      <c r="DD11" s="31">
        <v>46266</v>
      </c>
      <c r="DE11" s="2"/>
      <c r="DF11" s="2"/>
      <c r="DG11" s="2"/>
      <c r="DH11" s="2"/>
      <c r="DI11" s="2"/>
      <c r="DJ11" s="2"/>
      <c r="DK11" s="2"/>
      <c r="DL11" s="2"/>
      <c r="DM11" s="2"/>
      <c r="DN11" s="2"/>
      <c r="DO11" s="2"/>
      <c r="DP11" s="2"/>
      <c r="DQ11" s="2"/>
      <c r="DR11" s="2"/>
      <c r="DS11" s="2"/>
      <c r="DT11" s="2"/>
      <c r="DU11" s="2"/>
      <c r="DV11" s="2"/>
      <c r="DW11" s="2"/>
      <c r="DX11" s="2"/>
      <c r="DY11" s="2"/>
      <c r="DZ11" s="2"/>
      <c r="EA11" s="2"/>
      <c r="EB11" s="2"/>
      <c r="EC11" s="31"/>
      <c r="ED11" s="2"/>
      <c r="EE11" s="2"/>
      <c r="EF11" s="2"/>
      <c r="EG11" s="2"/>
      <c r="EH11" s="2"/>
      <c r="EI11" s="2"/>
      <c r="EJ11" s="2"/>
      <c r="EK11" s="2"/>
      <c r="EL11" s="2"/>
      <c r="EM11" s="2"/>
      <c r="EN11" s="2"/>
      <c r="EO11" s="2"/>
      <c r="EP11" s="2"/>
      <c r="EQ11" s="2"/>
      <c r="ER11" s="2"/>
      <c r="ES11" s="2"/>
      <c r="ET11" s="2"/>
      <c r="EU11" s="2"/>
      <c r="EV11" s="2"/>
      <c r="EW11" s="2"/>
      <c r="EX11" s="2"/>
      <c r="EY11" s="2"/>
      <c r="EZ11" s="2"/>
      <c r="FA11" s="2"/>
      <c r="FB11" s="2"/>
      <c r="FC11" s="2"/>
      <c r="FD11" s="2"/>
      <c r="FE11" s="2"/>
      <c r="FF11" s="2"/>
      <c r="FG11" s="2"/>
      <c r="FH11" s="2"/>
      <c r="FI11" s="2"/>
      <c r="FJ11" s="2"/>
      <c r="FK11" s="2"/>
      <c r="FL11" s="31"/>
      <c r="FM11" s="2"/>
      <c r="FN11" s="2"/>
      <c r="FO11" s="2"/>
      <c r="FP11" s="2"/>
      <c r="FQ11" s="2"/>
      <c r="FR11" s="2"/>
      <c r="FS11" s="2"/>
      <c r="FT11" s="2"/>
      <c r="FU11" s="2"/>
      <c r="FV11" s="2"/>
      <c r="FW11" s="2"/>
      <c r="FX11" s="2"/>
      <c r="FY11" s="2"/>
      <c r="FZ11" s="2"/>
      <c r="GA11" s="2"/>
      <c r="GB11" s="2"/>
      <c r="GC11" s="2"/>
      <c r="GD11" s="2"/>
      <c r="GE11" s="2"/>
      <c r="GF11" s="2"/>
      <c r="GG11" s="2"/>
      <c r="GH11" s="2"/>
      <c r="GI11" s="2"/>
      <c r="GJ11" s="2"/>
      <c r="GK11" s="2"/>
      <c r="GL11" s="2"/>
      <c r="GM11" s="2"/>
      <c r="GN11" s="2"/>
      <c r="GO11" s="2"/>
      <c r="GP11" s="2"/>
      <c r="GQ11" s="2"/>
      <c r="GR11" s="2"/>
      <c r="GS11" s="2"/>
      <c r="GT11" s="2"/>
      <c r="GU11" s="2"/>
      <c r="GV11" s="2"/>
      <c r="GW11" s="2"/>
      <c r="GX11" s="2"/>
      <c r="GY11" s="2"/>
      <c r="GZ11" s="2"/>
      <c r="HA11" s="2"/>
      <c r="HB11" s="2"/>
      <c r="HC11" s="2"/>
      <c r="HD11" s="2"/>
      <c r="HE11" s="2"/>
      <c r="HF11" s="2"/>
      <c r="HG11" s="2"/>
      <c r="HH11" s="2"/>
      <c r="HI11" s="2"/>
      <c r="HJ11" s="2"/>
      <c r="HK11" s="2"/>
      <c r="HL11" s="2"/>
      <c r="HM11" s="2"/>
      <c r="HN11" s="2"/>
      <c r="HO11" s="2"/>
      <c r="HP11" s="2"/>
      <c r="HQ11" s="2"/>
      <c r="HR11" s="2"/>
      <c r="HS11" s="2"/>
      <c r="HT11" s="2"/>
      <c r="HU11" s="2"/>
      <c r="HV11" s="2"/>
      <c r="HW11" s="2"/>
      <c r="HX11" s="2"/>
      <c r="HY11" s="2"/>
      <c r="HZ11" s="2"/>
      <c r="IA11" s="2"/>
      <c r="IB11" s="2"/>
      <c r="IC11" s="2"/>
      <c r="ID11" s="2"/>
      <c r="IE11" s="2"/>
      <c r="IF11" s="2"/>
      <c r="IG11" s="2"/>
      <c r="IH11" s="2"/>
      <c r="II11" s="2"/>
      <c r="IJ11" s="2"/>
      <c r="IK11" s="2"/>
      <c r="IL11" s="2"/>
      <c r="IM11" s="2"/>
      <c r="IN11" s="2"/>
      <c r="IO11" s="2"/>
      <c r="IP11" s="2"/>
      <c r="IQ11" s="2"/>
      <c r="IR11" s="2"/>
      <c r="IS11" s="2"/>
      <c r="IT11" s="2"/>
      <c r="IU11" s="2"/>
      <c r="IV11" s="2"/>
      <c r="IW11" s="2"/>
      <c r="IX11" s="31"/>
      <c r="IY11" t="s">
        <v>18</v>
      </c>
    </row>
    <row r="12" spans="1:259" ht="15" customHeight="1" x14ac:dyDescent="0.25">
      <c r="A12" s="561"/>
      <c r="B12" s="564" t="s">
        <v>0</v>
      </c>
      <c r="C12" s="9" t="s">
        <v>22</v>
      </c>
      <c r="D12" s="5">
        <v>1</v>
      </c>
      <c r="E12" s="5">
        <v>0</v>
      </c>
      <c r="F12" s="5">
        <v>0</v>
      </c>
      <c r="G12" s="5">
        <v>1</v>
      </c>
      <c r="H12" s="5">
        <v>0</v>
      </c>
      <c r="I12" s="5">
        <v>0</v>
      </c>
      <c r="J12" s="5">
        <v>2</v>
      </c>
      <c r="K12" s="5">
        <v>3</v>
      </c>
      <c r="L12" s="5">
        <v>2</v>
      </c>
      <c r="M12" s="5">
        <v>1</v>
      </c>
      <c r="N12" s="5">
        <v>3</v>
      </c>
      <c r="O12" s="5">
        <v>3</v>
      </c>
      <c r="P12" s="5">
        <v>2</v>
      </c>
      <c r="Q12" s="5">
        <v>2</v>
      </c>
      <c r="R12" s="5">
        <v>5</v>
      </c>
      <c r="S12" s="5">
        <v>10</v>
      </c>
      <c r="T12" s="5">
        <v>4</v>
      </c>
      <c r="U12" s="5">
        <v>2</v>
      </c>
      <c r="V12" s="5">
        <v>3</v>
      </c>
      <c r="W12" s="5">
        <v>1</v>
      </c>
      <c r="X12" s="5">
        <v>3</v>
      </c>
      <c r="Y12" s="5">
        <v>10</v>
      </c>
      <c r="Z12" s="5">
        <v>9</v>
      </c>
      <c r="AA12" s="5">
        <v>8</v>
      </c>
      <c r="AB12" s="5">
        <v>11</v>
      </c>
      <c r="AC12" s="5">
        <v>19</v>
      </c>
      <c r="AD12" s="5">
        <v>13</v>
      </c>
      <c r="AE12" s="5">
        <v>6</v>
      </c>
      <c r="AF12" s="5">
        <v>7</v>
      </c>
      <c r="AG12" s="5">
        <v>2</v>
      </c>
      <c r="AH12" s="5">
        <v>0</v>
      </c>
      <c r="AI12" s="5">
        <v>0</v>
      </c>
      <c r="AJ12" s="5">
        <v>4</v>
      </c>
      <c r="AK12" s="5">
        <v>11</v>
      </c>
      <c r="AL12" s="5">
        <v>5</v>
      </c>
      <c r="AM12" s="5">
        <v>19</v>
      </c>
      <c r="AN12" s="5">
        <v>24</v>
      </c>
      <c r="AO12" s="5">
        <v>34</v>
      </c>
      <c r="AP12" s="5">
        <v>26</v>
      </c>
      <c r="AQ12" s="5">
        <v>19</v>
      </c>
      <c r="AR12" s="5">
        <v>21</v>
      </c>
      <c r="AS12" s="5">
        <v>60</v>
      </c>
      <c r="AT12" s="5">
        <v>29</v>
      </c>
      <c r="AU12" s="5">
        <v>18</v>
      </c>
      <c r="AV12" s="5">
        <v>28</v>
      </c>
      <c r="AW12" s="5">
        <v>38</v>
      </c>
      <c r="AX12" s="5">
        <v>33</v>
      </c>
      <c r="AY12" s="5">
        <v>50</v>
      </c>
      <c r="AZ12" s="5">
        <v>34</v>
      </c>
      <c r="BA12" s="5">
        <v>30</v>
      </c>
      <c r="BB12" s="5">
        <v>74</v>
      </c>
      <c r="BC12" s="5">
        <v>65</v>
      </c>
      <c r="BD12" s="5">
        <v>59</v>
      </c>
      <c r="BE12" s="5">
        <v>57</v>
      </c>
      <c r="BF12" s="5">
        <v>46</v>
      </c>
      <c r="BG12" s="5">
        <v>58</v>
      </c>
      <c r="BH12" s="5">
        <v>63</v>
      </c>
      <c r="BI12" s="5">
        <v>69</v>
      </c>
      <c r="BJ12" s="5">
        <v>50</v>
      </c>
      <c r="BK12" s="5">
        <v>49</v>
      </c>
      <c r="BL12" s="5">
        <v>58</v>
      </c>
      <c r="BM12" s="5">
        <v>44</v>
      </c>
      <c r="BN12" s="5">
        <v>52</v>
      </c>
      <c r="BO12" s="5">
        <v>13</v>
      </c>
      <c r="BP12" s="5">
        <v>34</v>
      </c>
      <c r="BQ12" s="5">
        <v>34</v>
      </c>
      <c r="BR12" s="5">
        <v>41</v>
      </c>
      <c r="BS12" s="5">
        <v>30</v>
      </c>
      <c r="BT12" s="5">
        <v>43</v>
      </c>
      <c r="BU12" s="5">
        <v>57</v>
      </c>
      <c r="BV12" s="5">
        <v>59</v>
      </c>
      <c r="BW12" s="5">
        <v>29</v>
      </c>
      <c r="BX12" s="5">
        <v>28</v>
      </c>
      <c r="BY12" s="5">
        <v>36</v>
      </c>
      <c r="BZ12" s="5">
        <v>74</v>
      </c>
      <c r="CA12" s="5">
        <v>47</v>
      </c>
      <c r="CB12" s="5">
        <v>46</v>
      </c>
      <c r="CC12" s="5">
        <v>90</v>
      </c>
      <c r="CD12" s="5">
        <v>80</v>
      </c>
      <c r="CE12" s="5">
        <v>88</v>
      </c>
      <c r="CF12" s="5">
        <v>38</v>
      </c>
      <c r="CG12" s="5">
        <v>85</v>
      </c>
      <c r="CH12" s="5">
        <v>53</v>
      </c>
      <c r="CI12" s="5">
        <v>53</v>
      </c>
      <c r="CJ12" s="5">
        <v>34</v>
      </c>
      <c r="CK12" s="5">
        <v>10</v>
      </c>
      <c r="CL12" s="5">
        <v>32</v>
      </c>
      <c r="CM12" s="5">
        <v>33</v>
      </c>
      <c r="CN12" s="5">
        <v>11</v>
      </c>
      <c r="CO12" s="5">
        <v>7</v>
      </c>
      <c r="CP12" s="5">
        <v>7</v>
      </c>
      <c r="CQ12" s="5">
        <v>1</v>
      </c>
      <c r="CR12" s="5">
        <v>1</v>
      </c>
      <c r="CS12" s="5">
        <v>1</v>
      </c>
      <c r="CT12" s="5">
        <v>5</v>
      </c>
      <c r="CU12" s="5">
        <v>5</v>
      </c>
      <c r="CV12" s="5">
        <v>1</v>
      </c>
      <c r="CW12" s="5">
        <v>1</v>
      </c>
      <c r="CX12" s="5">
        <v>0</v>
      </c>
      <c r="CY12" s="5">
        <v>0</v>
      </c>
      <c r="CZ12" s="5">
        <v>0</v>
      </c>
      <c r="DA12" s="5">
        <v>0</v>
      </c>
      <c r="DB12" s="5">
        <v>0</v>
      </c>
      <c r="DC12" s="5">
        <v>0</v>
      </c>
      <c r="DD12" s="13">
        <v>0</v>
      </c>
      <c r="DE12" s="42"/>
      <c r="DF12" s="42"/>
      <c r="DG12" s="42"/>
      <c r="DH12" s="42"/>
      <c r="DI12" s="42"/>
      <c r="DJ12" s="42"/>
      <c r="DK12" s="42"/>
      <c r="DL12" s="42"/>
      <c r="DM12" s="42"/>
      <c r="DN12" s="42"/>
      <c r="DO12" s="42"/>
      <c r="DP12" s="42"/>
      <c r="DQ12" s="42"/>
      <c r="DR12" s="42"/>
      <c r="DS12" s="42"/>
      <c r="DT12" s="42"/>
      <c r="DU12" s="42"/>
      <c r="DV12" s="42"/>
      <c r="DW12" s="42"/>
      <c r="DX12" s="42"/>
      <c r="DY12" s="42"/>
      <c r="DZ12" s="42"/>
      <c r="EA12" s="42"/>
      <c r="EB12" s="42"/>
      <c r="EC12" s="43"/>
      <c r="ED12" s="42"/>
      <c r="EE12" s="42"/>
      <c r="EF12" s="42"/>
      <c r="EG12" s="42"/>
      <c r="EH12" s="42"/>
      <c r="EI12" s="42"/>
      <c r="EJ12" s="42"/>
      <c r="EK12" s="42"/>
      <c r="EL12" s="42"/>
      <c r="EM12" s="42"/>
      <c r="EN12" s="42"/>
      <c r="EO12" s="42"/>
      <c r="EP12" s="42"/>
      <c r="EQ12" s="42"/>
      <c r="ER12" s="42"/>
      <c r="ES12" s="42"/>
      <c r="ET12" s="42"/>
      <c r="EU12" s="42"/>
      <c r="EV12" s="42"/>
      <c r="EW12" s="42"/>
      <c r="EX12" s="42"/>
      <c r="EY12" s="42"/>
      <c r="EZ12" s="42"/>
      <c r="FA12" s="42"/>
      <c r="FB12" s="42"/>
      <c r="FC12" s="42"/>
      <c r="FD12" s="42"/>
      <c r="FE12" s="42"/>
      <c r="FF12" s="42"/>
      <c r="FG12" s="42"/>
      <c r="FH12" s="42"/>
      <c r="FI12" s="42"/>
      <c r="FJ12" s="42"/>
      <c r="FK12" s="42"/>
      <c r="FL12" s="43"/>
      <c r="FM12" s="42"/>
      <c r="FN12" s="42"/>
      <c r="FO12" s="42"/>
      <c r="FP12" s="42"/>
      <c r="FQ12" s="42"/>
      <c r="FR12" s="42"/>
      <c r="FS12" s="42"/>
      <c r="FT12" s="42"/>
      <c r="FU12" s="42"/>
      <c r="FV12" s="42"/>
      <c r="FW12" s="42"/>
      <c r="FX12" s="42"/>
      <c r="FY12" s="42"/>
      <c r="FZ12" s="42"/>
      <c r="GA12" s="42"/>
      <c r="GB12" s="42"/>
      <c r="GC12" s="42"/>
      <c r="GD12" s="42"/>
      <c r="GE12" s="42"/>
      <c r="GF12" s="42"/>
      <c r="GG12" s="42"/>
      <c r="GH12" s="42"/>
      <c r="GI12" s="42"/>
      <c r="GJ12" s="42"/>
      <c r="GK12" s="42"/>
      <c r="GL12" s="42"/>
      <c r="GM12" s="42"/>
      <c r="GN12" s="42"/>
      <c r="GO12" s="42"/>
      <c r="GP12" s="42"/>
      <c r="GQ12" s="42"/>
      <c r="GR12" s="42"/>
      <c r="GS12" s="42"/>
      <c r="GT12" s="42"/>
      <c r="GU12" s="42"/>
      <c r="GV12" s="42"/>
      <c r="GW12" s="42"/>
      <c r="GX12" s="42"/>
      <c r="GY12" s="42"/>
      <c r="GZ12" s="42"/>
      <c r="HA12" s="42"/>
      <c r="HB12" s="42"/>
      <c r="HC12" s="42"/>
      <c r="HD12" s="42"/>
      <c r="HE12" s="42"/>
      <c r="HF12" s="42"/>
      <c r="HG12" s="42"/>
      <c r="HH12" s="42"/>
      <c r="HI12" s="42"/>
      <c r="HJ12" s="42"/>
      <c r="HK12" s="42"/>
      <c r="HL12" s="42"/>
      <c r="HM12" s="42"/>
      <c r="HN12" s="42"/>
      <c r="HO12" s="42"/>
      <c r="HP12" s="42"/>
      <c r="HQ12" s="42"/>
      <c r="HR12" s="42"/>
      <c r="HS12" s="42"/>
      <c r="HT12" s="42"/>
      <c r="HU12" s="42"/>
      <c r="HV12" s="42"/>
      <c r="HW12" s="42"/>
      <c r="HX12" s="42"/>
      <c r="HY12" s="42"/>
      <c r="HZ12" s="42"/>
      <c r="IA12" s="42"/>
      <c r="IB12" s="42"/>
      <c r="IC12" s="42"/>
      <c r="ID12" s="42"/>
      <c r="IE12" s="42"/>
      <c r="IF12" s="42"/>
      <c r="IG12" s="42"/>
      <c r="IH12" s="42"/>
      <c r="II12" s="42"/>
      <c r="IJ12" s="42"/>
      <c r="IK12" s="42"/>
      <c r="IL12" s="42"/>
      <c r="IM12" s="42"/>
      <c r="IN12" s="42"/>
      <c r="IO12" s="42"/>
      <c r="IP12" s="42"/>
      <c r="IQ12" s="42"/>
      <c r="IR12" s="42"/>
      <c r="IS12" s="42"/>
      <c r="IT12" s="42"/>
      <c r="IU12" s="42"/>
      <c r="IV12" s="42"/>
      <c r="IW12" s="42"/>
      <c r="IX12" s="43"/>
      <c r="IY12">
        <f>MAX(BG12:ED12)</f>
        <v>90</v>
      </c>
    </row>
    <row r="13" spans="1:259" ht="15" customHeight="1" x14ac:dyDescent="0.25">
      <c r="A13" s="561"/>
      <c r="B13" s="565"/>
      <c r="C13" s="11" t="s">
        <v>23</v>
      </c>
      <c r="D13" s="4">
        <v>8</v>
      </c>
      <c r="E13" s="3">
        <v>0</v>
      </c>
      <c r="F13" s="3">
        <v>0</v>
      </c>
      <c r="G13" s="4">
        <v>1</v>
      </c>
      <c r="H13" s="3">
        <v>0</v>
      </c>
      <c r="I13" s="3">
        <v>0</v>
      </c>
      <c r="J13" s="4">
        <v>2</v>
      </c>
      <c r="K13" s="4">
        <v>3</v>
      </c>
      <c r="L13" s="4">
        <v>2</v>
      </c>
      <c r="M13" s="4">
        <v>1</v>
      </c>
      <c r="N13" s="4">
        <v>3</v>
      </c>
      <c r="O13" s="4">
        <v>3</v>
      </c>
      <c r="P13" s="4">
        <v>2</v>
      </c>
      <c r="Q13" s="4">
        <v>2</v>
      </c>
      <c r="R13" s="4">
        <v>4</v>
      </c>
      <c r="S13" s="4">
        <v>5</v>
      </c>
      <c r="T13" s="4">
        <v>4</v>
      </c>
      <c r="U13" s="4">
        <v>7</v>
      </c>
      <c r="V13" s="4">
        <v>3</v>
      </c>
      <c r="W13" s="4">
        <v>2</v>
      </c>
      <c r="X13" s="4">
        <v>3</v>
      </c>
      <c r="Y13" s="4">
        <v>7</v>
      </c>
      <c r="Z13" s="4">
        <v>4</v>
      </c>
      <c r="AA13" s="4">
        <v>7</v>
      </c>
      <c r="AB13" s="4">
        <v>9</v>
      </c>
      <c r="AC13" s="4">
        <v>21</v>
      </c>
      <c r="AD13" s="4">
        <v>14</v>
      </c>
      <c r="AE13" s="4">
        <v>3</v>
      </c>
      <c r="AF13" s="4">
        <v>6</v>
      </c>
      <c r="AG13" s="4">
        <v>2</v>
      </c>
      <c r="AH13" s="4">
        <v>1</v>
      </c>
      <c r="AI13" s="3">
        <v>0</v>
      </c>
      <c r="AJ13" s="4">
        <v>4</v>
      </c>
      <c r="AK13" s="4">
        <v>11</v>
      </c>
      <c r="AL13" s="4">
        <v>6</v>
      </c>
      <c r="AM13" s="4">
        <v>24</v>
      </c>
      <c r="AN13" s="4">
        <v>25</v>
      </c>
      <c r="AO13" s="4">
        <v>26</v>
      </c>
      <c r="AP13" s="4">
        <v>24</v>
      </c>
      <c r="AQ13" s="4">
        <v>29</v>
      </c>
      <c r="AR13" s="4">
        <v>24</v>
      </c>
      <c r="AS13" s="4">
        <v>52</v>
      </c>
      <c r="AT13" s="4">
        <v>31</v>
      </c>
      <c r="AU13" s="4">
        <v>18</v>
      </c>
      <c r="AV13" s="4">
        <v>14</v>
      </c>
      <c r="AW13" s="4">
        <v>17</v>
      </c>
      <c r="AX13" s="4">
        <v>29</v>
      </c>
      <c r="AY13" s="4">
        <v>37</v>
      </c>
      <c r="AZ13" s="4">
        <v>35</v>
      </c>
      <c r="BA13" s="4">
        <v>27</v>
      </c>
      <c r="BB13" s="4">
        <v>61</v>
      </c>
      <c r="BC13" s="4">
        <v>54</v>
      </c>
      <c r="BD13" s="4">
        <v>39</v>
      </c>
      <c r="BE13" s="4">
        <v>31</v>
      </c>
      <c r="BF13" s="4">
        <v>47</v>
      </c>
      <c r="BG13" s="4">
        <v>43</v>
      </c>
      <c r="BH13" s="4">
        <v>36</v>
      </c>
      <c r="BI13" s="4">
        <v>76</v>
      </c>
      <c r="BJ13" s="4">
        <v>48</v>
      </c>
      <c r="BK13" s="4">
        <v>45</v>
      </c>
      <c r="BL13" s="4">
        <v>42</v>
      </c>
      <c r="BM13" s="4">
        <v>45</v>
      </c>
      <c r="BN13" s="4">
        <v>40</v>
      </c>
      <c r="BO13" s="4">
        <v>43</v>
      </c>
      <c r="BP13" s="4">
        <v>35</v>
      </c>
      <c r="BQ13" s="4">
        <v>27</v>
      </c>
      <c r="BR13" s="4">
        <v>46</v>
      </c>
      <c r="BS13" s="4">
        <v>34</v>
      </c>
      <c r="BT13" s="4">
        <v>34</v>
      </c>
      <c r="BU13" s="4">
        <v>60</v>
      </c>
      <c r="BV13" s="4">
        <v>71</v>
      </c>
      <c r="BW13" s="4">
        <v>34</v>
      </c>
      <c r="BX13" s="4">
        <v>35</v>
      </c>
      <c r="BY13" s="4">
        <v>63</v>
      </c>
      <c r="BZ13" s="4">
        <v>61</v>
      </c>
      <c r="CA13" s="4">
        <v>59</v>
      </c>
      <c r="CB13" s="4">
        <v>40</v>
      </c>
      <c r="CC13" s="4">
        <v>49</v>
      </c>
      <c r="CD13" s="4">
        <v>52</v>
      </c>
      <c r="CE13" s="4">
        <v>39</v>
      </c>
      <c r="CF13" s="4">
        <v>22</v>
      </c>
      <c r="CG13" s="4">
        <v>42</v>
      </c>
      <c r="CH13" s="4">
        <v>33</v>
      </c>
      <c r="CI13" s="4">
        <v>56</v>
      </c>
      <c r="CJ13" s="4">
        <v>42</v>
      </c>
      <c r="CK13" s="4">
        <v>36</v>
      </c>
      <c r="CL13" s="4">
        <v>56</v>
      </c>
      <c r="CM13" s="4">
        <v>82</v>
      </c>
      <c r="CN13" s="4">
        <v>70</v>
      </c>
      <c r="CO13" s="4">
        <v>55</v>
      </c>
      <c r="CP13" s="4">
        <v>47</v>
      </c>
      <c r="CQ13" s="4">
        <v>24</v>
      </c>
      <c r="CR13" s="4">
        <v>12</v>
      </c>
      <c r="CS13" s="4">
        <v>26</v>
      </c>
      <c r="CT13" s="4">
        <v>19</v>
      </c>
      <c r="CU13" s="4">
        <v>19</v>
      </c>
      <c r="CV13" s="4">
        <v>25</v>
      </c>
      <c r="CW13" s="4">
        <v>8</v>
      </c>
      <c r="CX13" s="4">
        <v>6</v>
      </c>
      <c r="CY13" s="4">
        <v>1</v>
      </c>
      <c r="CZ13" s="4">
        <v>2</v>
      </c>
      <c r="DA13" s="3">
        <v>0</v>
      </c>
      <c r="DB13" s="4">
        <v>2</v>
      </c>
      <c r="DC13" s="3">
        <v>0</v>
      </c>
      <c r="DD13" s="12">
        <v>0</v>
      </c>
      <c r="DE13" s="44"/>
      <c r="DF13" s="44"/>
      <c r="DG13" s="44"/>
      <c r="DH13" s="44"/>
      <c r="DI13" s="44"/>
      <c r="DJ13" s="44"/>
      <c r="DK13" s="44"/>
      <c r="DL13" s="44"/>
      <c r="DM13" s="44"/>
      <c r="DN13" s="44"/>
      <c r="DO13" s="44"/>
      <c r="DP13" s="44"/>
      <c r="DQ13" s="44"/>
      <c r="DR13" s="44"/>
      <c r="DS13" s="44"/>
      <c r="DT13" s="44"/>
      <c r="DU13" s="44"/>
      <c r="DV13" s="44"/>
      <c r="DW13" s="44"/>
      <c r="DX13" s="44"/>
      <c r="DY13" s="44"/>
      <c r="DZ13" s="44"/>
      <c r="EA13" s="44"/>
      <c r="EB13" s="44"/>
      <c r="EC13" s="45"/>
      <c r="ED13" s="44"/>
      <c r="EE13" s="44"/>
      <c r="EF13" s="44"/>
      <c r="EG13" s="44"/>
      <c r="EH13" s="44"/>
      <c r="EI13" s="44"/>
      <c r="EJ13" s="44"/>
      <c r="EK13" s="44"/>
      <c r="EL13" s="44"/>
      <c r="EM13" s="44"/>
      <c r="EN13" s="44"/>
      <c r="EO13" s="44"/>
      <c r="EP13" s="44"/>
      <c r="EQ13" s="44"/>
      <c r="ER13" s="44"/>
      <c r="ES13" s="44"/>
      <c r="ET13" s="44"/>
      <c r="EU13" s="44"/>
      <c r="EV13" s="44"/>
      <c r="EW13" s="44"/>
      <c r="EX13" s="44"/>
      <c r="EY13" s="44"/>
      <c r="EZ13" s="44"/>
      <c r="FA13" s="44"/>
      <c r="FB13" s="44"/>
      <c r="FC13" s="44"/>
      <c r="FD13" s="44"/>
      <c r="FE13" s="44"/>
      <c r="FF13" s="44"/>
      <c r="FG13" s="44"/>
      <c r="FH13" s="44"/>
      <c r="FI13" s="44"/>
      <c r="FJ13" s="44"/>
      <c r="FK13" s="44"/>
      <c r="FL13" s="45"/>
      <c r="FM13" s="44"/>
      <c r="FN13" s="44"/>
      <c r="FO13" s="44"/>
      <c r="FP13" s="44"/>
      <c r="FQ13" s="44"/>
      <c r="FR13" s="44"/>
      <c r="FS13" s="44"/>
      <c r="FT13" s="44"/>
      <c r="FU13" s="44"/>
      <c r="FV13" s="44"/>
      <c r="FW13" s="44"/>
      <c r="FX13" s="44"/>
      <c r="FY13" s="44"/>
      <c r="FZ13" s="44"/>
      <c r="GA13" s="44"/>
      <c r="GB13" s="44"/>
      <c r="GC13" s="44"/>
      <c r="GD13" s="44"/>
      <c r="GE13" s="44"/>
      <c r="GF13" s="44"/>
      <c r="GG13" s="44"/>
      <c r="GH13" s="44"/>
      <c r="GI13" s="44"/>
      <c r="GJ13" s="44"/>
      <c r="GK13" s="44"/>
      <c r="GL13" s="44"/>
      <c r="GM13" s="44"/>
      <c r="GN13" s="44"/>
      <c r="GO13" s="44"/>
      <c r="GP13" s="44"/>
      <c r="GQ13" s="44"/>
      <c r="GR13" s="44"/>
      <c r="GS13" s="44"/>
      <c r="GT13" s="44"/>
      <c r="GU13" s="44"/>
      <c r="GV13" s="44"/>
      <c r="GW13" s="44"/>
      <c r="GX13" s="44"/>
      <c r="GY13" s="44"/>
      <c r="GZ13" s="44"/>
      <c r="HA13" s="44"/>
      <c r="HB13" s="44"/>
      <c r="HC13" s="44"/>
      <c r="HD13" s="44"/>
      <c r="HE13" s="44"/>
      <c r="HF13" s="44"/>
      <c r="HG13" s="44"/>
      <c r="HH13" s="44"/>
      <c r="HI13" s="44"/>
      <c r="HJ13" s="44"/>
      <c r="HK13" s="44"/>
      <c r="HL13" s="44"/>
      <c r="HM13" s="44"/>
      <c r="HN13" s="44"/>
      <c r="HO13" s="44"/>
      <c r="HP13" s="44"/>
      <c r="HQ13" s="44"/>
      <c r="HR13" s="44"/>
      <c r="HS13" s="44"/>
      <c r="HT13" s="44"/>
      <c r="HU13" s="44"/>
      <c r="HV13" s="44"/>
      <c r="HW13" s="44"/>
      <c r="HX13" s="44"/>
      <c r="HY13" s="44"/>
      <c r="HZ13" s="44"/>
      <c r="IA13" s="44"/>
      <c r="IB13" s="44"/>
      <c r="IC13" s="44"/>
      <c r="ID13" s="44"/>
      <c r="IE13" s="44"/>
      <c r="IF13" s="44"/>
      <c r="IG13" s="44"/>
      <c r="IH13" s="44"/>
      <c r="II13" s="44"/>
      <c r="IJ13" s="44"/>
      <c r="IK13" s="44"/>
      <c r="IL13" s="44"/>
      <c r="IM13" s="44"/>
      <c r="IN13" s="44"/>
      <c r="IO13" s="44"/>
      <c r="IP13" s="44"/>
      <c r="IQ13" s="44"/>
      <c r="IR13" s="44"/>
      <c r="IS13" s="44"/>
      <c r="IT13" s="44"/>
      <c r="IU13" s="44"/>
      <c r="IV13" s="44"/>
      <c r="IW13" s="44"/>
      <c r="IX13" s="45"/>
      <c r="IY13">
        <f t="shared" ref="IY13:IY23" si="0">MAX(BG13:ED13)</f>
        <v>82</v>
      </c>
    </row>
    <row r="14" spans="1:259" x14ac:dyDescent="0.25">
      <c r="A14" s="561"/>
      <c r="B14" s="565"/>
      <c r="C14" s="11" t="s">
        <v>24</v>
      </c>
      <c r="D14" s="1">
        <v>8</v>
      </c>
      <c r="E14" s="1">
        <v>0</v>
      </c>
      <c r="F14" s="1">
        <v>0</v>
      </c>
      <c r="G14" s="1">
        <v>1</v>
      </c>
      <c r="H14" s="1">
        <v>0</v>
      </c>
      <c r="I14" s="1">
        <v>0</v>
      </c>
      <c r="J14" s="1">
        <v>2</v>
      </c>
      <c r="K14" s="1">
        <v>3</v>
      </c>
      <c r="L14" s="1">
        <v>2</v>
      </c>
      <c r="M14" s="1">
        <v>1</v>
      </c>
      <c r="N14" s="1">
        <v>3</v>
      </c>
      <c r="O14" s="1">
        <v>3</v>
      </c>
      <c r="P14" s="1">
        <v>2</v>
      </c>
      <c r="Q14" s="1">
        <v>2</v>
      </c>
      <c r="R14" s="1">
        <v>4</v>
      </c>
      <c r="S14" s="1">
        <v>5</v>
      </c>
      <c r="T14" s="1">
        <v>4</v>
      </c>
      <c r="U14" s="1">
        <v>7</v>
      </c>
      <c r="V14" s="1">
        <v>3</v>
      </c>
      <c r="W14" s="1">
        <v>2</v>
      </c>
      <c r="X14" s="1">
        <v>3</v>
      </c>
      <c r="Y14" s="1">
        <v>7</v>
      </c>
      <c r="Z14" s="1">
        <v>4</v>
      </c>
      <c r="AA14" s="1">
        <v>7</v>
      </c>
      <c r="AB14" s="1">
        <v>9</v>
      </c>
      <c r="AC14" s="1">
        <v>21</v>
      </c>
      <c r="AD14" s="1">
        <v>14</v>
      </c>
      <c r="AE14" s="1">
        <v>3</v>
      </c>
      <c r="AF14" s="1">
        <v>6</v>
      </c>
      <c r="AG14" s="1">
        <v>2</v>
      </c>
      <c r="AH14" s="1">
        <v>1</v>
      </c>
      <c r="AI14" s="1">
        <v>0</v>
      </c>
      <c r="AJ14" s="1">
        <v>4</v>
      </c>
      <c r="AK14" s="1">
        <v>11</v>
      </c>
      <c r="AL14" s="1">
        <v>6</v>
      </c>
      <c r="AM14" s="1">
        <v>24</v>
      </c>
      <c r="AN14" s="1">
        <v>25</v>
      </c>
      <c r="AO14" s="1">
        <v>26</v>
      </c>
      <c r="AP14" s="1">
        <v>24</v>
      </c>
      <c r="AQ14" s="1">
        <v>29</v>
      </c>
      <c r="AR14" s="1">
        <v>24</v>
      </c>
      <c r="AS14" s="1">
        <v>52</v>
      </c>
      <c r="AT14" s="1">
        <v>31</v>
      </c>
      <c r="AU14" s="1">
        <v>18</v>
      </c>
      <c r="AV14" s="1">
        <v>14</v>
      </c>
      <c r="AW14" s="1">
        <v>17</v>
      </c>
      <c r="AX14" s="1">
        <v>29</v>
      </c>
      <c r="AY14" s="1">
        <v>37</v>
      </c>
      <c r="AZ14" s="1">
        <v>35</v>
      </c>
      <c r="BA14" s="1">
        <v>27</v>
      </c>
      <c r="BB14" s="1">
        <v>61</v>
      </c>
      <c r="BC14" s="1">
        <v>54</v>
      </c>
      <c r="BD14" s="1">
        <v>39</v>
      </c>
      <c r="BE14" s="1">
        <v>31</v>
      </c>
      <c r="BF14" s="1">
        <v>47</v>
      </c>
      <c r="BG14" s="1">
        <v>43</v>
      </c>
      <c r="BH14" s="1">
        <v>36</v>
      </c>
      <c r="BI14" s="1">
        <v>76</v>
      </c>
      <c r="BJ14" s="1">
        <v>48</v>
      </c>
      <c r="BK14" s="1">
        <v>45</v>
      </c>
      <c r="BL14" s="1">
        <v>42</v>
      </c>
      <c r="BM14" s="1">
        <v>45</v>
      </c>
      <c r="BN14" s="1">
        <v>40</v>
      </c>
      <c r="BO14" s="1">
        <v>43</v>
      </c>
      <c r="BP14" s="1">
        <v>35</v>
      </c>
      <c r="BQ14" s="1">
        <v>27</v>
      </c>
      <c r="BR14" s="1">
        <v>46</v>
      </c>
      <c r="BS14" s="1">
        <v>34</v>
      </c>
      <c r="BT14" s="1">
        <v>34</v>
      </c>
      <c r="BU14" s="1">
        <v>60</v>
      </c>
      <c r="BV14" s="1">
        <v>71</v>
      </c>
      <c r="BW14" s="1">
        <v>34</v>
      </c>
      <c r="BX14" s="1">
        <v>35</v>
      </c>
      <c r="BY14" s="1">
        <v>63</v>
      </c>
      <c r="BZ14" s="1">
        <v>61</v>
      </c>
      <c r="CA14" s="1">
        <v>59</v>
      </c>
      <c r="CB14" s="1">
        <v>40</v>
      </c>
      <c r="CC14" s="1">
        <v>49</v>
      </c>
      <c r="CD14" s="1">
        <v>52</v>
      </c>
      <c r="CE14" s="1">
        <v>39</v>
      </c>
      <c r="CF14" s="1">
        <v>22</v>
      </c>
      <c r="CG14" s="1">
        <v>42</v>
      </c>
      <c r="CH14" s="1">
        <v>33</v>
      </c>
      <c r="CI14" s="1">
        <v>56</v>
      </c>
      <c r="CJ14" s="1">
        <v>42</v>
      </c>
      <c r="CK14" s="1">
        <v>36</v>
      </c>
      <c r="CL14" s="1">
        <v>42</v>
      </c>
      <c r="CM14" s="1">
        <v>0</v>
      </c>
      <c r="CN14" s="1">
        <v>0</v>
      </c>
      <c r="CO14" s="1">
        <v>0</v>
      </c>
      <c r="CP14" s="1">
        <v>0</v>
      </c>
      <c r="CQ14" s="1">
        <v>0</v>
      </c>
      <c r="CR14" s="1">
        <v>0</v>
      </c>
      <c r="CS14" s="1">
        <v>0</v>
      </c>
      <c r="CT14" s="1">
        <v>0</v>
      </c>
      <c r="CU14" s="1">
        <v>0</v>
      </c>
      <c r="CV14" s="1">
        <v>0</v>
      </c>
      <c r="CW14" s="1">
        <v>0</v>
      </c>
      <c r="CX14" s="1">
        <v>0</v>
      </c>
      <c r="CY14" s="1">
        <v>0</v>
      </c>
      <c r="CZ14" s="1">
        <v>0</v>
      </c>
      <c r="DA14" s="1">
        <v>0</v>
      </c>
      <c r="DB14" s="1">
        <v>0</v>
      </c>
      <c r="DC14" s="1">
        <v>0</v>
      </c>
      <c r="DD14" s="8">
        <v>0</v>
      </c>
      <c r="DE14" s="46"/>
      <c r="DF14" s="46"/>
      <c r="DG14" s="46"/>
      <c r="DH14" s="46"/>
      <c r="DI14" s="46"/>
      <c r="DJ14" s="46"/>
      <c r="DK14" s="46"/>
      <c r="DL14" s="46"/>
      <c r="DM14" s="46"/>
      <c r="DN14" s="46"/>
      <c r="DO14" s="46"/>
      <c r="DP14" s="46"/>
      <c r="DQ14" s="46"/>
      <c r="DR14" s="46"/>
      <c r="DS14" s="46"/>
      <c r="DT14" s="46"/>
      <c r="DU14" s="46"/>
      <c r="DV14" s="46"/>
      <c r="DW14" s="46"/>
      <c r="DX14" s="46"/>
      <c r="DY14" s="46"/>
      <c r="DZ14" s="46"/>
      <c r="EA14" s="46"/>
      <c r="EB14" s="46"/>
      <c r="EC14" s="47"/>
      <c r="ED14" s="46"/>
      <c r="EE14" s="46"/>
      <c r="EF14" s="46"/>
      <c r="EG14" s="46"/>
      <c r="EH14" s="46"/>
      <c r="EI14" s="46"/>
      <c r="EJ14" s="46"/>
      <c r="EK14" s="46"/>
      <c r="EL14" s="46"/>
      <c r="EM14" s="46"/>
      <c r="EN14" s="46"/>
      <c r="EO14" s="46"/>
      <c r="EP14" s="46"/>
      <c r="EQ14" s="46"/>
      <c r="ER14" s="46"/>
      <c r="ES14" s="46"/>
      <c r="ET14" s="46"/>
      <c r="EU14" s="46"/>
      <c r="EV14" s="46"/>
      <c r="EW14" s="46"/>
      <c r="EX14" s="46"/>
      <c r="EY14" s="46"/>
      <c r="EZ14" s="46"/>
      <c r="FA14" s="46"/>
      <c r="FB14" s="46"/>
      <c r="FC14" s="46"/>
      <c r="FD14" s="46"/>
      <c r="FE14" s="46"/>
      <c r="FF14" s="46"/>
      <c r="FG14" s="46"/>
      <c r="FH14" s="46"/>
      <c r="FI14" s="46"/>
      <c r="FJ14" s="46"/>
      <c r="FK14" s="46"/>
      <c r="FL14" s="47"/>
      <c r="FM14" s="46"/>
      <c r="FN14" s="46"/>
      <c r="FO14" s="46"/>
      <c r="FP14" s="46"/>
      <c r="FQ14" s="46"/>
      <c r="FR14" s="46"/>
      <c r="FS14" s="46"/>
      <c r="FT14" s="46"/>
      <c r="FU14" s="46"/>
      <c r="FV14" s="46"/>
      <c r="FW14" s="46"/>
      <c r="FX14" s="46"/>
      <c r="FY14" s="46"/>
      <c r="FZ14" s="46"/>
      <c r="GA14" s="46"/>
      <c r="GB14" s="46"/>
      <c r="GC14" s="46"/>
      <c r="GD14" s="46"/>
      <c r="GE14" s="46"/>
      <c r="GF14" s="46"/>
      <c r="GG14" s="46"/>
      <c r="GH14" s="46"/>
      <c r="GI14" s="46"/>
      <c r="GJ14" s="46"/>
      <c r="GK14" s="46"/>
      <c r="GL14" s="46"/>
      <c r="GM14" s="46"/>
      <c r="GN14" s="46"/>
      <c r="GO14" s="46"/>
      <c r="GP14" s="46"/>
      <c r="GQ14" s="46"/>
      <c r="GR14" s="46"/>
      <c r="GS14" s="46"/>
      <c r="GT14" s="46"/>
      <c r="GU14" s="46"/>
      <c r="GV14" s="46"/>
      <c r="GW14" s="46"/>
      <c r="GX14" s="46"/>
      <c r="GY14" s="46"/>
      <c r="GZ14" s="46"/>
      <c r="HA14" s="46"/>
      <c r="HB14" s="46"/>
      <c r="HC14" s="46"/>
      <c r="HD14" s="46"/>
      <c r="HE14" s="46"/>
      <c r="HF14" s="46"/>
      <c r="HG14" s="46"/>
      <c r="HH14" s="46"/>
      <c r="HI14" s="46"/>
      <c r="HJ14" s="46"/>
      <c r="HK14" s="46"/>
      <c r="HL14" s="46"/>
      <c r="HM14" s="46"/>
      <c r="HN14" s="46"/>
      <c r="HO14" s="46"/>
      <c r="HP14" s="46"/>
      <c r="HQ14" s="46"/>
      <c r="HR14" s="46"/>
      <c r="HS14" s="46"/>
      <c r="HT14" s="46"/>
      <c r="HU14" s="46"/>
      <c r="HV14" s="46"/>
      <c r="HW14" s="46"/>
      <c r="HX14" s="46"/>
      <c r="HY14" s="46"/>
      <c r="HZ14" s="46"/>
      <c r="IA14" s="46"/>
      <c r="IB14" s="46"/>
      <c r="IC14" s="46"/>
      <c r="ID14" s="46"/>
      <c r="IE14" s="46"/>
      <c r="IF14" s="46"/>
      <c r="IG14" s="46"/>
      <c r="IH14" s="46"/>
      <c r="II14" s="46"/>
      <c r="IJ14" s="46"/>
      <c r="IK14" s="46"/>
      <c r="IL14" s="46"/>
      <c r="IM14" s="46"/>
      <c r="IN14" s="46"/>
      <c r="IO14" s="46"/>
      <c r="IP14" s="46"/>
      <c r="IQ14" s="46"/>
      <c r="IR14" s="46"/>
      <c r="IS14" s="46"/>
      <c r="IT14" s="46"/>
      <c r="IU14" s="46"/>
      <c r="IV14" s="46"/>
      <c r="IW14" s="46"/>
      <c r="IX14" s="47"/>
      <c r="IY14">
        <f>MAX(BG14:ED14)</f>
        <v>76</v>
      </c>
    </row>
    <row r="15" spans="1:259" ht="15" customHeight="1" x14ac:dyDescent="0.25">
      <c r="A15" s="561"/>
      <c r="B15" s="565"/>
      <c r="C15" s="11" t="s">
        <v>25</v>
      </c>
      <c r="D15" s="1">
        <v>1</v>
      </c>
      <c r="E15" s="1">
        <v>0</v>
      </c>
      <c r="F15" s="1">
        <v>0</v>
      </c>
      <c r="G15" s="1">
        <v>0</v>
      </c>
      <c r="H15" s="1">
        <v>0</v>
      </c>
      <c r="I15" s="1">
        <v>0</v>
      </c>
      <c r="J15" s="1">
        <v>2</v>
      </c>
      <c r="K15" s="1">
        <v>3</v>
      </c>
      <c r="L15" s="1">
        <v>3</v>
      </c>
      <c r="M15" s="1">
        <v>1</v>
      </c>
      <c r="N15" s="1">
        <v>3</v>
      </c>
      <c r="O15" s="1">
        <v>1</v>
      </c>
      <c r="P15" s="1">
        <v>2</v>
      </c>
      <c r="Q15" s="1">
        <v>3</v>
      </c>
      <c r="R15" s="1">
        <v>3</v>
      </c>
      <c r="S15" s="1">
        <v>10</v>
      </c>
      <c r="T15" s="1">
        <v>5</v>
      </c>
      <c r="U15" s="1">
        <v>1</v>
      </c>
      <c r="V15" s="1">
        <v>3</v>
      </c>
      <c r="W15" s="1">
        <v>1</v>
      </c>
      <c r="X15" s="1">
        <v>3</v>
      </c>
      <c r="Y15" s="1">
        <v>8</v>
      </c>
      <c r="Z15" s="1">
        <v>8</v>
      </c>
      <c r="AA15" s="1">
        <v>8</v>
      </c>
      <c r="AB15" s="1">
        <v>8</v>
      </c>
      <c r="AC15" s="1">
        <v>14</v>
      </c>
      <c r="AD15" s="1">
        <v>11</v>
      </c>
      <c r="AE15" s="1">
        <v>5</v>
      </c>
      <c r="AF15" s="1">
        <v>13</v>
      </c>
      <c r="AG15" s="1">
        <v>5</v>
      </c>
      <c r="AH15" s="1">
        <v>0</v>
      </c>
      <c r="AI15" s="1">
        <v>2</v>
      </c>
      <c r="AJ15" s="1">
        <v>3</v>
      </c>
      <c r="AK15" s="1">
        <v>8</v>
      </c>
      <c r="AL15" s="1">
        <v>5</v>
      </c>
      <c r="AM15" s="1">
        <v>12</v>
      </c>
      <c r="AN15" s="1">
        <v>25</v>
      </c>
      <c r="AO15" s="1">
        <v>29</v>
      </c>
      <c r="AP15" s="1">
        <v>26</v>
      </c>
      <c r="AQ15" s="1">
        <v>20</v>
      </c>
      <c r="AR15" s="1">
        <v>11</v>
      </c>
      <c r="AS15" s="1">
        <v>30</v>
      </c>
      <c r="AT15" s="1">
        <v>13</v>
      </c>
      <c r="AU15" s="1">
        <v>20</v>
      </c>
      <c r="AV15" s="1">
        <v>40</v>
      </c>
      <c r="AW15" s="1">
        <v>36</v>
      </c>
      <c r="AX15" s="1">
        <v>38</v>
      </c>
      <c r="AY15" s="1">
        <v>58</v>
      </c>
      <c r="AZ15" s="1">
        <v>36</v>
      </c>
      <c r="BA15" s="1">
        <v>38</v>
      </c>
      <c r="BB15" s="1">
        <v>61</v>
      </c>
      <c r="BC15" s="1">
        <v>62</v>
      </c>
      <c r="BD15" s="1">
        <v>60</v>
      </c>
      <c r="BE15" s="1">
        <v>56</v>
      </c>
      <c r="BF15" s="1">
        <v>51</v>
      </c>
      <c r="BG15" s="1">
        <v>62</v>
      </c>
      <c r="BH15" s="1">
        <v>64</v>
      </c>
      <c r="BI15" s="1">
        <v>60</v>
      </c>
      <c r="BJ15" s="1">
        <v>52</v>
      </c>
      <c r="BK15" s="1">
        <v>62</v>
      </c>
      <c r="BL15" s="1">
        <v>53</v>
      </c>
      <c r="BM15" s="1">
        <v>49</v>
      </c>
      <c r="BN15" s="1">
        <v>41</v>
      </c>
      <c r="BO15" s="1">
        <v>15</v>
      </c>
      <c r="BP15" s="1">
        <v>55</v>
      </c>
      <c r="BQ15" s="1">
        <v>27</v>
      </c>
      <c r="BR15" s="1">
        <v>19</v>
      </c>
      <c r="BS15" s="1">
        <v>33</v>
      </c>
      <c r="BT15" s="1">
        <v>43</v>
      </c>
      <c r="BU15" s="1">
        <v>46</v>
      </c>
      <c r="BV15" s="1">
        <v>51</v>
      </c>
      <c r="BW15" s="1">
        <v>44</v>
      </c>
      <c r="BX15" s="1">
        <v>45</v>
      </c>
      <c r="BY15" s="1">
        <v>39</v>
      </c>
      <c r="BZ15" s="1">
        <v>63</v>
      </c>
      <c r="CA15" s="1">
        <v>49</v>
      </c>
      <c r="CB15" s="1">
        <v>56</v>
      </c>
      <c r="CC15" s="1">
        <v>81</v>
      </c>
      <c r="CD15" s="1">
        <v>78</v>
      </c>
      <c r="CE15" s="1">
        <v>106</v>
      </c>
      <c r="CF15" s="1">
        <v>58</v>
      </c>
      <c r="CG15" s="1">
        <v>90</v>
      </c>
      <c r="CH15" s="1">
        <v>47</v>
      </c>
      <c r="CI15" s="1">
        <v>50</v>
      </c>
      <c r="CJ15" s="1">
        <v>37</v>
      </c>
      <c r="CK15" s="1">
        <v>16</v>
      </c>
      <c r="CL15" s="1">
        <v>31</v>
      </c>
      <c r="CM15" s="1">
        <v>31</v>
      </c>
      <c r="CN15" s="1">
        <v>16</v>
      </c>
      <c r="CO15" s="1">
        <v>8</v>
      </c>
      <c r="CP15" s="1">
        <v>2</v>
      </c>
      <c r="CQ15" s="1">
        <v>3</v>
      </c>
      <c r="CR15" s="1">
        <v>6</v>
      </c>
      <c r="CS15" s="1">
        <v>2</v>
      </c>
      <c r="CT15" s="1">
        <v>2</v>
      </c>
      <c r="CU15" s="1">
        <v>6</v>
      </c>
      <c r="CV15" s="1">
        <v>3</v>
      </c>
      <c r="CW15" s="1">
        <v>1</v>
      </c>
      <c r="CX15" s="1">
        <v>0</v>
      </c>
      <c r="CY15" s="1">
        <v>0</v>
      </c>
      <c r="CZ15" s="1">
        <v>0</v>
      </c>
      <c r="DA15" s="1">
        <v>0</v>
      </c>
      <c r="DB15" s="1">
        <v>0</v>
      </c>
      <c r="DC15" s="1">
        <v>0</v>
      </c>
      <c r="DD15" s="8">
        <v>0</v>
      </c>
      <c r="DE15" s="46"/>
      <c r="DF15" s="46"/>
      <c r="DG15" s="46"/>
      <c r="DH15" s="46"/>
      <c r="DI15" s="46"/>
      <c r="DJ15" s="46"/>
      <c r="DK15" s="46"/>
      <c r="DL15" s="46"/>
      <c r="DM15" s="46"/>
      <c r="DN15" s="46"/>
      <c r="DO15" s="46"/>
      <c r="DP15" s="46"/>
      <c r="DQ15" s="46"/>
      <c r="DR15" s="46"/>
      <c r="DS15" s="46"/>
      <c r="DT15" s="46"/>
      <c r="DU15" s="46"/>
      <c r="DV15" s="46"/>
      <c r="DW15" s="46"/>
      <c r="DX15" s="46"/>
      <c r="DY15" s="46"/>
      <c r="DZ15" s="46"/>
      <c r="EA15" s="46"/>
      <c r="EB15" s="46"/>
      <c r="EC15" s="47"/>
      <c r="ED15" s="46"/>
      <c r="EE15" s="46"/>
      <c r="EF15" s="46"/>
      <c r="EG15" s="46"/>
      <c r="EH15" s="46"/>
      <c r="EI15" s="46"/>
      <c r="EJ15" s="46"/>
      <c r="EK15" s="46"/>
      <c r="EL15" s="46"/>
      <c r="EM15" s="46"/>
      <c r="EN15" s="46"/>
      <c r="EO15" s="46"/>
      <c r="EP15" s="46"/>
      <c r="EQ15" s="46"/>
      <c r="ER15" s="46"/>
      <c r="ES15" s="46"/>
      <c r="ET15" s="46"/>
      <c r="EU15" s="46"/>
      <c r="EV15" s="46"/>
      <c r="EW15" s="46"/>
      <c r="EX15" s="46"/>
      <c r="EY15" s="46"/>
      <c r="EZ15" s="46"/>
      <c r="FA15" s="46"/>
      <c r="FB15" s="46"/>
      <c r="FC15" s="46"/>
      <c r="FD15" s="46"/>
      <c r="FE15" s="46"/>
      <c r="FF15" s="46"/>
      <c r="FG15" s="46"/>
      <c r="FH15" s="46"/>
      <c r="FI15" s="46"/>
      <c r="FJ15" s="46"/>
      <c r="FK15" s="46"/>
      <c r="FL15" s="47"/>
      <c r="FM15" s="46"/>
      <c r="FN15" s="46"/>
      <c r="FO15" s="46"/>
      <c r="FP15" s="46"/>
      <c r="FQ15" s="46"/>
      <c r="FR15" s="46"/>
      <c r="FS15" s="46"/>
      <c r="FT15" s="46"/>
      <c r="FU15" s="46"/>
      <c r="FV15" s="46"/>
      <c r="FW15" s="46"/>
      <c r="FX15" s="46"/>
      <c r="FY15" s="46"/>
      <c r="FZ15" s="46"/>
      <c r="GA15" s="46"/>
      <c r="GB15" s="46"/>
      <c r="GC15" s="46"/>
      <c r="GD15" s="46"/>
      <c r="GE15" s="46"/>
      <c r="GF15" s="46"/>
      <c r="GG15" s="46"/>
      <c r="GH15" s="46"/>
      <c r="GI15" s="46"/>
      <c r="GJ15" s="46"/>
      <c r="GK15" s="46"/>
      <c r="GL15" s="46"/>
      <c r="GM15" s="46"/>
      <c r="GN15" s="46"/>
      <c r="GO15" s="46"/>
      <c r="GP15" s="46"/>
      <c r="GQ15" s="46"/>
      <c r="GR15" s="46"/>
      <c r="GS15" s="46"/>
      <c r="GT15" s="46"/>
      <c r="GU15" s="46"/>
      <c r="GV15" s="46"/>
      <c r="GW15" s="46"/>
      <c r="GX15" s="46"/>
      <c r="GY15" s="46"/>
      <c r="GZ15" s="46"/>
      <c r="HA15" s="46"/>
      <c r="HB15" s="46"/>
      <c r="HC15" s="46"/>
      <c r="HD15" s="46"/>
      <c r="HE15" s="46"/>
      <c r="HF15" s="46"/>
      <c r="HG15" s="46"/>
      <c r="HH15" s="46"/>
      <c r="HI15" s="46"/>
      <c r="HJ15" s="46"/>
      <c r="HK15" s="46"/>
      <c r="HL15" s="46"/>
      <c r="HM15" s="46"/>
      <c r="HN15" s="46"/>
      <c r="HO15" s="46"/>
      <c r="HP15" s="46"/>
      <c r="HQ15" s="46"/>
      <c r="HR15" s="46"/>
      <c r="HS15" s="46"/>
      <c r="HT15" s="46"/>
      <c r="HU15" s="46"/>
      <c r="HV15" s="46"/>
      <c r="HW15" s="46"/>
      <c r="HX15" s="46"/>
      <c r="HY15" s="46"/>
      <c r="HZ15" s="46"/>
      <c r="IA15" s="46"/>
      <c r="IB15" s="46"/>
      <c r="IC15" s="46"/>
      <c r="ID15" s="46"/>
      <c r="IE15" s="46"/>
      <c r="IF15" s="46"/>
      <c r="IG15" s="46"/>
      <c r="IH15" s="46"/>
      <c r="II15" s="46"/>
      <c r="IJ15" s="46"/>
      <c r="IK15" s="46"/>
      <c r="IL15" s="46"/>
      <c r="IM15" s="46"/>
      <c r="IN15" s="46"/>
      <c r="IO15" s="46"/>
      <c r="IP15" s="46"/>
      <c r="IQ15" s="46"/>
      <c r="IR15" s="46"/>
      <c r="IS15" s="46"/>
      <c r="IT15" s="46"/>
      <c r="IU15" s="46"/>
      <c r="IV15" s="46"/>
      <c r="IW15" s="46"/>
      <c r="IX15" s="47"/>
      <c r="IY15">
        <f t="shared" si="0"/>
        <v>106</v>
      </c>
    </row>
    <row r="16" spans="1:259" ht="15" customHeight="1" x14ac:dyDescent="0.25">
      <c r="A16" s="561"/>
      <c r="B16" s="565"/>
      <c r="C16" s="11" t="s">
        <v>26</v>
      </c>
      <c r="D16" s="4">
        <v>7</v>
      </c>
      <c r="E16" s="4">
        <v>1</v>
      </c>
      <c r="F16" s="3">
        <v>0</v>
      </c>
      <c r="G16" s="3">
        <v>0</v>
      </c>
      <c r="H16" s="3">
        <v>0</v>
      </c>
      <c r="I16" s="3">
        <v>0</v>
      </c>
      <c r="J16" s="4">
        <v>2</v>
      </c>
      <c r="K16" s="4">
        <v>3</v>
      </c>
      <c r="L16" s="4">
        <v>3</v>
      </c>
      <c r="M16" s="4">
        <v>1</v>
      </c>
      <c r="N16" s="4">
        <v>3</v>
      </c>
      <c r="O16" s="4">
        <v>1</v>
      </c>
      <c r="P16" s="4">
        <v>2</v>
      </c>
      <c r="Q16" s="4">
        <v>3</v>
      </c>
      <c r="R16" s="4">
        <v>2</v>
      </c>
      <c r="S16" s="4">
        <v>6</v>
      </c>
      <c r="T16" s="4">
        <v>5</v>
      </c>
      <c r="U16" s="4">
        <v>6</v>
      </c>
      <c r="V16" s="4">
        <v>3</v>
      </c>
      <c r="W16" s="4">
        <v>1</v>
      </c>
      <c r="X16" s="4">
        <v>3</v>
      </c>
      <c r="Y16" s="4">
        <v>2</v>
      </c>
      <c r="Z16" s="4">
        <v>6</v>
      </c>
      <c r="AA16" s="4">
        <v>7</v>
      </c>
      <c r="AB16" s="4">
        <v>7</v>
      </c>
      <c r="AC16" s="4">
        <v>14</v>
      </c>
      <c r="AD16" s="4">
        <v>12</v>
      </c>
      <c r="AE16" s="4">
        <v>4</v>
      </c>
      <c r="AF16" s="4">
        <v>10</v>
      </c>
      <c r="AG16" s="4">
        <v>5</v>
      </c>
      <c r="AH16" s="4">
        <v>1</v>
      </c>
      <c r="AI16" s="4">
        <v>2</v>
      </c>
      <c r="AJ16" s="4">
        <v>3</v>
      </c>
      <c r="AK16" s="4">
        <v>8</v>
      </c>
      <c r="AL16" s="4">
        <v>6</v>
      </c>
      <c r="AM16" s="4">
        <v>17</v>
      </c>
      <c r="AN16" s="4">
        <v>26</v>
      </c>
      <c r="AO16" s="4">
        <v>28</v>
      </c>
      <c r="AP16" s="4">
        <v>21</v>
      </c>
      <c r="AQ16" s="4">
        <v>28</v>
      </c>
      <c r="AR16" s="4">
        <v>13</v>
      </c>
      <c r="AS16" s="4">
        <v>19</v>
      </c>
      <c r="AT16" s="4">
        <v>17</v>
      </c>
      <c r="AU16" s="4">
        <v>19</v>
      </c>
      <c r="AV16" s="4">
        <v>24</v>
      </c>
      <c r="AW16" s="4">
        <v>16</v>
      </c>
      <c r="AX16" s="4">
        <v>24</v>
      </c>
      <c r="AY16" s="4">
        <v>44</v>
      </c>
      <c r="AZ16" s="4">
        <v>33</v>
      </c>
      <c r="BA16" s="4">
        <v>30</v>
      </c>
      <c r="BB16" s="4">
        <v>59</v>
      </c>
      <c r="BC16" s="4">
        <v>73</v>
      </c>
      <c r="BD16" s="4">
        <v>41</v>
      </c>
      <c r="BE16" s="4">
        <v>23</v>
      </c>
      <c r="BF16" s="4">
        <v>42</v>
      </c>
      <c r="BG16" s="4">
        <v>35</v>
      </c>
      <c r="BH16" s="4">
        <v>30</v>
      </c>
      <c r="BI16" s="4">
        <v>70</v>
      </c>
      <c r="BJ16" s="4">
        <v>49</v>
      </c>
      <c r="BK16" s="4">
        <v>41</v>
      </c>
      <c r="BL16" s="4">
        <v>51</v>
      </c>
      <c r="BM16" s="4">
        <v>42</v>
      </c>
      <c r="BN16" s="4">
        <v>47</v>
      </c>
      <c r="BO16" s="4">
        <v>43</v>
      </c>
      <c r="BP16" s="4">
        <v>36</v>
      </c>
      <c r="BQ16" s="4">
        <v>27</v>
      </c>
      <c r="BR16" s="4">
        <v>29</v>
      </c>
      <c r="BS16" s="4">
        <v>27</v>
      </c>
      <c r="BT16" s="4">
        <v>39</v>
      </c>
      <c r="BU16" s="4">
        <v>60</v>
      </c>
      <c r="BV16" s="4">
        <v>59</v>
      </c>
      <c r="BW16" s="4">
        <v>37</v>
      </c>
      <c r="BX16" s="4">
        <v>49</v>
      </c>
      <c r="BY16" s="4">
        <v>77</v>
      </c>
      <c r="BZ16" s="4">
        <v>70</v>
      </c>
      <c r="CA16" s="4">
        <v>56</v>
      </c>
      <c r="CB16" s="4">
        <v>43</v>
      </c>
      <c r="CC16" s="4">
        <v>47</v>
      </c>
      <c r="CD16" s="4">
        <v>45</v>
      </c>
      <c r="CE16" s="4">
        <v>55</v>
      </c>
      <c r="CF16" s="4">
        <v>31</v>
      </c>
      <c r="CG16" s="4">
        <v>31</v>
      </c>
      <c r="CH16" s="4">
        <v>30</v>
      </c>
      <c r="CI16" s="4">
        <v>60</v>
      </c>
      <c r="CJ16" s="4">
        <v>47</v>
      </c>
      <c r="CK16" s="4">
        <v>38</v>
      </c>
      <c r="CL16" s="4">
        <v>61</v>
      </c>
      <c r="CM16" s="4">
        <v>95</v>
      </c>
      <c r="CN16" s="4">
        <v>63</v>
      </c>
      <c r="CO16" s="4">
        <v>67</v>
      </c>
      <c r="CP16" s="4">
        <v>48</v>
      </c>
      <c r="CQ16" s="4">
        <v>33</v>
      </c>
      <c r="CR16" s="4">
        <v>17</v>
      </c>
      <c r="CS16" s="4">
        <v>31</v>
      </c>
      <c r="CT16" s="4">
        <v>17</v>
      </c>
      <c r="CU16" s="4">
        <v>16</v>
      </c>
      <c r="CV16" s="4">
        <v>29</v>
      </c>
      <c r="CW16" s="4">
        <v>10</v>
      </c>
      <c r="CX16" s="4">
        <v>3</v>
      </c>
      <c r="CY16" s="4">
        <v>3</v>
      </c>
      <c r="CZ16" s="4">
        <v>3</v>
      </c>
      <c r="DA16" s="3">
        <v>0</v>
      </c>
      <c r="DB16" s="4">
        <v>2</v>
      </c>
      <c r="DC16" s="4">
        <v>1</v>
      </c>
      <c r="DD16" s="12">
        <v>0</v>
      </c>
      <c r="DE16" s="44"/>
      <c r="DF16" s="44"/>
      <c r="DG16" s="44"/>
      <c r="DH16" s="44"/>
      <c r="DI16" s="44"/>
      <c r="DJ16" s="44"/>
      <c r="DK16" s="44"/>
      <c r="DL16" s="44"/>
      <c r="DM16" s="44"/>
      <c r="DN16" s="44"/>
      <c r="DO16" s="44"/>
      <c r="DP16" s="44"/>
      <c r="DQ16" s="44"/>
      <c r="DR16" s="44"/>
      <c r="DS16" s="44"/>
      <c r="DT16" s="44"/>
      <c r="DU16" s="44"/>
      <c r="DV16" s="44"/>
      <c r="DW16" s="44"/>
      <c r="DX16" s="44"/>
      <c r="DY16" s="44"/>
      <c r="DZ16" s="44"/>
      <c r="EA16" s="44"/>
      <c r="EB16" s="44"/>
      <c r="EC16" s="45"/>
      <c r="ED16" s="44"/>
      <c r="EE16" s="44"/>
      <c r="EF16" s="44"/>
      <c r="EG16" s="44"/>
      <c r="EH16" s="44"/>
      <c r="EI16" s="44"/>
      <c r="EJ16" s="44"/>
      <c r="EK16" s="44"/>
      <c r="EL16" s="44"/>
      <c r="EM16" s="44"/>
      <c r="EN16" s="44"/>
      <c r="EO16" s="44"/>
      <c r="EP16" s="44"/>
      <c r="EQ16" s="44"/>
      <c r="ER16" s="44"/>
      <c r="ES16" s="44"/>
      <c r="ET16" s="44"/>
      <c r="EU16" s="44"/>
      <c r="EV16" s="44"/>
      <c r="EW16" s="44"/>
      <c r="EX16" s="44"/>
      <c r="EY16" s="44"/>
      <c r="EZ16" s="44"/>
      <c r="FA16" s="44"/>
      <c r="FB16" s="44"/>
      <c r="FC16" s="44"/>
      <c r="FD16" s="44"/>
      <c r="FE16" s="44"/>
      <c r="FF16" s="44"/>
      <c r="FG16" s="44"/>
      <c r="FH16" s="44"/>
      <c r="FI16" s="44"/>
      <c r="FJ16" s="44"/>
      <c r="FK16" s="44"/>
      <c r="FL16" s="45"/>
      <c r="FM16" s="44"/>
      <c r="FN16" s="44"/>
      <c r="FO16" s="44"/>
      <c r="FP16" s="44"/>
      <c r="FQ16" s="44"/>
      <c r="FR16" s="44"/>
      <c r="FS16" s="44"/>
      <c r="FT16" s="44"/>
      <c r="FU16" s="44"/>
      <c r="FV16" s="44"/>
      <c r="FW16" s="44"/>
      <c r="FX16" s="44"/>
      <c r="FY16" s="44"/>
      <c r="FZ16" s="44"/>
      <c r="GA16" s="44"/>
      <c r="GB16" s="44"/>
      <c r="GC16" s="44"/>
      <c r="GD16" s="44"/>
      <c r="GE16" s="44"/>
      <c r="GF16" s="44"/>
      <c r="GG16" s="44"/>
      <c r="GH16" s="44"/>
      <c r="GI16" s="44"/>
      <c r="GJ16" s="44"/>
      <c r="GK16" s="44"/>
      <c r="GL16" s="44"/>
      <c r="GM16" s="44"/>
      <c r="GN16" s="44"/>
      <c r="GO16" s="44"/>
      <c r="GP16" s="44"/>
      <c r="GQ16" s="44"/>
      <c r="GR16" s="44"/>
      <c r="GS16" s="44"/>
      <c r="GT16" s="44"/>
      <c r="GU16" s="44"/>
      <c r="GV16" s="44"/>
      <c r="GW16" s="44"/>
      <c r="GX16" s="44"/>
      <c r="GY16" s="44"/>
      <c r="GZ16" s="44"/>
      <c r="HA16" s="44"/>
      <c r="HB16" s="44"/>
      <c r="HC16" s="44"/>
      <c r="HD16" s="44"/>
      <c r="HE16" s="44"/>
      <c r="HF16" s="44"/>
      <c r="HG16" s="44"/>
      <c r="HH16" s="44"/>
      <c r="HI16" s="44"/>
      <c r="HJ16" s="44"/>
      <c r="HK16" s="44"/>
      <c r="HL16" s="44"/>
      <c r="HM16" s="44"/>
      <c r="HN16" s="44"/>
      <c r="HO16" s="44"/>
      <c r="HP16" s="44"/>
      <c r="HQ16" s="44"/>
      <c r="HR16" s="44"/>
      <c r="HS16" s="44"/>
      <c r="HT16" s="44"/>
      <c r="HU16" s="44"/>
      <c r="HV16" s="44"/>
      <c r="HW16" s="44"/>
      <c r="HX16" s="44"/>
      <c r="HY16" s="44"/>
      <c r="HZ16" s="44"/>
      <c r="IA16" s="44"/>
      <c r="IB16" s="44"/>
      <c r="IC16" s="44"/>
      <c r="ID16" s="44"/>
      <c r="IE16" s="44"/>
      <c r="IF16" s="44"/>
      <c r="IG16" s="44"/>
      <c r="IH16" s="44"/>
      <c r="II16" s="44"/>
      <c r="IJ16" s="44"/>
      <c r="IK16" s="44"/>
      <c r="IL16" s="44"/>
      <c r="IM16" s="44"/>
      <c r="IN16" s="44"/>
      <c r="IO16" s="44"/>
      <c r="IP16" s="44"/>
      <c r="IQ16" s="44"/>
      <c r="IR16" s="44"/>
      <c r="IS16" s="44"/>
      <c r="IT16" s="44"/>
      <c r="IU16" s="44"/>
      <c r="IV16" s="44"/>
      <c r="IW16" s="44"/>
      <c r="IX16" s="45"/>
      <c r="IY16">
        <f t="shared" si="0"/>
        <v>95</v>
      </c>
    </row>
    <row r="17" spans="1:259" x14ac:dyDescent="0.25">
      <c r="A17" s="561"/>
      <c r="B17" s="565"/>
      <c r="C17" s="11" t="s">
        <v>27</v>
      </c>
      <c r="D17" s="1">
        <v>7</v>
      </c>
      <c r="E17" s="1">
        <v>1</v>
      </c>
      <c r="F17" s="1">
        <v>0</v>
      </c>
      <c r="G17" s="1">
        <v>0</v>
      </c>
      <c r="H17" s="1">
        <v>0</v>
      </c>
      <c r="I17" s="1">
        <v>0</v>
      </c>
      <c r="J17" s="1">
        <v>2</v>
      </c>
      <c r="K17" s="1">
        <v>3</v>
      </c>
      <c r="L17" s="1">
        <v>3</v>
      </c>
      <c r="M17" s="1">
        <v>1</v>
      </c>
      <c r="N17" s="1">
        <v>3</v>
      </c>
      <c r="O17" s="1">
        <v>1</v>
      </c>
      <c r="P17" s="1">
        <v>2</v>
      </c>
      <c r="Q17" s="1">
        <v>3</v>
      </c>
      <c r="R17" s="1">
        <v>2</v>
      </c>
      <c r="S17" s="1">
        <v>6</v>
      </c>
      <c r="T17" s="1">
        <v>5</v>
      </c>
      <c r="U17" s="1">
        <v>6</v>
      </c>
      <c r="V17" s="1">
        <v>3</v>
      </c>
      <c r="W17" s="1">
        <v>1</v>
      </c>
      <c r="X17" s="1">
        <v>3</v>
      </c>
      <c r="Y17" s="1">
        <v>2</v>
      </c>
      <c r="Z17" s="1">
        <v>6</v>
      </c>
      <c r="AA17" s="1">
        <v>7</v>
      </c>
      <c r="AB17" s="1">
        <v>7</v>
      </c>
      <c r="AC17" s="1">
        <v>14</v>
      </c>
      <c r="AD17" s="1">
        <v>12</v>
      </c>
      <c r="AE17" s="1">
        <v>4</v>
      </c>
      <c r="AF17" s="1">
        <v>10</v>
      </c>
      <c r="AG17" s="1">
        <v>5</v>
      </c>
      <c r="AH17" s="1">
        <v>1</v>
      </c>
      <c r="AI17" s="1">
        <v>2</v>
      </c>
      <c r="AJ17" s="1">
        <v>3</v>
      </c>
      <c r="AK17" s="1">
        <v>8</v>
      </c>
      <c r="AL17" s="1">
        <v>6</v>
      </c>
      <c r="AM17" s="1">
        <v>17</v>
      </c>
      <c r="AN17" s="1">
        <v>26</v>
      </c>
      <c r="AO17" s="1">
        <v>28</v>
      </c>
      <c r="AP17" s="1">
        <v>21</v>
      </c>
      <c r="AQ17" s="1">
        <v>28</v>
      </c>
      <c r="AR17" s="1">
        <v>13</v>
      </c>
      <c r="AS17" s="1">
        <v>19</v>
      </c>
      <c r="AT17" s="1">
        <v>17</v>
      </c>
      <c r="AU17" s="1">
        <v>19</v>
      </c>
      <c r="AV17" s="1">
        <v>24</v>
      </c>
      <c r="AW17" s="1">
        <v>16</v>
      </c>
      <c r="AX17" s="1">
        <v>24</v>
      </c>
      <c r="AY17" s="1">
        <v>44</v>
      </c>
      <c r="AZ17" s="1">
        <v>33</v>
      </c>
      <c r="BA17" s="1">
        <v>30</v>
      </c>
      <c r="BB17" s="1">
        <v>59</v>
      </c>
      <c r="BC17" s="1">
        <v>73</v>
      </c>
      <c r="BD17" s="1">
        <v>41</v>
      </c>
      <c r="BE17" s="1">
        <v>23</v>
      </c>
      <c r="BF17" s="1">
        <v>42</v>
      </c>
      <c r="BG17" s="1">
        <v>35</v>
      </c>
      <c r="BH17" s="1">
        <v>30</v>
      </c>
      <c r="BI17" s="1">
        <v>70</v>
      </c>
      <c r="BJ17" s="1">
        <v>49</v>
      </c>
      <c r="BK17" s="1">
        <v>41</v>
      </c>
      <c r="BL17" s="1">
        <v>51</v>
      </c>
      <c r="BM17" s="1">
        <v>42</v>
      </c>
      <c r="BN17" s="1">
        <v>47</v>
      </c>
      <c r="BO17" s="1">
        <v>43</v>
      </c>
      <c r="BP17" s="1">
        <v>36</v>
      </c>
      <c r="BQ17" s="1">
        <v>27</v>
      </c>
      <c r="BR17" s="1">
        <v>29</v>
      </c>
      <c r="BS17" s="1">
        <v>27</v>
      </c>
      <c r="BT17" s="1">
        <v>39</v>
      </c>
      <c r="BU17" s="1">
        <v>60</v>
      </c>
      <c r="BV17" s="1">
        <v>59</v>
      </c>
      <c r="BW17" s="1">
        <v>37</v>
      </c>
      <c r="BX17" s="1">
        <v>49</v>
      </c>
      <c r="BY17" s="1">
        <v>77</v>
      </c>
      <c r="BZ17" s="1">
        <v>70</v>
      </c>
      <c r="CA17" s="1">
        <v>56</v>
      </c>
      <c r="CB17" s="1">
        <v>43</v>
      </c>
      <c r="CC17" s="1">
        <v>47</v>
      </c>
      <c r="CD17" s="1">
        <v>45</v>
      </c>
      <c r="CE17" s="1">
        <v>55</v>
      </c>
      <c r="CF17" s="1">
        <v>31</v>
      </c>
      <c r="CG17" s="1">
        <v>31</v>
      </c>
      <c r="CH17" s="1">
        <v>30</v>
      </c>
      <c r="CI17" s="1">
        <v>60</v>
      </c>
      <c r="CJ17" s="1">
        <v>47</v>
      </c>
      <c r="CK17" s="1">
        <v>38</v>
      </c>
      <c r="CL17" s="1">
        <v>53</v>
      </c>
      <c r="CM17" s="1">
        <v>0</v>
      </c>
      <c r="CN17" s="1">
        <v>0</v>
      </c>
      <c r="CO17" s="1">
        <v>0</v>
      </c>
      <c r="CP17" s="1">
        <v>0</v>
      </c>
      <c r="CQ17" s="1">
        <v>0</v>
      </c>
      <c r="CR17" s="1">
        <v>0</v>
      </c>
      <c r="CS17" s="1">
        <v>0</v>
      </c>
      <c r="CT17" s="1">
        <v>0</v>
      </c>
      <c r="CU17" s="1">
        <v>0</v>
      </c>
      <c r="CV17" s="1">
        <v>0</v>
      </c>
      <c r="CW17" s="1">
        <v>0</v>
      </c>
      <c r="CX17" s="1">
        <v>0</v>
      </c>
      <c r="CY17" s="1">
        <v>0</v>
      </c>
      <c r="CZ17" s="1">
        <v>0</v>
      </c>
      <c r="DA17" s="1">
        <v>0</v>
      </c>
      <c r="DB17" s="1">
        <v>0</v>
      </c>
      <c r="DC17" s="1">
        <v>0</v>
      </c>
      <c r="DD17" s="8">
        <v>0</v>
      </c>
      <c r="DE17" s="46"/>
      <c r="DF17" s="46"/>
      <c r="DG17" s="46"/>
      <c r="DH17" s="46"/>
      <c r="DI17" s="46"/>
      <c r="DJ17" s="46"/>
      <c r="DK17" s="46"/>
      <c r="DL17" s="46"/>
      <c r="DM17" s="46"/>
      <c r="DN17" s="46"/>
      <c r="DO17" s="46"/>
      <c r="DP17" s="46"/>
      <c r="DQ17" s="46"/>
      <c r="DR17" s="46"/>
      <c r="DS17" s="46"/>
      <c r="DT17" s="46"/>
      <c r="DU17" s="46"/>
      <c r="DV17" s="46"/>
      <c r="DW17" s="46"/>
      <c r="DX17" s="46"/>
      <c r="DY17" s="46"/>
      <c r="DZ17" s="46"/>
      <c r="EA17" s="46"/>
      <c r="EB17" s="46"/>
      <c r="EC17" s="47"/>
      <c r="ED17" s="46"/>
      <c r="EE17" s="46"/>
      <c r="EF17" s="46"/>
      <c r="EG17" s="46"/>
      <c r="EH17" s="46"/>
      <c r="EI17" s="46"/>
      <c r="EJ17" s="46"/>
      <c r="EK17" s="46"/>
      <c r="EL17" s="46"/>
      <c r="EM17" s="46"/>
      <c r="EN17" s="46"/>
      <c r="EO17" s="46"/>
      <c r="EP17" s="46"/>
      <c r="EQ17" s="46"/>
      <c r="ER17" s="46"/>
      <c r="ES17" s="46"/>
      <c r="ET17" s="46"/>
      <c r="EU17" s="46"/>
      <c r="EV17" s="46"/>
      <c r="EW17" s="46"/>
      <c r="EX17" s="46"/>
      <c r="EY17" s="46"/>
      <c r="EZ17" s="46"/>
      <c r="FA17" s="46"/>
      <c r="FB17" s="46"/>
      <c r="FC17" s="46"/>
      <c r="FD17" s="46"/>
      <c r="FE17" s="46"/>
      <c r="FF17" s="46"/>
      <c r="FG17" s="46"/>
      <c r="FH17" s="46"/>
      <c r="FI17" s="46"/>
      <c r="FJ17" s="46"/>
      <c r="FK17" s="46"/>
      <c r="FL17" s="47"/>
      <c r="FM17" s="46"/>
      <c r="FN17" s="46"/>
      <c r="FO17" s="46"/>
      <c r="FP17" s="46"/>
      <c r="FQ17" s="46"/>
      <c r="FR17" s="46"/>
      <c r="FS17" s="46"/>
      <c r="FT17" s="46"/>
      <c r="FU17" s="46"/>
      <c r="FV17" s="46"/>
      <c r="FW17" s="46"/>
      <c r="FX17" s="46"/>
      <c r="FY17" s="46"/>
      <c r="FZ17" s="46"/>
      <c r="GA17" s="46"/>
      <c r="GB17" s="46"/>
      <c r="GC17" s="46"/>
      <c r="GD17" s="46"/>
      <c r="GE17" s="46"/>
      <c r="GF17" s="46"/>
      <c r="GG17" s="46"/>
      <c r="GH17" s="46"/>
      <c r="GI17" s="46"/>
      <c r="GJ17" s="46"/>
      <c r="GK17" s="46"/>
      <c r="GL17" s="46"/>
      <c r="GM17" s="46"/>
      <c r="GN17" s="46"/>
      <c r="GO17" s="46"/>
      <c r="GP17" s="46"/>
      <c r="GQ17" s="46"/>
      <c r="GR17" s="46"/>
      <c r="GS17" s="46"/>
      <c r="GT17" s="46"/>
      <c r="GU17" s="46"/>
      <c r="GV17" s="46"/>
      <c r="GW17" s="46"/>
      <c r="GX17" s="46"/>
      <c r="GY17" s="46"/>
      <c r="GZ17" s="46"/>
      <c r="HA17" s="46"/>
      <c r="HB17" s="46"/>
      <c r="HC17" s="46"/>
      <c r="HD17" s="46"/>
      <c r="HE17" s="46"/>
      <c r="HF17" s="46"/>
      <c r="HG17" s="46"/>
      <c r="HH17" s="46"/>
      <c r="HI17" s="46"/>
      <c r="HJ17" s="46"/>
      <c r="HK17" s="46"/>
      <c r="HL17" s="46"/>
      <c r="HM17" s="46"/>
      <c r="HN17" s="46"/>
      <c r="HO17" s="46"/>
      <c r="HP17" s="46"/>
      <c r="HQ17" s="46"/>
      <c r="HR17" s="46"/>
      <c r="HS17" s="46"/>
      <c r="HT17" s="46"/>
      <c r="HU17" s="46"/>
      <c r="HV17" s="46"/>
      <c r="HW17" s="46"/>
      <c r="HX17" s="46"/>
      <c r="HY17" s="46"/>
      <c r="HZ17" s="46"/>
      <c r="IA17" s="46"/>
      <c r="IB17" s="46"/>
      <c r="IC17" s="46"/>
      <c r="ID17" s="46"/>
      <c r="IE17" s="46"/>
      <c r="IF17" s="46"/>
      <c r="IG17" s="46"/>
      <c r="IH17" s="46"/>
      <c r="II17" s="46"/>
      <c r="IJ17" s="46"/>
      <c r="IK17" s="46"/>
      <c r="IL17" s="46"/>
      <c r="IM17" s="46"/>
      <c r="IN17" s="46"/>
      <c r="IO17" s="46"/>
      <c r="IP17" s="46"/>
      <c r="IQ17" s="46"/>
      <c r="IR17" s="46"/>
      <c r="IS17" s="46"/>
      <c r="IT17" s="46"/>
      <c r="IU17" s="46"/>
      <c r="IV17" s="46"/>
      <c r="IW17" s="46"/>
      <c r="IX17" s="47"/>
      <c r="IY17">
        <f>MAX(BG17:ED17)</f>
        <v>77</v>
      </c>
    </row>
    <row r="18" spans="1:259" x14ac:dyDescent="0.25">
      <c r="A18" s="561"/>
      <c r="B18" s="565"/>
      <c r="C18" s="11" t="s">
        <v>1</v>
      </c>
      <c r="D18" s="1" t="s">
        <v>9</v>
      </c>
      <c r="E18" s="1" t="s">
        <v>9</v>
      </c>
      <c r="F18" s="1" t="s">
        <v>9</v>
      </c>
      <c r="G18" s="1" t="s">
        <v>9</v>
      </c>
      <c r="H18" s="1" t="s">
        <v>9</v>
      </c>
      <c r="I18" s="1" t="s">
        <v>9</v>
      </c>
      <c r="J18" s="1" t="s">
        <v>9</v>
      </c>
      <c r="K18" s="1" t="s">
        <v>9</v>
      </c>
      <c r="L18" s="1" t="s">
        <v>9</v>
      </c>
      <c r="M18" s="1" t="s">
        <v>9</v>
      </c>
      <c r="N18" s="1" t="s">
        <v>9</v>
      </c>
      <c r="O18" s="1" t="s">
        <v>9</v>
      </c>
      <c r="P18" s="1" t="s">
        <v>9</v>
      </c>
      <c r="Q18" s="1" t="s">
        <v>9</v>
      </c>
      <c r="R18" s="3">
        <v>0</v>
      </c>
      <c r="S18" s="52">
        <v>6</v>
      </c>
      <c r="T18" s="53">
        <v>2</v>
      </c>
      <c r="U18" s="1" t="s">
        <v>9</v>
      </c>
      <c r="V18" s="1" t="s">
        <v>9</v>
      </c>
      <c r="W18" s="1" t="s">
        <v>9</v>
      </c>
      <c r="X18" s="1" t="s">
        <v>9</v>
      </c>
      <c r="Y18" s="54">
        <v>2</v>
      </c>
      <c r="Z18" s="3">
        <v>0</v>
      </c>
      <c r="AA18" s="3">
        <v>0</v>
      </c>
      <c r="AB18" s="3">
        <v>0</v>
      </c>
      <c r="AC18" s="1" t="s">
        <v>9</v>
      </c>
      <c r="AD18" s="3">
        <v>0</v>
      </c>
      <c r="AE18" s="3">
        <v>0</v>
      </c>
      <c r="AF18" s="53">
        <v>1</v>
      </c>
      <c r="AG18" s="1" t="s">
        <v>9</v>
      </c>
      <c r="AH18" s="1" t="s">
        <v>9</v>
      </c>
      <c r="AI18" s="1" t="s">
        <v>9</v>
      </c>
      <c r="AJ18" s="1" t="s">
        <v>9</v>
      </c>
      <c r="AK18" s="1" t="s">
        <v>9</v>
      </c>
      <c r="AL18" s="1" t="s">
        <v>9</v>
      </c>
      <c r="AM18" s="3">
        <v>0</v>
      </c>
      <c r="AN18" s="6">
        <v>1</v>
      </c>
      <c r="AO18" s="55">
        <v>4</v>
      </c>
      <c r="AP18" s="56">
        <v>4</v>
      </c>
      <c r="AQ18" s="6">
        <v>4</v>
      </c>
      <c r="AR18" s="53">
        <v>1</v>
      </c>
      <c r="AS18" s="57">
        <v>3</v>
      </c>
      <c r="AT18" s="3">
        <v>0</v>
      </c>
      <c r="AU18" s="53">
        <v>2</v>
      </c>
      <c r="AV18" s="58">
        <v>2</v>
      </c>
      <c r="AW18" s="59">
        <v>2</v>
      </c>
      <c r="AX18" s="60">
        <v>1</v>
      </c>
      <c r="AY18" s="61">
        <v>7</v>
      </c>
      <c r="AZ18" s="62">
        <v>1</v>
      </c>
      <c r="BA18" s="62">
        <v>1</v>
      </c>
      <c r="BB18" s="63">
        <v>11</v>
      </c>
      <c r="BC18" s="64">
        <v>13</v>
      </c>
      <c r="BD18" s="65">
        <v>9</v>
      </c>
      <c r="BE18" s="58">
        <v>6</v>
      </c>
      <c r="BF18" s="66">
        <v>1</v>
      </c>
      <c r="BG18" s="67">
        <v>5</v>
      </c>
      <c r="BH18" s="68">
        <v>10</v>
      </c>
      <c r="BI18" s="55">
        <v>20</v>
      </c>
      <c r="BJ18" s="59">
        <v>2</v>
      </c>
      <c r="BK18" s="66">
        <v>1</v>
      </c>
      <c r="BL18" s="69">
        <v>8</v>
      </c>
      <c r="BM18" s="70">
        <v>6</v>
      </c>
      <c r="BN18" s="60">
        <v>4</v>
      </c>
      <c r="BO18" s="3">
        <v>0</v>
      </c>
      <c r="BP18" s="71">
        <v>1</v>
      </c>
      <c r="BQ18" s="72">
        <v>3</v>
      </c>
      <c r="BR18" s="73">
        <v>6</v>
      </c>
      <c r="BS18" s="58">
        <v>1</v>
      </c>
      <c r="BT18" s="74">
        <v>1</v>
      </c>
      <c r="BU18" s="75">
        <v>7</v>
      </c>
      <c r="BV18" s="72">
        <v>3</v>
      </c>
      <c r="BW18" s="58">
        <v>2</v>
      </c>
      <c r="BX18" s="69">
        <v>2</v>
      </c>
      <c r="BY18" s="76">
        <v>2</v>
      </c>
      <c r="BZ18" s="77">
        <v>9</v>
      </c>
      <c r="CA18" s="3">
        <v>0</v>
      </c>
      <c r="CB18" s="78">
        <v>3</v>
      </c>
      <c r="CC18" s="62">
        <v>4</v>
      </c>
      <c r="CD18" s="59">
        <v>4</v>
      </c>
      <c r="CE18" s="69">
        <v>7</v>
      </c>
      <c r="CF18" s="76">
        <v>2</v>
      </c>
      <c r="CG18" s="70">
        <v>2</v>
      </c>
      <c r="CH18" s="3">
        <v>0</v>
      </c>
      <c r="CI18" s="61">
        <v>2</v>
      </c>
      <c r="CJ18" s="61">
        <v>1</v>
      </c>
      <c r="CK18" s="3">
        <v>0</v>
      </c>
      <c r="CL18" s="1" t="s">
        <v>9</v>
      </c>
      <c r="CM18" s="1" t="s">
        <v>9</v>
      </c>
      <c r="CN18" s="1" t="s">
        <v>9</v>
      </c>
      <c r="CO18" s="1" t="s">
        <v>9</v>
      </c>
      <c r="CP18" s="1" t="s">
        <v>9</v>
      </c>
      <c r="CQ18" s="1" t="s">
        <v>9</v>
      </c>
      <c r="CR18" s="1" t="s">
        <v>9</v>
      </c>
      <c r="CS18" s="1" t="s">
        <v>9</v>
      </c>
      <c r="CT18" s="1" t="s">
        <v>9</v>
      </c>
      <c r="CU18" s="1" t="s">
        <v>9</v>
      </c>
      <c r="CV18" s="1" t="s">
        <v>9</v>
      </c>
      <c r="CW18" s="1" t="s">
        <v>9</v>
      </c>
      <c r="CX18" s="1" t="s">
        <v>9</v>
      </c>
      <c r="CY18" s="1" t="s">
        <v>9</v>
      </c>
      <c r="CZ18" s="1" t="s">
        <v>9</v>
      </c>
      <c r="DA18" s="1" t="s">
        <v>9</v>
      </c>
      <c r="DB18" s="1" t="s">
        <v>9</v>
      </c>
      <c r="DC18" s="1" t="s">
        <v>9</v>
      </c>
      <c r="DD18" s="8" t="s">
        <v>9</v>
      </c>
      <c r="DE18" s="46"/>
      <c r="DF18" s="46"/>
      <c r="DG18" s="46"/>
      <c r="DH18" s="46"/>
      <c r="DI18" s="46"/>
      <c r="DJ18" s="46"/>
      <c r="DK18" s="46"/>
      <c r="DL18" s="46"/>
      <c r="DM18" s="46"/>
      <c r="DN18" s="46"/>
      <c r="DO18" s="46"/>
      <c r="DP18" s="46"/>
      <c r="DQ18" s="46"/>
      <c r="DR18" s="46"/>
      <c r="DS18" s="46"/>
      <c r="DT18" s="46"/>
      <c r="DU18" s="46"/>
      <c r="DV18" s="46"/>
      <c r="DW18" s="46"/>
      <c r="DX18" s="46"/>
      <c r="DY18" s="46"/>
      <c r="DZ18" s="46"/>
      <c r="EA18" s="46"/>
      <c r="EB18" s="46"/>
      <c r="EC18" s="47"/>
      <c r="ED18" s="46"/>
      <c r="EE18" s="46"/>
      <c r="EF18" s="46"/>
      <c r="EG18" s="46"/>
      <c r="EH18" s="46"/>
      <c r="EI18" s="46"/>
      <c r="EJ18" s="46"/>
      <c r="EK18" s="46"/>
      <c r="EL18" s="46"/>
      <c r="EM18" s="46"/>
      <c r="EN18" s="46"/>
      <c r="EO18" s="46"/>
      <c r="EP18" s="46"/>
      <c r="EQ18" s="46"/>
      <c r="ER18" s="46"/>
      <c r="ES18" s="46"/>
      <c r="ET18" s="46"/>
      <c r="EU18" s="46"/>
      <c r="EV18" s="46"/>
      <c r="EW18" s="46"/>
      <c r="EX18" s="46"/>
      <c r="EY18" s="46"/>
      <c r="EZ18" s="46"/>
      <c r="FA18" s="46"/>
      <c r="FB18" s="46"/>
      <c r="FC18" s="46"/>
      <c r="FD18" s="46"/>
      <c r="FE18" s="46"/>
      <c r="FF18" s="46"/>
      <c r="FG18" s="46"/>
      <c r="FH18" s="46"/>
      <c r="FI18" s="46"/>
      <c r="FJ18" s="46"/>
      <c r="FK18" s="46"/>
      <c r="FL18" s="47"/>
      <c r="FM18" s="46"/>
      <c r="FN18" s="46"/>
      <c r="FO18" s="46"/>
      <c r="FP18" s="46"/>
      <c r="FQ18" s="46"/>
      <c r="FR18" s="46"/>
      <c r="FS18" s="46"/>
      <c r="FT18" s="46"/>
      <c r="FU18" s="46"/>
      <c r="FV18" s="46"/>
      <c r="FW18" s="46"/>
      <c r="FX18" s="46"/>
      <c r="FY18" s="46"/>
      <c r="FZ18" s="46"/>
      <c r="GA18" s="46"/>
      <c r="GB18" s="46"/>
      <c r="GC18" s="46"/>
      <c r="GD18" s="46"/>
      <c r="GE18" s="46"/>
      <c r="GF18" s="46"/>
      <c r="GG18" s="46"/>
      <c r="GH18" s="46"/>
      <c r="GI18" s="46"/>
      <c r="GJ18" s="46"/>
      <c r="GK18" s="46"/>
      <c r="GL18" s="46"/>
      <c r="GM18" s="46"/>
      <c r="GN18" s="46"/>
      <c r="GO18" s="46"/>
      <c r="GP18" s="46"/>
      <c r="GQ18" s="46"/>
      <c r="GR18" s="46"/>
      <c r="GS18" s="46"/>
      <c r="GT18" s="46"/>
      <c r="GU18" s="46"/>
      <c r="GV18" s="46"/>
      <c r="GW18" s="46"/>
      <c r="GX18" s="46"/>
      <c r="GY18" s="46"/>
      <c r="GZ18" s="46"/>
      <c r="HA18" s="46"/>
      <c r="HB18" s="46"/>
      <c r="HC18" s="46"/>
      <c r="HD18" s="46"/>
      <c r="HE18" s="46"/>
      <c r="HF18" s="46"/>
      <c r="HG18" s="46"/>
      <c r="HH18" s="46"/>
      <c r="HI18" s="46"/>
      <c r="HJ18" s="46"/>
      <c r="HK18" s="46"/>
      <c r="HL18" s="46"/>
      <c r="HM18" s="46"/>
      <c r="HN18" s="46"/>
      <c r="HO18" s="46"/>
      <c r="HP18" s="46"/>
      <c r="HQ18" s="46"/>
      <c r="HR18" s="46"/>
      <c r="HS18" s="46"/>
      <c r="HT18" s="46"/>
      <c r="HU18" s="46"/>
      <c r="HV18" s="46"/>
      <c r="HW18" s="46"/>
      <c r="HX18" s="46"/>
      <c r="HY18" s="46"/>
      <c r="HZ18" s="46"/>
      <c r="IA18" s="46"/>
      <c r="IB18" s="46"/>
      <c r="IC18" s="46"/>
      <c r="ID18" s="46"/>
      <c r="IE18" s="46"/>
      <c r="IF18" s="46"/>
      <c r="IG18" s="46"/>
      <c r="IH18" s="46"/>
      <c r="II18" s="46"/>
      <c r="IJ18" s="46"/>
      <c r="IK18" s="46"/>
      <c r="IL18" s="46"/>
      <c r="IM18" s="46"/>
      <c r="IN18" s="46"/>
      <c r="IO18" s="46"/>
      <c r="IP18" s="46"/>
      <c r="IQ18" s="46"/>
      <c r="IR18" s="46"/>
      <c r="IS18" s="46"/>
      <c r="IT18" s="46"/>
      <c r="IU18" s="46"/>
      <c r="IV18" s="46"/>
      <c r="IW18" s="46"/>
      <c r="IX18" s="47"/>
      <c r="IY18">
        <f t="shared" si="0"/>
        <v>20</v>
      </c>
    </row>
    <row r="19" spans="1:259" x14ac:dyDescent="0.25">
      <c r="A19" s="561"/>
      <c r="B19" s="565"/>
      <c r="C19" s="11" t="s">
        <v>5</v>
      </c>
      <c r="D19" s="1" t="s">
        <v>9</v>
      </c>
      <c r="E19" s="1" t="s">
        <v>9</v>
      </c>
      <c r="F19" s="1" t="s">
        <v>9</v>
      </c>
      <c r="G19" s="1" t="s">
        <v>9</v>
      </c>
      <c r="H19" s="1" t="s">
        <v>9</v>
      </c>
      <c r="I19" s="1" t="s">
        <v>9</v>
      </c>
      <c r="J19" s="1" t="s">
        <v>9</v>
      </c>
      <c r="K19" s="1" t="s">
        <v>9</v>
      </c>
      <c r="L19" s="1" t="s">
        <v>9</v>
      </c>
      <c r="M19" s="1" t="s">
        <v>9</v>
      </c>
      <c r="N19" s="1" t="s">
        <v>9</v>
      </c>
      <c r="O19" s="1" t="s">
        <v>9</v>
      </c>
      <c r="P19" s="1" t="s">
        <v>9</v>
      </c>
      <c r="Q19" s="1" t="s">
        <v>9</v>
      </c>
      <c r="R19" s="6">
        <v>1</v>
      </c>
      <c r="S19" s="61">
        <v>2</v>
      </c>
      <c r="T19" s="61">
        <v>1</v>
      </c>
      <c r="U19" s="1" t="s">
        <v>9</v>
      </c>
      <c r="V19" s="1" t="s">
        <v>9</v>
      </c>
      <c r="W19" s="1" t="s">
        <v>9</v>
      </c>
      <c r="X19" s="1" t="s">
        <v>9</v>
      </c>
      <c r="Y19" s="79">
        <v>3</v>
      </c>
      <c r="Z19" s="3">
        <v>0</v>
      </c>
      <c r="AA19" s="3">
        <v>0</v>
      </c>
      <c r="AB19" s="3">
        <v>0</v>
      </c>
      <c r="AC19" s="1" t="s">
        <v>9</v>
      </c>
      <c r="AD19" s="3">
        <v>0</v>
      </c>
      <c r="AE19" s="3">
        <v>0</v>
      </c>
      <c r="AF19" s="3">
        <v>0</v>
      </c>
      <c r="AG19" s="1" t="s">
        <v>9</v>
      </c>
      <c r="AH19" s="1" t="s">
        <v>9</v>
      </c>
      <c r="AI19" s="1" t="s">
        <v>9</v>
      </c>
      <c r="AJ19" s="1" t="s">
        <v>9</v>
      </c>
      <c r="AK19" s="1" t="s">
        <v>9</v>
      </c>
      <c r="AL19" s="1" t="s">
        <v>9</v>
      </c>
      <c r="AM19" s="3">
        <v>0</v>
      </c>
      <c r="AN19" s="3">
        <v>0</v>
      </c>
      <c r="AO19" s="68">
        <v>2</v>
      </c>
      <c r="AP19" s="57">
        <v>3</v>
      </c>
      <c r="AQ19" s="3">
        <v>0</v>
      </c>
      <c r="AR19" s="53">
        <v>1</v>
      </c>
      <c r="AS19" s="56">
        <v>4</v>
      </c>
      <c r="AT19" s="70">
        <v>1</v>
      </c>
      <c r="AU19" s="3">
        <v>0</v>
      </c>
      <c r="AV19" s="74">
        <v>1</v>
      </c>
      <c r="AW19" s="58">
        <v>3</v>
      </c>
      <c r="AX19" s="60">
        <v>1</v>
      </c>
      <c r="AY19" s="3">
        <v>0</v>
      </c>
      <c r="AZ19" s="62">
        <v>1</v>
      </c>
      <c r="BA19" s="80">
        <v>3</v>
      </c>
      <c r="BB19" s="81">
        <v>1</v>
      </c>
      <c r="BC19" s="80">
        <v>9</v>
      </c>
      <c r="BD19" s="81">
        <v>1</v>
      </c>
      <c r="BE19" s="81">
        <v>1</v>
      </c>
      <c r="BF19" s="82">
        <v>10</v>
      </c>
      <c r="BG19" s="83">
        <v>10</v>
      </c>
      <c r="BH19" s="84">
        <v>5</v>
      </c>
      <c r="BI19" s="84">
        <v>5</v>
      </c>
      <c r="BJ19" s="85">
        <v>7</v>
      </c>
      <c r="BK19" s="86">
        <v>12</v>
      </c>
      <c r="BL19" s="69">
        <v>8</v>
      </c>
      <c r="BM19" s="59">
        <v>3</v>
      </c>
      <c r="BN19" s="81">
        <v>1</v>
      </c>
      <c r="BO19" s="3">
        <v>0</v>
      </c>
      <c r="BP19" s="3">
        <v>0</v>
      </c>
      <c r="BQ19" s="3">
        <v>0</v>
      </c>
      <c r="BR19" s="3">
        <v>0</v>
      </c>
      <c r="BS19" s="58">
        <v>1</v>
      </c>
      <c r="BT19" s="72">
        <v>2</v>
      </c>
      <c r="BU19" s="87">
        <v>5</v>
      </c>
      <c r="BV19" s="59">
        <v>2</v>
      </c>
      <c r="BW19" s="61">
        <v>4</v>
      </c>
      <c r="BX19" s="59">
        <v>1</v>
      </c>
      <c r="BY19" s="76">
        <v>2</v>
      </c>
      <c r="BZ19" s="66">
        <v>1</v>
      </c>
      <c r="CA19" s="72">
        <v>3</v>
      </c>
      <c r="CB19" s="3">
        <v>0</v>
      </c>
      <c r="CC19" s="88">
        <v>10</v>
      </c>
      <c r="CD19" s="81">
        <v>1</v>
      </c>
      <c r="CE19" s="62">
        <v>3</v>
      </c>
      <c r="CF19" s="62">
        <v>1</v>
      </c>
      <c r="CG19" s="61">
        <v>3</v>
      </c>
      <c r="CH19" s="53">
        <v>4</v>
      </c>
      <c r="CI19" s="61">
        <v>2</v>
      </c>
      <c r="CJ19" s="52">
        <v>3</v>
      </c>
      <c r="CK19" s="6">
        <v>1</v>
      </c>
      <c r="CL19" s="1" t="s">
        <v>9</v>
      </c>
      <c r="CM19" s="1" t="s">
        <v>9</v>
      </c>
      <c r="CN19" s="1" t="s">
        <v>9</v>
      </c>
      <c r="CO19" s="1" t="s">
        <v>9</v>
      </c>
      <c r="CP19" s="1" t="s">
        <v>9</v>
      </c>
      <c r="CQ19" s="1" t="s">
        <v>9</v>
      </c>
      <c r="CR19" s="1" t="s">
        <v>9</v>
      </c>
      <c r="CS19" s="1" t="s">
        <v>9</v>
      </c>
      <c r="CT19" s="1" t="s">
        <v>9</v>
      </c>
      <c r="CU19" s="1" t="s">
        <v>9</v>
      </c>
      <c r="CV19" s="1" t="s">
        <v>9</v>
      </c>
      <c r="CW19" s="1" t="s">
        <v>9</v>
      </c>
      <c r="CX19" s="1" t="s">
        <v>9</v>
      </c>
      <c r="CY19" s="1" t="s">
        <v>9</v>
      </c>
      <c r="CZ19" s="1" t="s">
        <v>9</v>
      </c>
      <c r="DA19" s="1" t="s">
        <v>9</v>
      </c>
      <c r="DB19" s="1" t="s">
        <v>9</v>
      </c>
      <c r="DC19" s="1" t="s">
        <v>9</v>
      </c>
      <c r="DD19" s="8" t="s">
        <v>9</v>
      </c>
      <c r="DE19" s="46"/>
      <c r="DF19" s="46"/>
      <c r="DG19" s="46"/>
      <c r="DH19" s="46"/>
      <c r="DI19" s="46"/>
      <c r="DJ19" s="46"/>
      <c r="DK19" s="46"/>
      <c r="DL19" s="46"/>
      <c r="DM19" s="46"/>
      <c r="DN19" s="46"/>
      <c r="DO19" s="46"/>
      <c r="DP19" s="46"/>
      <c r="DQ19" s="46"/>
      <c r="DR19" s="46"/>
      <c r="DS19" s="46"/>
      <c r="DT19" s="46"/>
      <c r="DU19" s="46"/>
      <c r="DV19" s="46"/>
      <c r="DW19" s="46"/>
      <c r="DX19" s="46"/>
      <c r="DY19" s="46"/>
      <c r="DZ19" s="46"/>
      <c r="EA19" s="46"/>
      <c r="EB19" s="46"/>
      <c r="EC19" s="47"/>
      <c r="ED19" s="46"/>
      <c r="EE19" s="46"/>
      <c r="EF19" s="46"/>
      <c r="EG19" s="46"/>
      <c r="EH19" s="46"/>
      <c r="EI19" s="46"/>
      <c r="EJ19" s="46"/>
      <c r="EK19" s="46"/>
      <c r="EL19" s="46"/>
      <c r="EM19" s="46"/>
      <c r="EN19" s="46"/>
      <c r="EO19" s="46"/>
      <c r="EP19" s="46"/>
      <c r="EQ19" s="46"/>
      <c r="ER19" s="46"/>
      <c r="ES19" s="46"/>
      <c r="ET19" s="46"/>
      <c r="EU19" s="46"/>
      <c r="EV19" s="46"/>
      <c r="EW19" s="46"/>
      <c r="EX19" s="46"/>
      <c r="EY19" s="46"/>
      <c r="EZ19" s="46"/>
      <c r="FA19" s="46"/>
      <c r="FB19" s="46"/>
      <c r="FC19" s="46"/>
      <c r="FD19" s="46"/>
      <c r="FE19" s="46"/>
      <c r="FF19" s="46"/>
      <c r="FG19" s="46"/>
      <c r="FH19" s="46"/>
      <c r="FI19" s="46"/>
      <c r="FJ19" s="46"/>
      <c r="FK19" s="46"/>
      <c r="FL19" s="47"/>
      <c r="FM19" s="46"/>
      <c r="FN19" s="46"/>
      <c r="FO19" s="46"/>
      <c r="FP19" s="46"/>
      <c r="FQ19" s="46"/>
      <c r="FR19" s="46"/>
      <c r="FS19" s="46"/>
      <c r="FT19" s="46"/>
      <c r="FU19" s="46"/>
      <c r="FV19" s="46"/>
      <c r="FW19" s="46"/>
      <c r="FX19" s="46"/>
      <c r="FY19" s="46"/>
      <c r="FZ19" s="46"/>
      <c r="GA19" s="46"/>
      <c r="GB19" s="46"/>
      <c r="GC19" s="46"/>
      <c r="GD19" s="46"/>
      <c r="GE19" s="46"/>
      <c r="GF19" s="46"/>
      <c r="GG19" s="46"/>
      <c r="GH19" s="46"/>
      <c r="GI19" s="46"/>
      <c r="GJ19" s="46"/>
      <c r="GK19" s="46"/>
      <c r="GL19" s="46"/>
      <c r="GM19" s="46"/>
      <c r="GN19" s="46"/>
      <c r="GO19" s="46"/>
      <c r="GP19" s="46"/>
      <c r="GQ19" s="46"/>
      <c r="GR19" s="46"/>
      <c r="GS19" s="46"/>
      <c r="GT19" s="46"/>
      <c r="GU19" s="46"/>
      <c r="GV19" s="46"/>
      <c r="GW19" s="46"/>
      <c r="GX19" s="46"/>
      <c r="GY19" s="46"/>
      <c r="GZ19" s="46"/>
      <c r="HA19" s="46"/>
      <c r="HB19" s="46"/>
      <c r="HC19" s="46"/>
      <c r="HD19" s="46"/>
      <c r="HE19" s="46"/>
      <c r="HF19" s="46"/>
      <c r="HG19" s="46"/>
      <c r="HH19" s="46"/>
      <c r="HI19" s="46"/>
      <c r="HJ19" s="46"/>
      <c r="HK19" s="46"/>
      <c r="HL19" s="46"/>
      <c r="HM19" s="46"/>
      <c r="HN19" s="46"/>
      <c r="HO19" s="46"/>
      <c r="HP19" s="46"/>
      <c r="HQ19" s="46"/>
      <c r="HR19" s="46"/>
      <c r="HS19" s="46"/>
      <c r="HT19" s="46"/>
      <c r="HU19" s="46"/>
      <c r="HV19" s="46"/>
      <c r="HW19" s="46"/>
      <c r="HX19" s="46"/>
      <c r="HY19" s="46"/>
      <c r="HZ19" s="46"/>
      <c r="IA19" s="46"/>
      <c r="IB19" s="46"/>
      <c r="IC19" s="46"/>
      <c r="ID19" s="46"/>
      <c r="IE19" s="46"/>
      <c r="IF19" s="46"/>
      <c r="IG19" s="46"/>
      <c r="IH19" s="46"/>
      <c r="II19" s="46"/>
      <c r="IJ19" s="46"/>
      <c r="IK19" s="46"/>
      <c r="IL19" s="46"/>
      <c r="IM19" s="46"/>
      <c r="IN19" s="46"/>
      <c r="IO19" s="46"/>
      <c r="IP19" s="46"/>
      <c r="IQ19" s="46"/>
      <c r="IR19" s="46"/>
      <c r="IS19" s="46"/>
      <c r="IT19" s="46"/>
      <c r="IU19" s="46"/>
      <c r="IV19" s="46"/>
      <c r="IW19" s="46"/>
      <c r="IX19" s="47"/>
      <c r="IY19">
        <f t="shared" si="0"/>
        <v>12</v>
      </c>
    </row>
    <row r="20" spans="1:259" x14ac:dyDescent="0.25">
      <c r="A20" s="561"/>
      <c r="B20" s="565"/>
      <c r="C20" s="11" t="s">
        <v>4</v>
      </c>
      <c r="D20" s="1" t="s">
        <v>9</v>
      </c>
      <c r="E20" s="1" t="s">
        <v>9</v>
      </c>
      <c r="F20" s="1" t="s">
        <v>9</v>
      </c>
      <c r="G20" s="1" t="s">
        <v>9</v>
      </c>
      <c r="H20" s="1" t="s">
        <v>9</v>
      </c>
      <c r="I20" s="1" t="s">
        <v>9</v>
      </c>
      <c r="J20" s="1" t="s">
        <v>9</v>
      </c>
      <c r="K20" s="1" t="s">
        <v>9</v>
      </c>
      <c r="L20" s="1" t="s">
        <v>9</v>
      </c>
      <c r="M20" s="1" t="s">
        <v>9</v>
      </c>
      <c r="N20" s="1" t="s">
        <v>9</v>
      </c>
      <c r="O20" s="1" t="s">
        <v>9</v>
      </c>
      <c r="P20" s="1" t="s">
        <v>9</v>
      </c>
      <c r="Q20" s="1" t="s">
        <v>9</v>
      </c>
      <c r="R20" s="3">
        <v>0</v>
      </c>
      <c r="S20" s="3">
        <v>0</v>
      </c>
      <c r="T20" s="61">
        <v>1</v>
      </c>
      <c r="U20" s="1" t="s">
        <v>9</v>
      </c>
      <c r="V20" s="1" t="s">
        <v>9</v>
      </c>
      <c r="W20" s="1" t="s">
        <v>9</v>
      </c>
      <c r="X20" s="1" t="s">
        <v>9</v>
      </c>
      <c r="Y20" s="3">
        <v>0</v>
      </c>
      <c r="Z20" s="6">
        <v>6</v>
      </c>
      <c r="AA20" s="6">
        <v>3</v>
      </c>
      <c r="AB20" s="6">
        <v>4</v>
      </c>
      <c r="AC20" s="1" t="s">
        <v>9</v>
      </c>
      <c r="AD20" s="6">
        <v>1</v>
      </c>
      <c r="AE20" s="6">
        <v>4</v>
      </c>
      <c r="AF20" s="53">
        <v>1</v>
      </c>
      <c r="AG20" s="1" t="s">
        <v>9</v>
      </c>
      <c r="AH20" s="1" t="s">
        <v>9</v>
      </c>
      <c r="AI20" s="1" t="s">
        <v>9</v>
      </c>
      <c r="AJ20" s="1" t="s">
        <v>9</v>
      </c>
      <c r="AK20" s="1" t="s">
        <v>9</v>
      </c>
      <c r="AL20" s="1" t="s">
        <v>9</v>
      </c>
      <c r="AM20" s="6">
        <v>1</v>
      </c>
      <c r="AN20" s="3">
        <v>0</v>
      </c>
      <c r="AO20" s="89">
        <v>3</v>
      </c>
      <c r="AP20" s="3">
        <v>0</v>
      </c>
      <c r="AQ20" s="3">
        <v>0</v>
      </c>
      <c r="AR20" s="3">
        <v>0</v>
      </c>
      <c r="AS20" s="3">
        <v>0</v>
      </c>
      <c r="AT20" s="90">
        <v>5</v>
      </c>
      <c r="AU20" s="53">
        <v>2</v>
      </c>
      <c r="AV20" s="91">
        <v>13</v>
      </c>
      <c r="AW20" s="92">
        <v>19</v>
      </c>
      <c r="AX20" s="93">
        <v>9</v>
      </c>
      <c r="AY20" s="52">
        <v>21</v>
      </c>
      <c r="AZ20" s="94">
        <v>12</v>
      </c>
      <c r="BA20" s="95">
        <v>10</v>
      </c>
      <c r="BB20" s="52">
        <v>36</v>
      </c>
      <c r="BC20" s="96">
        <v>21</v>
      </c>
      <c r="BD20" s="52">
        <v>30</v>
      </c>
      <c r="BE20" s="97">
        <v>39</v>
      </c>
      <c r="BF20" s="98">
        <v>22</v>
      </c>
      <c r="BG20" s="56">
        <v>20</v>
      </c>
      <c r="BH20" s="98">
        <v>30</v>
      </c>
      <c r="BI20" s="55">
        <v>20</v>
      </c>
      <c r="BJ20" s="99">
        <v>15</v>
      </c>
      <c r="BK20" s="100">
        <v>25</v>
      </c>
      <c r="BL20" s="101">
        <v>34</v>
      </c>
      <c r="BM20" s="102">
        <v>28</v>
      </c>
      <c r="BN20" s="103">
        <v>39</v>
      </c>
      <c r="BO20" s="6">
        <v>7</v>
      </c>
      <c r="BP20" s="104">
        <v>23</v>
      </c>
      <c r="BQ20" s="105">
        <v>22</v>
      </c>
      <c r="BR20" s="99">
        <v>10</v>
      </c>
      <c r="BS20" s="52">
        <v>6</v>
      </c>
      <c r="BT20" s="106">
        <v>14</v>
      </c>
      <c r="BU20" s="107">
        <v>22</v>
      </c>
      <c r="BV20" s="108">
        <v>20</v>
      </c>
      <c r="BW20" s="99">
        <v>10</v>
      </c>
      <c r="BX20" s="109">
        <v>10</v>
      </c>
      <c r="BY20" s="110">
        <v>11</v>
      </c>
      <c r="BZ20" s="111">
        <v>19</v>
      </c>
      <c r="CA20" s="105">
        <v>22</v>
      </c>
      <c r="CB20" s="112">
        <v>19</v>
      </c>
      <c r="CC20" s="52">
        <v>42</v>
      </c>
      <c r="CD20" s="113">
        <v>45</v>
      </c>
      <c r="CE20" s="114">
        <v>35</v>
      </c>
      <c r="CF20" s="108">
        <v>12</v>
      </c>
      <c r="CG20" s="115">
        <v>7</v>
      </c>
      <c r="CH20" s="53">
        <v>4</v>
      </c>
      <c r="CI20" s="53">
        <v>4</v>
      </c>
      <c r="CJ20" s="3">
        <v>0</v>
      </c>
      <c r="CK20" s="3">
        <v>0</v>
      </c>
      <c r="CL20" s="1" t="s">
        <v>9</v>
      </c>
      <c r="CM20" s="1" t="s">
        <v>9</v>
      </c>
      <c r="CN20" s="1" t="s">
        <v>9</v>
      </c>
      <c r="CO20" s="1" t="s">
        <v>9</v>
      </c>
      <c r="CP20" s="1" t="s">
        <v>9</v>
      </c>
      <c r="CQ20" s="1" t="s">
        <v>9</v>
      </c>
      <c r="CR20" s="1" t="s">
        <v>9</v>
      </c>
      <c r="CS20" s="1" t="s">
        <v>9</v>
      </c>
      <c r="CT20" s="1" t="s">
        <v>9</v>
      </c>
      <c r="CU20" s="1" t="s">
        <v>9</v>
      </c>
      <c r="CV20" s="1" t="s">
        <v>9</v>
      </c>
      <c r="CW20" s="1" t="s">
        <v>9</v>
      </c>
      <c r="CX20" s="1" t="s">
        <v>9</v>
      </c>
      <c r="CY20" s="1" t="s">
        <v>9</v>
      </c>
      <c r="CZ20" s="1" t="s">
        <v>9</v>
      </c>
      <c r="DA20" s="1" t="s">
        <v>9</v>
      </c>
      <c r="DB20" s="1" t="s">
        <v>9</v>
      </c>
      <c r="DC20" s="1" t="s">
        <v>9</v>
      </c>
      <c r="DD20" s="8" t="s">
        <v>9</v>
      </c>
      <c r="DE20" s="46"/>
      <c r="DF20" s="46"/>
      <c r="DG20" s="46"/>
      <c r="DH20" s="46"/>
      <c r="DI20" s="46"/>
      <c r="DJ20" s="46"/>
      <c r="DK20" s="46"/>
      <c r="DL20" s="46"/>
      <c r="DM20" s="46"/>
      <c r="DN20" s="46"/>
      <c r="DO20" s="46"/>
      <c r="DP20" s="46"/>
      <c r="DQ20" s="46"/>
      <c r="DR20" s="46"/>
      <c r="DS20" s="46"/>
      <c r="DT20" s="46"/>
      <c r="DU20" s="46"/>
      <c r="DV20" s="46"/>
      <c r="DW20" s="46"/>
      <c r="DX20" s="46"/>
      <c r="DY20" s="46"/>
      <c r="DZ20" s="46"/>
      <c r="EA20" s="46"/>
      <c r="EB20" s="46"/>
      <c r="EC20" s="47"/>
      <c r="ED20" s="46"/>
      <c r="EE20" s="46"/>
      <c r="EF20" s="46"/>
      <c r="EG20" s="46"/>
      <c r="EH20" s="46"/>
      <c r="EI20" s="46"/>
      <c r="EJ20" s="46"/>
      <c r="EK20" s="46"/>
      <c r="EL20" s="46"/>
      <c r="EM20" s="46"/>
      <c r="EN20" s="46"/>
      <c r="EO20" s="46"/>
      <c r="EP20" s="46"/>
      <c r="EQ20" s="46"/>
      <c r="ER20" s="46"/>
      <c r="ES20" s="46"/>
      <c r="ET20" s="46"/>
      <c r="EU20" s="46"/>
      <c r="EV20" s="46"/>
      <c r="EW20" s="46"/>
      <c r="EX20" s="46"/>
      <c r="EY20" s="46"/>
      <c r="EZ20" s="46"/>
      <c r="FA20" s="46"/>
      <c r="FB20" s="46"/>
      <c r="FC20" s="46"/>
      <c r="FD20" s="46"/>
      <c r="FE20" s="46"/>
      <c r="FF20" s="46"/>
      <c r="FG20" s="46"/>
      <c r="FH20" s="46"/>
      <c r="FI20" s="46"/>
      <c r="FJ20" s="46"/>
      <c r="FK20" s="46"/>
      <c r="FL20" s="47"/>
      <c r="FM20" s="46"/>
      <c r="FN20" s="46"/>
      <c r="FO20" s="46"/>
      <c r="FP20" s="46"/>
      <c r="FQ20" s="46"/>
      <c r="FR20" s="46"/>
      <c r="FS20" s="46"/>
      <c r="FT20" s="46"/>
      <c r="FU20" s="46"/>
      <c r="FV20" s="46"/>
      <c r="FW20" s="46"/>
      <c r="FX20" s="46"/>
      <c r="FY20" s="46"/>
      <c r="FZ20" s="46"/>
      <c r="GA20" s="46"/>
      <c r="GB20" s="46"/>
      <c r="GC20" s="46"/>
      <c r="GD20" s="46"/>
      <c r="GE20" s="46"/>
      <c r="GF20" s="46"/>
      <c r="GG20" s="46"/>
      <c r="GH20" s="46"/>
      <c r="GI20" s="46"/>
      <c r="GJ20" s="46"/>
      <c r="GK20" s="46"/>
      <c r="GL20" s="46"/>
      <c r="GM20" s="46"/>
      <c r="GN20" s="46"/>
      <c r="GO20" s="46"/>
      <c r="GP20" s="46"/>
      <c r="GQ20" s="46"/>
      <c r="GR20" s="46"/>
      <c r="GS20" s="46"/>
      <c r="GT20" s="46"/>
      <c r="GU20" s="46"/>
      <c r="GV20" s="46"/>
      <c r="GW20" s="46"/>
      <c r="GX20" s="46"/>
      <c r="GY20" s="46"/>
      <c r="GZ20" s="46"/>
      <c r="HA20" s="46"/>
      <c r="HB20" s="46"/>
      <c r="HC20" s="46"/>
      <c r="HD20" s="46"/>
      <c r="HE20" s="46"/>
      <c r="HF20" s="46"/>
      <c r="HG20" s="46"/>
      <c r="HH20" s="46"/>
      <c r="HI20" s="46"/>
      <c r="HJ20" s="46"/>
      <c r="HK20" s="46"/>
      <c r="HL20" s="46"/>
      <c r="HM20" s="46"/>
      <c r="HN20" s="46"/>
      <c r="HO20" s="46"/>
      <c r="HP20" s="46"/>
      <c r="HQ20" s="46"/>
      <c r="HR20" s="46"/>
      <c r="HS20" s="46"/>
      <c r="HT20" s="46"/>
      <c r="HU20" s="46"/>
      <c r="HV20" s="46"/>
      <c r="HW20" s="46"/>
      <c r="HX20" s="46"/>
      <c r="HY20" s="46"/>
      <c r="HZ20" s="46"/>
      <c r="IA20" s="46"/>
      <c r="IB20" s="46"/>
      <c r="IC20" s="46"/>
      <c r="ID20" s="46"/>
      <c r="IE20" s="46"/>
      <c r="IF20" s="46"/>
      <c r="IG20" s="46"/>
      <c r="IH20" s="46"/>
      <c r="II20" s="46"/>
      <c r="IJ20" s="46"/>
      <c r="IK20" s="46"/>
      <c r="IL20" s="46"/>
      <c r="IM20" s="46"/>
      <c r="IN20" s="46"/>
      <c r="IO20" s="46"/>
      <c r="IP20" s="46"/>
      <c r="IQ20" s="46"/>
      <c r="IR20" s="46"/>
      <c r="IS20" s="46"/>
      <c r="IT20" s="46"/>
      <c r="IU20" s="46"/>
      <c r="IV20" s="46"/>
      <c r="IW20" s="46"/>
      <c r="IX20" s="47"/>
      <c r="IY20">
        <f t="shared" si="0"/>
        <v>45</v>
      </c>
    </row>
    <row r="21" spans="1:259" x14ac:dyDescent="0.25">
      <c r="A21" s="561"/>
      <c r="B21" s="565"/>
      <c r="C21" s="11" t="s">
        <v>10</v>
      </c>
      <c r="D21" s="1" t="s">
        <v>9</v>
      </c>
      <c r="E21" s="1" t="s">
        <v>9</v>
      </c>
      <c r="F21" s="1" t="s">
        <v>9</v>
      </c>
      <c r="G21" s="1" t="s">
        <v>9</v>
      </c>
      <c r="H21" s="1" t="s">
        <v>9</v>
      </c>
      <c r="I21" s="1" t="s">
        <v>9</v>
      </c>
      <c r="J21" s="1" t="s">
        <v>9</v>
      </c>
      <c r="K21" s="1" t="s">
        <v>9</v>
      </c>
      <c r="L21" s="1" t="s">
        <v>9</v>
      </c>
      <c r="M21" s="1" t="s">
        <v>9</v>
      </c>
      <c r="N21" s="1" t="s">
        <v>9</v>
      </c>
      <c r="O21" s="1" t="s">
        <v>9</v>
      </c>
      <c r="P21" s="1" t="s">
        <v>9</v>
      </c>
      <c r="Q21" s="1" t="s">
        <v>9</v>
      </c>
      <c r="R21" s="3">
        <v>0</v>
      </c>
      <c r="S21" s="99">
        <v>5</v>
      </c>
      <c r="T21" s="52">
        <v>3</v>
      </c>
      <c r="U21" s="1" t="s">
        <v>9</v>
      </c>
      <c r="V21" s="6">
        <v>1</v>
      </c>
      <c r="W21" s="1" t="s">
        <v>9</v>
      </c>
      <c r="X21" s="6">
        <v>1</v>
      </c>
      <c r="Y21" s="89">
        <v>2</v>
      </c>
      <c r="Z21" s="3">
        <v>0</v>
      </c>
      <c r="AA21" s="3">
        <v>0</v>
      </c>
      <c r="AB21" s="3">
        <v>0</v>
      </c>
      <c r="AC21" s="3">
        <v>0</v>
      </c>
      <c r="AD21" s="3">
        <v>0</v>
      </c>
      <c r="AE21" s="3">
        <v>0</v>
      </c>
      <c r="AF21" s="3">
        <v>0</v>
      </c>
      <c r="AG21" s="1" t="s">
        <v>9</v>
      </c>
      <c r="AH21" s="1" t="s">
        <v>9</v>
      </c>
      <c r="AI21" s="1" t="s">
        <v>9</v>
      </c>
      <c r="AJ21" s="1" t="s">
        <v>9</v>
      </c>
      <c r="AK21" s="1" t="s">
        <v>9</v>
      </c>
      <c r="AL21" s="1" t="s">
        <v>9</v>
      </c>
      <c r="AM21" s="3">
        <v>0</v>
      </c>
      <c r="AN21" s="1" t="s">
        <v>9</v>
      </c>
      <c r="AO21" s="98">
        <v>2</v>
      </c>
      <c r="AP21" s="98">
        <v>6</v>
      </c>
      <c r="AQ21" s="98">
        <v>2</v>
      </c>
      <c r="AR21" s="79">
        <v>3</v>
      </c>
      <c r="AS21" s="116">
        <v>2</v>
      </c>
      <c r="AT21" s="61">
        <v>1</v>
      </c>
      <c r="AU21" s="70">
        <v>1</v>
      </c>
      <c r="AV21" s="67">
        <v>3</v>
      </c>
      <c r="AW21" s="71">
        <v>1</v>
      </c>
      <c r="AX21" s="117">
        <v>2</v>
      </c>
      <c r="AY21" s="57">
        <v>15</v>
      </c>
      <c r="AZ21" s="60">
        <v>2</v>
      </c>
      <c r="BA21" s="74">
        <v>1</v>
      </c>
      <c r="BB21" s="61">
        <v>8</v>
      </c>
      <c r="BC21" s="118">
        <v>14</v>
      </c>
      <c r="BD21" s="80">
        <v>9</v>
      </c>
      <c r="BE21" s="60">
        <v>4</v>
      </c>
      <c r="BF21" s="69">
        <v>6</v>
      </c>
      <c r="BG21" s="117">
        <v>5</v>
      </c>
      <c r="BH21" s="119">
        <v>14</v>
      </c>
      <c r="BI21" s="120">
        <v>21</v>
      </c>
      <c r="BJ21" s="121">
        <v>14</v>
      </c>
      <c r="BK21" s="87">
        <v>6</v>
      </c>
      <c r="BL21" s="122">
        <v>9</v>
      </c>
      <c r="BM21" s="69">
        <v>7</v>
      </c>
      <c r="BN21" s="68">
        <v>7</v>
      </c>
      <c r="BO21" s="3">
        <v>0</v>
      </c>
      <c r="BP21" s="3">
        <v>0</v>
      </c>
      <c r="BQ21" s="123">
        <v>5</v>
      </c>
      <c r="BR21" s="117">
        <v>1</v>
      </c>
      <c r="BS21" s="71">
        <v>1</v>
      </c>
      <c r="BT21" s="58">
        <v>2</v>
      </c>
      <c r="BU21" s="124">
        <v>7</v>
      </c>
      <c r="BV21" s="80">
        <v>7</v>
      </c>
      <c r="BW21" s="69">
        <v>4</v>
      </c>
      <c r="BX21" s="124">
        <v>4</v>
      </c>
      <c r="BY21" s="70">
        <v>2</v>
      </c>
      <c r="BZ21" s="61">
        <v>6</v>
      </c>
      <c r="CA21" s="3">
        <v>0</v>
      </c>
      <c r="CB21" s="71">
        <v>1</v>
      </c>
      <c r="CC21" s="72">
        <v>6</v>
      </c>
      <c r="CD21" s="125">
        <v>8</v>
      </c>
      <c r="CE21" s="78">
        <v>8</v>
      </c>
      <c r="CF21" s="59">
        <v>2</v>
      </c>
      <c r="CG21" s="126">
        <v>3</v>
      </c>
      <c r="CH21" s="3">
        <v>0</v>
      </c>
      <c r="CI21" s="61">
        <v>2</v>
      </c>
      <c r="CJ21" s="75">
        <v>1</v>
      </c>
      <c r="CK21" s="3">
        <v>0</v>
      </c>
      <c r="CL21" s="1" t="s">
        <v>9</v>
      </c>
      <c r="CM21" s="1" t="s">
        <v>9</v>
      </c>
      <c r="CN21" s="1" t="s">
        <v>9</v>
      </c>
      <c r="CO21" s="1" t="s">
        <v>9</v>
      </c>
      <c r="CP21" s="1" t="s">
        <v>9</v>
      </c>
      <c r="CQ21" s="1" t="s">
        <v>9</v>
      </c>
      <c r="CR21" s="1" t="s">
        <v>9</v>
      </c>
      <c r="CS21" s="1" t="s">
        <v>9</v>
      </c>
      <c r="CT21" s="1" t="s">
        <v>9</v>
      </c>
      <c r="CU21" s="1" t="s">
        <v>9</v>
      </c>
      <c r="CV21" s="1" t="s">
        <v>9</v>
      </c>
      <c r="CW21" s="1" t="s">
        <v>9</v>
      </c>
      <c r="CX21" s="1" t="s">
        <v>9</v>
      </c>
      <c r="CY21" s="1" t="s">
        <v>9</v>
      </c>
      <c r="CZ21" s="1" t="s">
        <v>9</v>
      </c>
      <c r="DA21" s="1" t="s">
        <v>9</v>
      </c>
      <c r="DB21" s="1" t="s">
        <v>9</v>
      </c>
      <c r="DC21" s="1" t="s">
        <v>9</v>
      </c>
      <c r="DD21" s="8" t="s">
        <v>9</v>
      </c>
      <c r="DE21" s="46"/>
      <c r="DF21" s="46"/>
      <c r="DG21" s="46"/>
      <c r="DH21" s="46"/>
      <c r="DI21" s="46"/>
      <c r="DJ21" s="46"/>
      <c r="DK21" s="46"/>
      <c r="DL21" s="46"/>
      <c r="DM21" s="46"/>
      <c r="DN21" s="46"/>
      <c r="DO21" s="46"/>
      <c r="DP21" s="46"/>
      <c r="DQ21" s="46"/>
      <c r="DR21" s="46"/>
      <c r="DS21" s="46"/>
      <c r="DT21" s="46"/>
      <c r="DU21" s="46"/>
      <c r="DV21" s="46"/>
      <c r="DW21" s="46"/>
      <c r="DX21" s="46"/>
      <c r="DY21" s="46"/>
      <c r="DZ21" s="46"/>
      <c r="EA21" s="46"/>
      <c r="EB21" s="46"/>
      <c r="EC21" s="47"/>
      <c r="ED21" s="46"/>
      <c r="EE21" s="46"/>
      <c r="EF21" s="46"/>
      <c r="EG21" s="46"/>
      <c r="EH21" s="46"/>
      <c r="EI21" s="46"/>
      <c r="EJ21" s="46"/>
      <c r="EK21" s="46"/>
      <c r="EL21" s="46"/>
      <c r="EM21" s="46"/>
      <c r="EN21" s="46"/>
      <c r="EO21" s="46"/>
      <c r="EP21" s="46"/>
      <c r="EQ21" s="46"/>
      <c r="ER21" s="46"/>
      <c r="ES21" s="46"/>
      <c r="ET21" s="46"/>
      <c r="EU21" s="46"/>
      <c r="EV21" s="46"/>
      <c r="EW21" s="46"/>
      <c r="EX21" s="46"/>
      <c r="EY21" s="46"/>
      <c r="EZ21" s="46"/>
      <c r="FA21" s="46"/>
      <c r="FB21" s="46"/>
      <c r="FC21" s="46"/>
      <c r="FD21" s="46"/>
      <c r="FE21" s="46"/>
      <c r="FF21" s="46"/>
      <c r="FG21" s="46"/>
      <c r="FH21" s="46"/>
      <c r="FI21" s="46"/>
      <c r="FJ21" s="46"/>
      <c r="FK21" s="46"/>
      <c r="FL21" s="47"/>
      <c r="FM21" s="46"/>
      <c r="FN21" s="46"/>
      <c r="FO21" s="46"/>
      <c r="FP21" s="46"/>
      <c r="FQ21" s="46"/>
      <c r="FR21" s="46"/>
      <c r="FS21" s="46"/>
      <c r="FT21" s="46"/>
      <c r="FU21" s="46"/>
      <c r="FV21" s="46"/>
      <c r="FW21" s="46"/>
      <c r="FX21" s="46"/>
      <c r="FY21" s="46"/>
      <c r="FZ21" s="46"/>
      <c r="GA21" s="46"/>
      <c r="GB21" s="46"/>
      <c r="GC21" s="46"/>
      <c r="GD21" s="46"/>
      <c r="GE21" s="46"/>
      <c r="GF21" s="46"/>
      <c r="GG21" s="46"/>
      <c r="GH21" s="46"/>
      <c r="GI21" s="46"/>
      <c r="GJ21" s="46"/>
      <c r="GK21" s="46"/>
      <c r="GL21" s="46"/>
      <c r="GM21" s="46"/>
      <c r="GN21" s="46"/>
      <c r="GO21" s="46"/>
      <c r="GP21" s="46"/>
      <c r="GQ21" s="46"/>
      <c r="GR21" s="46"/>
      <c r="GS21" s="46"/>
      <c r="GT21" s="46"/>
      <c r="GU21" s="46"/>
      <c r="GV21" s="46"/>
      <c r="GW21" s="46"/>
      <c r="GX21" s="46"/>
      <c r="GY21" s="46"/>
      <c r="GZ21" s="46"/>
      <c r="HA21" s="46"/>
      <c r="HB21" s="46"/>
      <c r="HC21" s="46"/>
      <c r="HD21" s="46"/>
      <c r="HE21" s="46"/>
      <c r="HF21" s="46"/>
      <c r="HG21" s="46"/>
      <c r="HH21" s="46"/>
      <c r="HI21" s="46"/>
      <c r="HJ21" s="46"/>
      <c r="HK21" s="46"/>
      <c r="HL21" s="46"/>
      <c r="HM21" s="46"/>
      <c r="HN21" s="46"/>
      <c r="HO21" s="46"/>
      <c r="HP21" s="46"/>
      <c r="HQ21" s="46"/>
      <c r="HR21" s="46"/>
      <c r="HS21" s="46"/>
      <c r="HT21" s="46"/>
      <c r="HU21" s="46"/>
      <c r="HV21" s="46"/>
      <c r="HW21" s="46"/>
      <c r="HX21" s="46"/>
      <c r="HY21" s="46"/>
      <c r="HZ21" s="46"/>
      <c r="IA21" s="46"/>
      <c r="IB21" s="46"/>
      <c r="IC21" s="46"/>
      <c r="ID21" s="46"/>
      <c r="IE21" s="46"/>
      <c r="IF21" s="46"/>
      <c r="IG21" s="46"/>
      <c r="IH21" s="46"/>
      <c r="II21" s="46"/>
      <c r="IJ21" s="46"/>
      <c r="IK21" s="46"/>
      <c r="IL21" s="46"/>
      <c r="IM21" s="46"/>
      <c r="IN21" s="46"/>
      <c r="IO21" s="46"/>
      <c r="IP21" s="46"/>
      <c r="IQ21" s="46"/>
      <c r="IR21" s="46"/>
      <c r="IS21" s="46"/>
      <c r="IT21" s="46"/>
      <c r="IU21" s="46"/>
      <c r="IV21" s="46"/>
      <c r="IW21" s="46"/>
      <c r="IX21" s="47"/>
      <c r="IY21">
        <f t="shared" si="0"/>
        <v>21</v>
      </c>
    </row>
    <row r="22" spans="1:259" x14ac:dyDescent="0.25">
      <c r="A22" s="561"/>
      <c r="B22" s="565"/>
      <c r="C22" s="11" t="s">
        <v>2</v>
      </c>
      <c r="D22" s="1" t="s">
        <v>9</v>
      </c>
      <c r="E22" s="1" t="s">
        <v>9</v>
      </c>
      <c r="F22" s="1" t="s">
        <v>9</v>
      </c>
      <c r="G22" s="1" t="s">
        <v>9</v>
      </c>
      <c r="H22" s="1" t="s">
        <v>9</v>
      </c>
      <c r="I22" s="1" t="s">
        <v>9</v>
      </c>
      <c r="J22" s="1" t="s">
        <v>9</v>
      </c>
      <c r="K22" s="1" t="s">
        <v>9</v>
      </c>
      <c r="L22" s="1" t="s">
        <v>9</v>
      </c>
      <c r="M22" s="1" t="s">
        <v>9</v>
      </c>
      <c r="N22" s="1" t="s">
        <v>9</v>
      </c>
      <c r="O22" s="1" t="s">
        <v>9</v>
      </c>
      <c r="P22" s="1" t="s">
        <v>9</v>
      </c>
      <c r="Q22" s="1" t="s">
        <v>9</v>
      </c>
      <c r="R22" s="6">
        <v>1</v>
      </c>
      <c r="S22" s="73">
        <v>3</v>
      </c>
      <c r="T22" s="61">
        <v>1</v>
      </c>
      <c r="U22" s="1" t="s">
        <v>9</v>
      </c>
      <c r="V22" s="3">
        <v>0</v>
      </c>
      <c r="W22" s="1" t="s">
        <v>9</v>
      </c>
      <c r="X22" s="3">
        <v>0</v>
      </c>
      <c r="Y22" s="98">
        <v>4</v>
      </c>
      <c r="Z22" s="3">
        <v>0</v>
      </c>
      <c r="AA22" s="3">
        <v>0</v>
      </c>
      <c r="AB22" s="3">
        <v>0</v>
      </c>
      <c r="AC22" s="3">
        <v>0</v>
      </c>
      <c r="AD22" s="3">
        <v>0</v>
      </c>
      <c r="AE22" s="3">
        <v>0</v>
      </c>
      <c r="AF22" s="3">
        <v>0</v>
      </c>
      <c r="AG22" s="1" t="s">
        <v>9</v>
      </c>
      <c r="AH22" s="1" t="s">
        <v>9</v>
      </c>
      <c r="AI22" s="1" t="s">
        <v>9</v>
      </c>
      <c r="AJ22" s="1" t="s">
        <v>9</v>
      </c>
      <c r="AK22" s="1" t="s">
        <v>9</v>
      </c>
      <c r="AL22" s="1" t="s">
        <v>9</v>
      </c>
      <c r="AM22" s="3">
        <v>0</v>
      </c>
      <c r="AN22" s="1" t="s">
        <v>9</v>
      </c>
      <c r="AO22" s="89">
        <v>1</v>
      </c>
      <c r="AP22" s="89">
        <v>3</v>
      </c>
      <c r="AQ22" s="89">
        <v>1</v>
      </c>
      <c r="AR22" s="75">
        <v>1</v>
      </c>
      <c r="AS22" s="127">
        <v>7</v>
      </c>
      <c r="AT22" s="61">
        <v>1</v>
      </c>
      <c r="AU22" s="89">
        <v>2</v>
      </c>
      <c r="AV22" s="117">
        <v>2</v>
      </c>
      <c r="AW22" s="88">
        <v>4</v>
      </c>
      <c r="AX22" s="75">
        <v>4</v>
      </c>
      <c r="AY22" s="66">
        <v>1</v>
      </c>
      <c r="AZ22" s="71">
        <v>1</v>
      </c>
      <c r="BA22" s="88">
        <v>3</v>
      </c>
      <c r="BB22" s="69">
        <v>5</v>
      </c>
      <c r="BC22" s="128">
        <v>2</v>
      </c>
      <c r="BD22" s="81">
        <v>1</v>
      </c>
      <c r="BE22" s="129">
        <v>5</v>
      </c>
      <c r="BF22" s="58">
        <v>5</v>
      </c>
      <c r="BG22" s="69">
        <v>8</v>
      </c>
      <c r="BH22" s="71">
        <v>2</v>
      </c>
      <c r="BI22" s="81">
        <v>1</v>
      </c>
      <c r="BJ22" s="124">
        <v>7</v>
      </c>
      <c r="BK22" s="130">
        <v>16</v>
      </c>
      <c r="BL22" s="70">
        <v>8</v>
      </c>
      <c r="BM22" s="69">
        <v>7</v>
      </c>
      <c r="BN22" s="58">
        <v>4</v>
      </c>
      <c r="BO22" s="117">
        <v>1</v>
      </c>
      <c r="BP22" s="81">
        <v>1</v>
      </c>
      <c r="BQ22" s="3">
        <v>0</v>
      </c>
      <c r="BR22" s="3">
        <v>0</v>
      </c>
      <c r="BS22" s="131">
        <v>6</v>
      </c>
      <c r="BT22" s="122">
        <v>3</v>
      </c>
      <c r="BU22" s="84">
        <v>4</v>
      </c>
      <c r="BV22" s="60">
        <v>3</v>
      </c>
      <c r="BW22" s="132">
        <v>8</v>
      </c>
      <c r="BX22" s="124">
        <v>4</v>
      </c>
      <c r="BY22" s="3">
        <v>0</v>
      </c>
      <c r="BZ22" s="3">
        <v>0</v>
      </c>
      <c r="CA22" s="58">
        <v>3</v>
      </c>
      <c r="CB22" s="63">
        <v>6</v>
      </c>
      <c r="CC22" s="70">
        <v>8</v>
      </c>
      <c r="CD22" s="74">
        <v>3</v>
      </c>
      <c r="CE22" s="62">
        <v>4</v>
      </c>
      <c r="CF22" s="71">
        <v>1</v>
      </c>
      <c r="CG22" s="116">
        <v>2</v>
      </c>
      <c r="CH22" s="55">
        <v>4</v>
      </c>
      <c r="CI22" s="58">
        <v>1</v>
      </c>
      <c r="CJ22" s="79">
        <v>3</v>
      </c>
      <c r="CK22" s="6">
        <v>1</v>
      </c>
      <c r="CL22" s="1" t="s">
        <v>9</v>
      </c>
      <c r="CM22" s="1" t="s">
        <v>9</v>
      </c>
      <c r="CN22" s="1" t="s">
        <v>9</v>
      </c>
      <c r="CO22" s="1" t="s">
        <v>9</v>
      </c>
      <c r="CP22" s="1" t="s">
        <v>9</v>
      </c>
      <c r="CQ22" s="1" t="s">
        <v>9</v>
      </c>
      <c r="CR22" s="1" t="s">
        <v>9</v>
      </c>
      <c r="CS22" s="1" t="s">
        <v>9</v>
      </c>
      <c r="CT22" s="1" t="s">
        <v>9</v>
      </c>
      <c r="CU22" s="1" t="s">
        <v>9</v>
      </c>
      <c r="CV22" s="1" t="s">
        <v>9</v>
      </c>
      <c r="CW22" s="1" t="s">
        <v>9</v>
      </c>
      <c r="CX22" s="1" t="s">
        <v>9</v>
      </c>
      <c r="CY22" s="1" t="s">
        <v>9</v>
      </c>
      <c r="CZ22" s="1" t="s">
        <v>9</v>
      </c>
      <c r="DA22" s="1" t="s">
        <v>9</v>
      </c>
      <c r="DB22" s="1" t="s">
        <v>9</v>
      </c>
      <c r="DC22" s="1" t="s">
        <v>9</v>
      </c>
      <c r="DD22" s="8" t="s">
        <v>9</v>
      </c>
      <c r="DE22" s="46"/>
      <c r="DF22" s="46"/>
      <c r="DG22" s="46"/>
      <c r="DH22" s="46"/>
      <c r="DI22" s="46"/>
      <c r="DJ22" s="46"/>
      <c r="DK22" s="46"/>
      <c r="DL22" s="46"/>
      <c r="DM22" s="46"/>
      <c r="DN22" s="46"/>
      <c r="DO22" s="46"/>
      <c r="DP22" s="46"/>
      <c r="DQ22" s="46"/>
      <c r="DR22" s="46"/>
      <c r="DS22" s="46"/>
      <c r="DT22" s="46"/>
      <c r="DU22" s="46"/>
      <c r="DV22" s="46"/>
      <c r="DW22" s="46"/>
      <c r="DX22" s="46"/>
      <c r="DY22" s="46"/>
      <c r="DZ22" s="46"/>
      <c r="EA22" s="46"/>
      <c r="EB22" s="46"/>
      <c r="EC22" s="47"/>
      <c r="ED22" s="46"/>
      <c r="EE22" s="46"/>
      <c r="EF22" s="46"/>
      <c r="EG22" s="46"/>
      <c r="EH22" s="46"/>
      <c r="EI22" s="46"/>
      <c r="EJ22" s="46"/>
      <c r="EK22" s="46"/>
      <c r="EL22" s="46"/>
      <c r="EM22" s="46"/>
      <c r="EN22" s="46"/>
      <c r="EO22" s="46"/>
      <c r="EP22" s="46"/>
      <c r="EQ22" s="46"/>
      <c r="ER22" s="46"/>
      <c r="ES22" s="46"/>
      <c r="ET22" s="46"/>
      <c r="EU22" s="46"/>
      <c r="EV22" s="46"/>
      <c r="EW22" s="46"/>
      <c r="EX22" s="46"/>
      <c r="EY22" s="46"/>
      <c r="EZ22" s="46"/>
      <c r="FA22" s="46"/>
      <c r="FB22" s="46"/>
      <c r="FC22" s="46"/>
      <c r="FD22" s="46"/>
      <c r="FE22" s="46"/>
      <c r="FF22" s="46"/>
      <c r="FG22" s="46"/>
      <c r="FH22" s="46"/>
      <c r="FI22" s="46"/>
      <c r="FJ22" s="46"/>
      <c r="FK22" s="46"/>
      <c r="FL22" s="47"/>
      <c r="FM22" s="46"/>
      <c r="FN22" s="46"/>
      <c r="FO22" s="46"/>
      <c r="FP22" s="46"/>
      <c r="FQ22" s="46"/>
      <c r="FR22" s="46"/>
      <c r="FS22" s="46"/>
      <c r="FT22" s="46"/>
      <c r="FU22" s="46"/>
      <c r="FV22" s="46"/>
      <c r="FW22" s="46"/>
      <c r="FX22" s="46"/>
      <c r="FY22" s="46"/>
      <c r="FZ22" s="46"/>
      <c r="GA22" s="46"/>
      <c r="GB22" s="46"/>
      <c r="GC22" s="46"/>
      <c r="GD22" s="46"/>
      <c r="GE22" s="46"/>
      <c r="GF22" s="46"/>
      <c r="GG22" s="46"/>
      <c r="GH22" s="46"/>
      <c r="GI22" s="46"/>
      <c r="GJ22" s="46"/>
      <c r="GK22" s="46"/>
      <c r="GL22" s="46"/>
      <c r="GM22" s="46"/>
      <c r="GN22" s="46"/>
      <c r="GO22" s="46"/>
      <c r="GP22" s="46"/>
      <c r="GQ22" s="46"/>
      <c r="GR22" s="46"/>
      <c r="GS22" s="46"/>
      <c r="GT22" s="46"/>
      <c r="GU22" s="46"/>
      <c r="GV22" s="46"/>
      <c r="GW22" s="46"/>
      <c r="GX22" s="46"/>
      <c r="GY22" s="46"/>
      <c r="GZ22" s="46"/>
      <c r="HA22" s="46"/>
      <c r="HB22" s="46"/>
      <c r="HC22" s="46"/>
      <c r="HD22" s="46"/>
      <c r="HE22" s="46"/>
      <c r="HF22" s="46"/>
      <c r="HG22" s="46"/>
      <c r="HH22" s="46"/>
      <c r="HI22" s="46"/>
      <c r="HJ22" s="46"/>
      <c r="HK22" s="46"/>
      <c r="HL22" s="46"/>
      <c r="HM22" s="46"/>
      <c r="HN22" s="46"/>
      <c r="HO22" s="46"/>
      <c r="HP22" s="46"/>
      <c r="HQ22" s="46"/>
      <c r="HR22" s="46"/>
      <c r="HS22" s="46"/>
      <c r="HT22" s="46"/>
      <c r="HU22" s="46"/>
      <c r="HV22" s="46"/>
      <c r="HW22" s="46"/>
      <c r="HX22" s="46"/>
      <c r="HY22" s="46"/>
      <c r="HZ22" s="46"/>
      <c r="IA22" s="46"/>
      <c r="IB22" s="46"/>
      <c r="IC22" s="46"/>
      <c r="ID22" s="46"/>
      <c r="IE22" s="46"/>
      <c r="IF22" s="46"/>
      <c r="IG22" s="46"/>
      <c r="IH22" s="46"/>
      <c r="II22" s="46"/>
      <c r="IJ22" s="46"/>
      <c r="IK22" s="46"/>
      <c r="IL22" s="46"/>
      <c r="IM22" s="46"/>
      <c r="IN22" s="46"/>
      <c r="IO22" s="46"/>
      <c r="IP22" s="46"/>
      <c r="IQ22" s="46"/>
      <c r="IR22" s="46"/>
      <c r="IS22" s="46"/>
      <c r="IT22" s="46"/>
      <c r="IU22" s="46"/>
      <c r="IV22" s="46"/>
      <c r="IW22" s="46"/>
      <c r="IX22" s="47"/>
      <c r="IY22">
        <f t="shared" si="0"/>
        <v>16</v>
      </c>
    </row>
    <row r="23" spans="1:259" ht="15.75" thickBot="1" x14ac:dyDescent="0.3">
      <c r="A23" s="562"/>
      <c r="B23" s="565"/>
      <c r="C23" s="11" t="s">
        <v>6</v>
      </c>
      <c r="D23" s="1" t="s">
        <v>9</v>
      </c>
      <c r="E23" s="1" t="s">
        <v>9</v>
      </c>
      <c r="F23" s="1" t="s">
        <v>9</v>
      </c>
      <c r="G23" s="1" t="s">
        <v>9</v>
      </c>
      <c r="H23" s="1" t="s">
        <v>9</v>
      </c>
      <c r="I23" s="1" t="s">
        <v>9</v>
      </c>
      <c r="J23" s="1" t="s">
        <v>9</v>
      </c>
      <c r="K23" s="1" t="s">
        <v>9</v>
      </c>
      <c r="L23" s="1" t="s">
        <v>9</v>
      </c>
      <c r="M23" s="1" t="s">
        <v>9</v>
      </c>
      <c r="N23" s="1" t="s">
        <v>9</v>
      </c>
      <c r="O23" s="1" t="s">
        <v>9</v>
      </c>
      <c r="P23" s="1" t="s">
        <v>9</v>
      </c>
      <c r="Q23" s="1" t="s">
        <v>9</v>
      </c>
      <c r="R23" s="3">
        <v>0</v>
      </c>
      <c r="S23" s="3">
        <v>0</v>
      </c>
      <c r="T23" s="3">
        <v>0</v>
      </c>
      <c r="U23" s="1" t="s">
        <v>9</v>
      </c>
      <c r="V23" s="3">
        <v>0</v>
      </c>
      <c r="W23" s="1" t="s">
        <v>9</v>
      </c>
      <c r="X23" s="3">
        <v>0</v>
      </c>
      <c r="Y23" s="3">
        <v>0</v>
      </c>
      <c r="Z23" s="6">
        <v>5</v>
      </c>
      <c r="AA23" s="6">
        <v>4</v>
      </c>
      <c r="AB23" s="6">
        <v>4</v>
      </c>
      <c r="AC23" s="6">
        <v>1</v>
      </c>
      <c r="AD23" s="6">
        <v>1</v>
      </c>
      <c r="AE23" s="6">
        <v>2</v>
      </c>
      <c r="AF23" s="6">
        <v>3</v>
      </c>
      <c r="AG23" s="1" t="s">
        <v>9</v>
      </c>
      <c r="AH23" s="1" t="s">
        <v>9</v>
      </c>
      <c r="AI23" s="1" t="s">
        <v>9</v>
      </c>
      <c r="AJ23" s="1" t="s">
        <v>9</v>
      </c>
      <c r="AK23" s="1" t="s">
        <v>9</v>
      </c>
      <c r="AL23" s="1" t="s">
        <v>9</v>
      </c>
      <c r="AM23" s="6">
        <v>1</v>
      </c>
      <c r="AN23" s="1" t="s">
        <v>9</v>
      </c>
      <c r="AO23" s="3">
        <v>0</v>
      </c>
      <c r="AP23" s="3">
        <v>0</v>
      </c>
      <c r="AQ23" s="3">
        <v>0</v>
      </c>
      <c r="AR23" s="75">
        <v>1</v>
      </c>
      <c r="AS23" s="116">
        <v>2</v>
      </c>
      <c r="AT23" s="53">
        <v>2</v>
      </c>
      <c r="AU23" s="53">
        <v>3</v>
      </c>
      <c r="AV23" s="133">
        <v>16</v>
      </c>
      <c r="AW23" s="134">
        <v>18</v>
      </c>
      <c r="AX23" s="135">
        <v>14</v>
      </c>
      <c r="AY23" s="136">
        <v>19</v>
      </c>
      <c r="AZ23" s="112">
        <v>19</v>
      </c>
      <c r="BA23" s="137">
        <v>13</v>
      </c>
      <c r="BB23" s="138">
        <v>19</v>
      </c>
      <c r="BC23" s="139">
        <v>25</v>
      </c>
      <c r="BD23" s="133">
        <v>32</v>
      </c>
      <c r="BE23" s="140">
        <v>35</v>
      </c>
      <c r="BF23" s="141">
        <v>28</v>
      </c>
      <c r="BG23" s="142">
        <v>38</v>
      </c>
      <c r="BH23" s="101">
        <v>34</v>
      </c>
      <c r="BI23" s="143">
        <v>19</v>
      </c>
      <c r="BJ23" s="144">
        <v>15</v>
      </c>
      <c r="BK23" s="143">
        <v>19</v>
      </c>
      <c r="BL23" s="145">
        <v>31</v>
      </c>
      <c r="BM23" s="146">
        <v>30</v>
      </c>
      <c r="BN23" s="100">
        <v>21</v>
      </c>
      <c r="BO23" s="113">
        <v>9</v>
      </c>
      <c r="BP23" s="147">
        <v>46</v>
      </c>
      <c r="BQ23" s="133">
        <v>16</v>
      </c>
      <c r="BR23" s="113">
        <v>9</v>
      </c>
      <c r="BS23" s="148">
        <v>16</v>
      </c>
      <c r="BT23" s="149">
        <v>11</v>
      </c>
      <c r="BU23" s="148">
        <v>25</v>
      </c>
      <c r="BV23" s="150">
        <v>23</v>
      </c>
      <c r="BW23" s="151">
        <v>13</v>
      </c>
      <c r="BX23" s="152">
        <v>13</v>
      </c>
      <c r="BY23" s="90">
        <v>10</v>
      </c>
      <c r="BZ23" s="52">
        <v>18</v>
      </c>
      <c r="CA23" s="153">
        <v>20</v>
      </c>
      <c r="CB23" s="154">
        <v>19</v>
      </c>
      <c r="CC23" s="95">
        <v>35</v>
      </c>
      <c r="CD23" s="137">
        <v>36</v>
      </c>
      <c r="CE23" s="155">
        <v>47</v>
      </c>
      <c r="CF23" s="105">
        <v>22</v>
      </c>
      <c r="CG23" s="156">
        <v>6</v>
      </c>
      <c r="CH23" s="157">
        <v>5</v>
      </c>
      <c r="CI23" s="99">
        <v>5</v>
      </c>
      <c r="CJ23" s="75">
        <v>1</v>
      </c>
      <c r="CK23" s="3">
        <v>0</v>
      </c>
      <c r="CL23" s="1" t="s">
        <v>9</v>
      </c>
      <c r="CM23" s="1" t="s">
        <v>9</v>
      </c>
      <c r="CN23" s="1" t="s">
        <v>9</v>
      </c>
      <c r="CO23" s="1" t="s">
        <v>9</v>
      </c>
      <c r="CP23" s="1" t="s">
        <v>9</v>
      </c>
      <c r="CQ23" s="1" t="s">
        <v>9</v>
      </c>
      <c r="CR23" s="1" t="s">
        <v>9</v>
      </c>
      <c r="CS23" s="1" t="s">
        <v>9</v>
      </c>
      <c r="CT23" s="1" t="s">
        <v>9</v>
      </c>
      <c r="CU23" s="1" t="s">
        <v>9</v>
      </c>
      <c r="CV23" s="1" t="s">
        <v>9</v>
      </c>
      <c r="CW23" s="1" t="s">
        <v>9</v>
      </c>
      <c r="CX23" s="1" t="s">
        <v>9</v>
      </c>
      <c r="CY23" s="1" t="s">
        <v>9</v>
      </c>
      <c r="CZ23" s="1" t="s">
        <v>9</v>
      </c>
      <c r="DA23" s="1" t="s">
        <v>9</v>
      </c>
      <c r="DB23" s="1" t="s">
        <v>9</v>
      </c>
      <c r="DC23" s="1" t="s">
        <v>9</v>
      </c>
      <c r="DD23" s="8" t="s">
        <v>9</v>
      </c>
      <c r="DE23" s="46"/>
      <c r="DF23" s="46"/>
      <c r="DG23" s="46"/>
      <c r="DH23" s="46"/>
      <c r="DI23" s="46"/>
      <c r="DJ23" s="46"/>
      <c r="DK23" s="46"/>
      <c r="DL23" s="46"/>
      <c r="DM23" s="46"/>
      <c r="DN23" s="46"/>
      <c r="DO23" s="46"/>
      <c r="DP23" s="46"/>
      <c r="DQ23" s="46"/>
      <c r="DR23" s="46"/>
      <c r="DS23" s="46"/>
      <c r="DT23" s="46"/>
      <c r="DU23" s="46"/>
      <c r="DV23" s="46"/>
      <c r="DW23" s="46"/>
      <c r="DX23" s="46"/>
      <c r="DY23" s="46"/>
      <c r="DZ23" s="46"/>
      <c r="EA23" s="46"/>
      <c r="EB23" s="46"/>
      <c r="EC23" s="47"/>
      <c r="ED23" s="46"/>
      <c r="EE23" s="46"/>
      <c r="EF23" s="46"/>
      <c r="EG23" s="46"/>
      <c r="EH23" s="46"/>
      <c r="EI23" s="46"/>
      <c r="EJ23" s="46"/>
      <c r="EK23" s="46"/>
      <c r="EL23" s="46"/>
      <c r="EM23" s="46"/>
      <c r="EN23" s="46"/>
      <c r="EO23" s="46"/>
      <c r="EP23" s="46"/>
      <c r="EQ23" s="46"/>
      <c r="ER23" s="46"/>
      <c r="ES23" s="46"/>
      <c r="ET23" s="46"/>
      <c r="EU23" s="46"/>
      <c r="EV23" s="46"/>
      <c r="EW23" s="46"/>
      <c r="EX23" s="46"/>
      <c r="EY23" s="46"/>
      <c r="EZ23" s="46"/>
      <c r="FA23" s="46"/>
      <c r="FB23" s="46"/>
      <c r="FC23" s="46"/>
      <c r="FD23" s="46"/>
      <c r="FE23" s="46"/>
      <c r="FF23" s="46"/>
      <c r="FG23" s="46"/>
      <c r="FH23" s="46"/>
      <c r="FI23" s="46"/>
      <c r="FJ23" s="46"/>
      <c r="FK23" s="46"/>
      <c r="FL23" s="47"/>
      <c r="FM23" s="48"/>
      <c r="FN23" s="48"/>
      <c r="FO23" s="48"/>
      <c r="FP23" s="48"/>
      <c r="FQ23" s="48"/>
      <c r="FR23" s="48"/>
      <c r="FS23" s="48"/>
      <c r="FT23" s="48"/>
      <c r="FU23" s="48"/>
      <c r="FV23" s="48"/>
      <c r="FW23" s="48"/>
      <c r="FX23" s="48"/>
      <c r="FY23" s="48"/>
      <c r="FZ23" s="48"/>
      <c r="GA23" s="48"/>
      <c r="GB23" s="48"/>
      <c r="GC23" s="48"/>
      <c r="GD23" s="48"/>
      <c r="GE23" s="48"/>
      <c r="GF23" s="48"/>
      <c r="GG23" s="48"/>
      <c r="GH23" s="48"/>
      <c r="GI23" s="48"/>
      <c r="GJ23" s="48"/>
      <c r="GK23" s="48"/>
      <c r="GL23" s="48"/>
      <c r="GM23" s="48"/>
      <c r="GN23" s="48"/>
      <c r="GO23" s="48"/>
      <c r="GP23" s="48"/>
      <c r="GQ23" s="48"/>
      <c r="GR23" s="48"/>
      <c r="GS23" s="48"/>
      <c r="GT23" s="48"/>
      <c r="GU23" s="48"/>
      <c r="GV23" s="48"/>
      <c r="GW23" s="48"/>
      <c r="GX23" s="48"/>
      <c r="GY23" s="48"/>
      <c r="GZ23" s="48"/>
      <c r="HA23" s="48"/>
      <c r="HB23" s="48"/>
      <c r="HC23" s="48"/>
      <c r="HD23" s="48"/>
      <c r="HE23" s="48"/>
      <c r="HF23" s="48"/>
      <c r="HG23" s="48"/>
      <c r="HH23" s="48"/>
      <c r="HI23" s="48"/>
      <c r="HJ23" s="48"/>
      <c r="HK23" s="48"/>
      <c r="HL23" s="48"/>
      <c r="HM23" s="48"/>
      <c r="HN23" s="48"/>
      <c r="HO23" s="48"/>
      <c r="HP23" s="48"/>
      <c r="HQ23" s="48"/>
      <c r="HR23" s="48"/>
      <c r="HS23" s="48"/>
      <c r="HT23" s="48"/>
      <c r="HU23" s="48"/>
      <c r="HV23" s="48"/>
      <c r="HW23" s="48"/>
      <c r="HX23" s="48"/>
      <c r="HY23" s="48"/>
      <c r="HZ23" s="48"/>
      <c r="IA23" s="48"/>
      <c r="IB23" s="48"/>
      <c r="IC23" s="48"/>
      <c r="ID23" s="48"/>
      <c r="IE23" s="48"/>
      <c r="IF23" s="48"/>
      <c r="IG23" s="48"/>
      <c r="IH23" s="48"/>
      <c r="II23" s="48"/>
      <c r="IJ23" s="48"/>
      <c r="IK23" s="48"/>
      <c r="IL23" s="48"/>
      <c r="IM23" s="48"/>
      <c r="IN23" s="48"/>
      <c r="IO23" s="48"/>
      <c r="IP23" s="48"/>
      <c r="IQ23" s="48"/>
      <c r="IR23" s="48"/>
      <c r="IS23" s="48"/>
      <c r="IT23" s="48"/>
      <c r="IU23" s="48"/>
      <c r="IV23" s="48"/>
      <c r="IW23" s="48"/>
      <c r="IX23" s="49"/>
      <c r="IY23">
        <f t="shared" si="0"/>
        <v>47</v>
      </c>
    </row>
    <row r="24" spans="1:259" ht="15" customHeight="1" x14ac:dyDescent="0.25">
      <c r="A24" s="560" t="s">
        <v>134</v>
      </c>
      <c r="B24" s="565"/>
      <c r="C24" s="22" t="s">
        <v>17</v>
      </c>
      <c r="D24" s="24"/>
      <c r="E24" s="19"/>
      <c r="F24" s="25"/>
      <c r="G24" s="25"/>
      <c r="H24" s="25"/>
      <c r="I24" s="25"/>
      <c r="J24" s="25"/>
      <c r="K24" s="25"/>
      <c r="L24" s="25"/>
      <c r="M24" s="25"/>
      <c r="N24" s="25"/>
      <c r="O24" s="25"/>
      <c r="P24" s="25"/>
      <c r="Q24" s="25"/>
      <c r="R24" s="25"/>
      <c r="S24" s="25"/>
      <c r="T24" s="25"/>
      <c r="U24" s="25"/>
      <c r="V24" s="25"/>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6"/>
      <c r="AZ24" s="19"/>
      <c r="BA24" s="19"/>
      <c r="BB24" s="19"/>
      <c r="BC24" s="19"/>
      <c r="BD24" s="19"/>
      <c r="BE24" s="19"/>
      <c r="BF24" s="19"/>
      <c r="BG24" s="19"/>
      <c r="BH24" s="19"/>
      <c r="BI24" s="19"/>
      <c r="BJ24" s="19"/>
      <c r="BK24" s="19"/>
      <c r="BL24" s="19"/>
      <c r="BM24" s="19"/>
      <c r="BN24" s="19"/>
      <c r="BO24" s="19"/>
      <c r="BP24" s="19"/>
      <c r="BQ24" s="19"/>
      <c r="BR24" s="19"/>
      <c r="BS24" s="19"/>
      <c r="BT24" s="19"/>
      <c r="BU24" s="19"/>
      <c r="BV24" s="19"/>
      <c r="BW24" s="19"/>
      <c r="BX24" s="19"/>
      <c r="BY24" s="19"/>
      <c r="BZ24" s="19"/>
      <c r="CA24" s="19"/>
      <c r="CB24" s="19"/>
      <c r="CC24" s="19"/>
      <c r="CD24" s="19"/>
      <c r="CE24" s="19"/>
      <c r="CF24" s="19">
        <v>0.87</v>
      </c>
      <c r="CG24" s="19">
        <v>0.85</v>
      </c>
      <c r="CH24" s="19">
        <v>0.85</v>
      </c>
      <c r="CI24" s="19">
        <v>0.85</v>
      </c>
      <c r="CJ24" s="19">
        <v>0.86</v>
      </c>
      <c r="CK24" s="19">
        <v>0.87</v>
      </c>
      <c r="CL24" s="19">
        <v>0.88</v>
      </c>
      <c r="CM24" s="25"/>
      <c r="CN24" s="19"/>
      <c r="CO24" s="19"/>
      <c r="CP24" s="19"/>
      <c r="CQ24" s="19"/>
      <c r="CR24" s="19"/>
      <c r="CS24" s="19"/>
      <c r="CT24" s="19"/>
      <c r="CU24" s="19"/>
      <c r="CV24" s="19"/>
      <c r="CW24" s="19"/>
      <c r="CX24" s="19"/>
      <c r="CY24" s="19"/>
      <c r="CZ24" s="19"/>
      <c r="DA24" s="19"/>
      <c r="DB24" s="19"/>
      <c r="DC24" s="19"/>
      <c r="DD24" s="19"/>
      <c r="DE24" s="19"/>
      <c r="DF24" s="19"/>
      <c r="DG24" s="19"/>
      <c r="DH24" s="19"/>
      <c r="DI24" s="19"/>
      <c r="DJ24" s="19"/>
      <c r="DK24" s="19"/>
      <c r="DL24" s="19"/>
      <c r="DM24" s="19"/>
      <c r="DN24" s="19"/>
      <c r="DO24" s="19"/>
      <c r="DP24" s="19"/>
      <c r="DQ24" s="19"/>
      <c r="DR24" s="19"/>
      <c r="DS24" s="19"/>
      <c r="DT24" s="19"/>
      <c r="DU24" s="19"/>
      <c r="DV24" s="19"/>
      <c r="DW24" s="19"/>
      <c r="DX24" s="19"/>
      <c r="DY24" s="19"/>
      <c r="DZ24" s="19"/>
      <c r="EA24" s="19"/>
      <c r="EB24" s="19"/>
      <c r="EC24" s="19"/>
      <c r="ED24" s="19"/>
      <c r="EE24" s="19"/>
      <c r="EF24" s="19"/>
      <c r="EG24" s="19"/>
      <c r="EH24" s="19"/>
      <c r="EI24" s="19"/>
      <c r="EJ24" s="19"/>
      <c r="EK24" s="19"/>
      <c r="EL24" s="19"/>
      <c r="EM24" s="19"/>
      <c r="EN24" s="19"/>
      <c r="EO24" s="19"/>
      <c r="EP24" s="19"/>
      <c r="EQ24" s="19"/>
      <c r="ER24" s="19"/>
      <c r="ES24" s="19"/>
      <c r="ET24" s="19"/>
      <c r="EU24" s="19"/>
      <c r="EV24" s="19"/>
      <c r="EW24" s="19"/>
      <c r="EX24" s="19"/>
      <c r="EY24" s="19"/>
      <c r="EZ24" s="19"/>
      <c r="FA24" s="19"/>
      <c r="FB24" s="19"/>
      <c r="FC24" s="19"/>
      <c r="FD24" s="19"/>
      <c r="FE24" s="19"/>
      <c r="FF24" s="19"/>
      <c r="FG24" s="19"/>
      <c r="FH24" s="19"/>
      <c r="FI24" s="19"/>
      <c r="FJ24" s="19"/>
      <c r="FK24" s="19"/>
      <c r="FL24" s="19"/>
      <c r="FM24" s="19"/>
      <c r="FN24" s="19"/>
      <c r="FO24" s="19"/>
      <c r="FP24" s="19"/>
      <c r="FQ24" s="19"/>
      <c r="FR24" s="19"/>
      <c r="FS24" s="19"/>
      <c r="FT24" s="19"/>
      <c r="FU24" s="19"/>
      <c r="FV24" s="19"/>
      <c r="FW24" s="19"/>
      <c r="FX24" s="19"/>
      <c r="FY24" s="19"/>
      <c r="FZ24" s="19"/>
      <c r="GA24" s="19"/>
      <c r="GB24" s="19"/>
      <c r="GC24" s="19"/>
      <c r="GD24" s="19"/>
      <c r="GE24" s="19"/>
      <c r="GF24" s="19"/>
      <c r="GG24" s="19"/>
      <c r="GH24" s="19"/>
      <c r="GI24" s="19"/>
      <c r="GJ24" s="19"/>
      <c r="GK24" s="19"/>
      <c r="GL24" s="19"/>
      <c r="GM24" s="19"/>
      <c r="GN24" s="19"/>
      <c r="GO24" s="19"/>
      <c r="GP24" s="19"/>
      <c r="GQ24" s="19"/>
      <c r="GR24" s="19"/>
      <c r="GS24" s="19"/>
      <c r="GT24" s="19"/>
      <c r="GU24" s="19"/>
      <c r="GV24" s="19"/>
      <c r="GW24" s="19"/>
      <c r="GX24" s="19"/>
      <c r="GY24" s="19"/>
      <c r="GZ24" s="19"/>
      <c r="HA24" s="19"/>
      <c r="HB24" s="19"/>
      <c r="HC24" s="19"/>
      <c r="HD24" s="19"/>
      <c r="HE24" s="19"/>
      <c r="HF24" s="19"/>
      <c r="HG24" s="19"/>
      <c r="HH24" s="19"/>
      <c r="HI24" s="19"/>
      <c r="HJ24" s="19"/>
      <c r="HK24" s="19"/>
      <c r="HL24" s="19"/>
      <c r="HM24" s="19"/>
      <c r="HN24" s="19"/>
      <c r="HO24" s="19"/>
      <c r="HP24" s="19"/>
      <c r="HQ24" s="19"/>
      <c r="HR24" s="19"/>
      <c r="HS24" s="19"/>
      <c r="HT24" s="19"/>
      <c r="HU24" s="19"/>
      <c r="HV24" s="19"/>
      <c r="HW24" s="19"/>
      <c r="HX24" s="19"/>
      <c r="HY24" s="19"/>
      <c r="HZ24" s="19"/>
      <c r="IA24" s="19"/>
      <c r="IB24" s="19"/>
      <c r="IC24" s="19"/>
      <c r="ID24" s="19"/>
      <c r="IE24" s="19"/>
      <c r="IF24" s="19"/>
      <c r="IG24" s="19"/>
      <c r="IH24" s="19"/>
      <c r="II24" s="19"/>
      <c r="IJ24" s="19"/>
      <c r="IK24" s="19"/>
      <c r="IL24" s="19"/>
      <c r="IM24" s="19"/>
      <c r="IN24" s="19"/>
      <c r="IO24" s="19"/>
      <c r="IP24" s="19"/>
      <c r="IQ24" s="19"/>
      <c r="IR24" s="19"/>
      <c r="IS24" s="19"/>
      <c r="IT24" s="19"/>
      <c r="IU24" s="19"/>
      <c r="IV24" s="19"/>
      <c r="IW24" s="19"/>
      <c r="IX24" s="20"/>
    </row>
    <row r="25" spans="1:259" x14ac:dyDescent="0.25">
      <c r="A25" s="561"/>
      <c r="B25" s="565"/>
      <c r="C25" s="23" t="s">
        <v>16</v>
      </c>
      <c r="D25" s="26"/>
      <c r="E25" s="16"/>
      <c r="F25" s="27"/>
      <c r="G25" s="27"/>
      <c r="H25" s="27"/>
      <c r="I25" s="27"/>
      <c r="J25" s="27"/>
      <c r="K25" s="27"/>
      <c r="L25" s="27"/>
      <c r="M25" s="27"/>
      <c r="N25" s="27"/>
      <c r="O25" s="27"/>
      <c r="P25" s="27"/>
      <c r="Q25" s="27"/>
      <c r="R25" s="27"/>
      <c r="S25" s="27"/>
      <c r="T25" s="27"/>
      <c r="U25" s="27"/>
      <c r="V25" s="27"/>
      <c r="W25" s="16"/>
      <c r="X25" s="16"/>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c r="BO25" s="16"/>
      <c r="BP25" s="16"/>
      <c r="BQ25" s="16"/>
      <c r="BR25" s="16"/>
      <c r="BS25" s="16"/>
      <c r="BT25" s="16"/>
      <c r="BU25" s="16"/>
      <c r="BV25" s="16"/>
      <c r="BW25" s="16"/>
      <c r="BX25" s="16"/>
      <c r="BY25" s="16"/>
      <c r="BZ25" s="16"/>
      <c r="CA25" s="16"/>
      <c r="CB25" s="16"/>
      <c r="CC25" s="16"/>
      <c r="CD25" s="16"/>
      <c r="CE25" s="16"/>
      <c r="CF25" s="16">
        <v>0.85</v>
      </c>
      <c r="CG25" s="16">
        <v>0.84</v>
      </c>
      <c r="CH25" s="16">
        <v>0.84</v>
      </c>
      <c r="CI25" s="16">
        <v>0.83</v>
      </c>
      <c r="CJ25" s="16">
        <v>0.85</v>
      </c>
      <c r="CK25" s="16">
        <v>0.86</v>
      </c>
      <c r="CL25" s="16">
        <v>0.87</v>
      </c>
      <c r="CM25" s="27"/>
      <c r="CN25" s="16"/>
      <c r="CO25" s="16"/>
      <c r="CP25" s="16"/>
      <c r="CQ25" s="16"/>
      <c r="CR25" s="16"/>
      <c r="CS25" s="16"/>
      <c r="CT25" s="16"/>
      <c r="CU25" s="16"/>
      <c r="CV25" s="16"/>
      <c r="CW25" s="16"/>
      <c r="CX25" s="16"/>
      <c r="CY25" s="16"/>
      <c r="CZ25" s="16"/>
      <c r="DA25" s="16"/>
      <c r="DB25" s="16"/>
      <c r="DC25" s="16"/>
      <c r="DD25" s="16"/>
      <c r="DE25" s="16"/>
      <c r="DF25" s="16"/>
      <c r="DG25" s="16"/>
      <c r="DH25" s="16"/>
      <c r="DI25" s="16"/>
      <c r="DJ25" s="16"/>
      <c r="DK25" s="16"/>
      <c r="DL25" s="16"/>
      <c r="DM25" s="16"/>
      <c r="DN25" s="16"/>
      <c r="DO25" s="16"/>
      <c r="DP25" s="16"/>
      <c r="DQ25" s="16"/>
      <c r="DR25" s="16"/>
      <c r="DS25" s="16"/>
      <c r="DT25" s="16"/>
      <c r="DU25" s="16"/>
      <c r="DV25" s="16"/>
      <c r="DW25" s="16"/>
      <c r="DX25" s="16"/>
      <c r="DY25" s="16"/>
      <c r="DZ25" s="16"/>
      <c r="EA25" s="16"/>
      <c r="EB25" s="16"/>
      <c r="EC25" s="16"/>
      <c r="ED25" s="16"/>
      <c r="EE25" s="16"/>
      <c r="EF25" s="16"/>
      <c r="EG25" s="16"/>
      <c r="EH25" s="16"/>
      <c r="EI25" s="16"/>
      <c r="EJ25" s="16"/>
      <c r="EK25" s="16"/>
      <c r="EL25" s="16"/>
      <c r="EM25" s="16"/>
      <c r="EN25" s="16"/>
      <c r="EO25" s="16"/>
      <c r="EP25" s="16"/>
      <c r="EQ25" s="16"/>
      <c r="ER25" s="16"/>
      <c r="ES25" s="16"/>
      <c r="ET25" s="16"/>
      <c r="EU25" s="16"/>
      <c r="EV25" s="16"/>
      <c r="EW25" s="16"/>
      <c r="EX25" s="16"/>
      <c r="EY25" s="16"/>
      <c r="EZ25" s="16"/>
      <c r="FA25" s="16"/>
      <c r="FB25" s="16"/>
      <c r="FC25" s="16"/>
      <c r="FD25" s="16"/>
      <c r="FE25" s="16"/>
      <c r="FF25" s="16"/>
      <c r="FG25" s="16"/>
      <c r="FH25" s="16"/>
      <c r="FI25" s="16"/>
      <c r="FJ25" s="16"/>
      <c r="FK25" s="16"/>
      <c r="FL25" s="16"/>
      <c r="FM25" s="16"/>
      <c r="FN25" s="16"/>
      <c r="FO25" s="16"/>
      <c r="FP25" s="16"/>
      <c r="FQ25" s="16"/>
      <c r="FR25" s="16"/>
      <c r="FS25" s="16"/>
      <c r="FT25" s="16"/>
      <c r="FU25" s="16"/>
      <c r="FV25" s="16"/>
      <c r="FW25" s="16"/>
      <c r="FX25" s="16"/>
      <c r="FY25" s="16"/>
      <c r="FZ25" s="16"/>
      <c r="GA25" s="16"/>
      <c r="GB25" s="16"/>
      <c r="GC25" s="16"/>
      <c r="GD25" s="16"/>
      <c r="GE25" s="16"/>
      <c r="GF25" s="16"/>
      <c r="GG25" s="16"/>
      <c r="GH25" s="16"/>
      <c r="GI25" s="16"/>
      <c r="GJ25" s="16"/>
      <c r="GK25" s="16"/>
      <c r="GL25" s="16"/>
      <c r="GM25" s="16"/>
      <c r="GN25" s="16"/>
      <c r="GO25" s="16"/>
      <c r="GP25" s="16"/>
      <c r="GQ25" s="16"/>
      <c r="GR25" s="16"/>
      <c r="GS25" s="16"/>
      <c r="GT25" s="16"/>
      <c r="GU25" s="16"/>
      <c r="GV25" s="16"/>
      <c r="GW25" s="16"/>
      <c r="GX25" s="16"/>
      <c r="GY25" s="16"/>
      <c r="GZ25" s="16"/>
      <c r="HA25" s="16"/>
      <c r="HB25" s="16"/>
      <c r="HC25" s="16"/>
      <c r="HD25" s="16"/>
      <c r="HE25" s="16"/>
      <c r="HF25" s="16"/>
      <c r="HG25" s="16"/>
      <c r="HH25" s="16"/>
      <c r="HI25" s="16"/>
      <c r="HJ25" s="16"/>
      <c r="HK25" s="16"/>
      <c r="HL25" s="16"/>
      <c r="HM25" s="16"/>
      <c r="HN25" s="16"/>
      <c r="HO25" s="16"/>
      <c r="HP25" s="16"/>
      <c r="HQ25" s="16"/>
      <c r="HR25" s="16"/>
      <c r="HS25" s="16"/>
      <c r="HT25" s="16"/>
      <c r="HU25" s="16"/>
      <c r="HV25" s="16"/>
      <c r="HW25" s="16"/>
      <c r="HX25" s="16"/>
      <c r="HY25" s="16"/>
      <c r="HZ25" s="16"/>
      <c r="IA25" s="16"/>
      <c r="IB25" s="16"/>
      <c r="IC25" s="16"/>
      <c r="ID25" s="16"/>
      <c r="IE25" s="16"/>
      <c r="IF25" s="16"/>
      <c r="IG25" s="16"/>
      <c r="IH25" s="16"/>
      <c r="II25" s="16"/>
      <c r="IJ25" s="16"/>
      <c r="IK25" s="16"/>
      <c r="IL25" s="16"/>
      <c r="IM25" s="16"/>
      <c r="IN25" s="16"/>
      <c r="IO25" s="16"/>
      <c r="IP25" s="16"/>
      <c r="IQ25" s="16"/>
      <c r="IR25" s="16"/>
      <c r="IS25" s="16"/>
      <c r="IT25" s="16"/>
      <c r="IU25" s="16"/>
      <c r="IV25" s="16"/>
      <c r="IW25" s="16"/>
      <c r="IX25" s="21"/>
    </row>
    <row r="26" spans="1:259" x14ac:dyDescent="0.25">
      <c r="A26" s="561"/>
      <c r="B26" s="565"/>
      <c r="C26" s="23" t="s">
        <v>15</v>
      </c>
      <c r="D26" s="26"/>
      <c r="E26" s="16"/>
      <c r="F26" s="27"/>
      <c r="G26" s="27"/>
      <c r="H26" s="27"/>
      <c r="I26" s="27"/>
      <c r="J26" s="27"/>
      <c r="K26" s="27"/>
      <c r="L26" s="27"/>
      <c r="M26" s="27"/>
      <c r="N26" s="27"/>
      <c r="O26" s="27"/>
      <c r="P26" s="27"/>
      <c r="Q26" s="27"/>
      <c r="R26" s="27"/>
      <c r="S26" s="27"/>
      <c r="T26" s="27"/>
      <c r="U26" s="27"/>
      <c r="V26" s="27"/>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16"/>
      <c r="BM26" s="16"/>
      <c r="BN26" s="16"/>
      <c r="BO26" s="16"/>
      <c r="BP26" s="16"/>
      <c r="BQ26" s="16"/>
      <c r="BR26" s="16"/>
      <c r="BS26" s="16"/>
      <c r="BT26" s="16"/>
      <c r="BU26" s="16"/>
      <c r="BV26" s="16"/>
      <c r="BW26" s="16"/>
      <c r="BX26" s="16"/>
      <c r="BY26" s="16"/>
      <c r="BZ26" s="16"/>
      <c r="CA26" s="16"/>
      <c r="CB26" s="16"/>
      <c r="CC26" s="16"/>
      <c r="CD26" s="16"/>
      <c r="CE26" s="16"/>
      <c r="CF26" s="16"/>
      <c r="CG26" s="16">
        <v>0.02</v>
      </c>
      <c r="CH26" s="16">
        <v>0.02</v>
      </c>
      <c r="CI26" s="16">
        <v>0.04</v>
      </c>
      <c r="CJ26" s="16">
        <v>0.03</v>
      </c>
      <c r="CK26" s="16">
        <v>0.08</v>
      </c>
      <c r="CL26" s="16">
        <v>0.06</v>
      </c>
      <c r="CM26" s="27"/>
      <c r="CN26" s="16"/>
      <c r="CO26" s="16"/>
      <c r="CP26" s="16"/>
      <c r="CQ26" s="16"/>
      <c r="CR26" s="16"/>
      <c r="CS26" s="16"/>
      <c r="CT26" s="16"/>
      <c r="CU26" s="16"/>
      <c r="CV26" s="16"/>
      <c r="CW26" s="16"/>
      <c r="CX26" s="16"/>
      <c r="CY26" s="16"/>
      <c r="CZ26" s="16"/>
      <c r="DA26" s="16"/>
      <c r="DB26" s="16"/>
      <c r="DC26" s="16"/>
      <c r="DD26" s="16"/>
      <c r="DE26" s="16"/>
      <c r="DF26" s="16"/>
      <c r="DG26" s="16"/>
      <c r="DH26" s="16"/>
      <c r="DI26" s="16"/>
      <c r="DJ26" s="16"/>
      <c r="DK26" s="16"/>
      <c r="DL26" s="16"/>
      <c r="DM26" s="16"/>
      <c r="DN26" s="16"/>
      <c r="DO26" s="16"/>
      <c r="DP26" s="16"/>
      <c r="DQ26" s="16"/>
      <c r="DR26" s="16"/>
      <c r="DS26" s="16"/>
      <c r="DT26" s="16"/>
      <c r="DU26" s="16"/>
      <c r="DV26" s="16"/>
      <c r="DW26" s="16"/>
      <c r="DX26" s="16"/>
      <c r="DY26" s="16"/>
      <c r="DZ26" s="16"/>
      <c r="EA26" s="16"/>
      <c r="EB26" s="16"/>
      <c r="EC26" s="16"/>
      <c r="ED26" s="16"/>
      <c r="EE26" s="16"/>
      <c r="EF26" s="16"/>
      <c r="EG26" s="16"/>
      <c r="EH26" s="16"/>
      <c r="EI26" s="16"/>
      <c r="EJ26" s="16"/>
      <c r="EK26" s="16"/>
      <c r="EL26" s="16"/>
      <c r="EM26" s="16"/>
      <c r="EN26" s="16"/>
      <c r="EO26" s="16"/>
      <c r="EP26" s="16"/>
      <c r="EQ26" s="16"/>
      <c r="ER26" s="16"/>
      <c r="ES26" s="16"/>
      <c r="ET26" s="16"/>
      <c r="EU26" s="16"/>
      <c r="EV26" s="16"/>
      <c r="EW26" s="16"/>
      <c r="EX26" s="16"/>
      <c r="EY26" s="16"/>
      <c r="EZ26" s="16"/>
      <c r="FA26" s="16"/>
      <c r="FB26" s="16"/>
      <c r="FC26" s="16"/>
      <c r="FD26" s="16"/>
      <c r="FE26" s="16"/>
      <c r="FF26" s="16"/>
      <c r="FG26" s="16"/>
      <c r="FH26" s="16"/>
      <c r="FI26" s="16"/>
      <c r="FJ26" s="16"/>
      <c r="FK26" s="16"/>
      <c r="FL26" s="16"/>
      <c r="FM26" s="16"/>
      <c r="FN26" s="16"/>
      <c r="FO26" s="16"/>
      <c r="FP26" s="16"/>
      <c r="FQ26" s="16"/>
      <c r="FR26" s="16"/>
      <c r="FS26" s="16"/>
      <c r="FT26" s="16"/>
      <c r="FU26" s="16"/>
      <c r="FV26" s="16"/>
      <c r="FW26" s="16"/>
      <c r="FX26" s="16"/>
      <c r="FY26" s="16"/>
      <c r="FZ26" s="16"/>
      <c r="GA26" s="16"/>
      <c r="GB26" s="16"/>
      <c r="GC26" s="16"/>
      <c r="GD26" s="16"/>
      <c r="GE26" s="16"/>
      <c r="GF26" s="16"/>
      <c r="GG26" s="16"/>
      <c r="GH26" s="16"/>
      <c r="GI26" s="16"/>
      <c r="GJ26" s="16"/>
      <c r="GK26" s="16"/>
      <c r="GL26" s="16"/>
      <c r="GM26" s="16"/>
      <c r="GN26" s="16"/>
      <c r="GO26" s="16"/>
      <c r="GP26" s="16"/>
      <c r="GQ26" s="16"/>
      <c r="GR26" s="16"/>
      <c r="GS26" s="16"/>
      <c r="GT26" s="16"/>
      <c r="GU26" s="16"/>
      <c r="GV26" s="16"/>
      <c r="GW26" s="16"/>
      <c r="GX26" s="16"/>
      <c r="GY26" s="16"/>
      <c r="GZ26" s="16"/>
      <c r="HA26" s="16"/>
      <c r="HB26" s="16"/>
      <c r="HC26" s="16"/>
      <c r="HD26" s="16"/>
      <c r="HE26" s="16"/>
      <c r="HF26" s="16"/>
      <c r="HG26" s="16"/>
      <c r="HH26" s="16"/>
      <c r="HI26" s="16"/>
      <c r="HJ26" s="16"/>
      <c r="HK26" s="16"/>
      <c r="HL26" s="16"/>
      <c r="HM26" s="16"/>
      <c r="HN26" s="16"/>
      <c r="HO26" s="16"/>
      <c r="HP26" s="16"/>
      <c r="HQ26" s="16"/>
      <c r="HR26" s="16"/>
      <c r="HS26" s="16"/>
      <c r="HT26" s="16"/>
      <c r="HU26" s="16"/>
      <c r="HV26" s="16"/>
      <c r="HW26" s="16"/>
      <c r="HX26" s="16"/>
      <c r="HY26" s="16"/>
      <c r="HZ26" s="16"/>
      <c r="IA26" s="16"/>
      <c r="IB26" s="16"/>
      <c r="IC26" s="16"/>
      <c r="ID26" s="16"/>
      <c r="IE26" s="16"/>
      <c r="IF26" s="16"/>
      <c r="IG26" s="16"/>
      <c r="IH26" s="16"/>
      <c r="II26" s="16"/>
      <c r="IJ26" s="16"/>
      <c r="IK26" s="16"/>
      <c r="IL26" s="16"/>
      <c r="IM26" s="16"/>
      <c r="IN26" s="16"/>
      <c r="IO26" s="16"/>
      <c r="IP26" s="16"/>
      <c r="IQ26" s="16"/>
      <c r="IR26" s="16"/>
      <c r="IS26" s="16"/>
      <c r="IT26" s="16"/>
      <c r="IU26" s="16"/>
      <c r="IV26" s="16"/>
      <c r="IW26" s="16"/>
      <c r="IX26" s="21"/>
    </row>
    <row r="27" spans="1:259" x14ac:dyDescent="0.25">
      <c r="A27" s="561"/>
      <c r="B27" s="565"/>
      <c r="C27" s="23" t="s">
        <v>14</v>
      </c>
      <c r="D27" s="26"/>
      <c r="E27" s="16"/>
      <c r="F27" s="27"/>
      <c r="G27" s="27"/>
      <c r="H27" s="27"/>
      <c r="I27" s="27"/>
      <c r="J27" s="27"/>
      <c r="K27" s="27"/>
      <c r="L27" s="27"/>
      <c r="M27" s="27"/>
      <c r="N27" s="27"/>
      <c r="O27" s="27"/>
      <c r="P27" s="27"/>
      <c r="Q27" s="27"/>
      <c r="R27" s="27"/>
      <c r="S27" s="27"/>
      <c r="T27" s="27"/>
      <c r="U27" s="27"/>
      <c r="V27" s="27"/>
      <c r="W27" s="16"/>
      <c r="X27" s="16"/>
      <c r="Y27" s="16"/>
      <c r="Z27" s="16"/>
      <c r="AA27" s="16"/>
      <c r="AB27" s="16"/>
      <c r="AC27" s="16"/>
      <c r="AD27" s="16"/>
      <c r="AE27" s="16"/>
      <c r="AF27" s="16"/>
      <c r="AG27" s="16"/>
      <c r="AH27" s="16"/>
      <c r="AI27" s="16"/>
      <c r="AJ27" s="16"/>
      <c r="AK27" s="16"/>
      <c r="AL27" s="16"/>
      <c r="AM27" s="16"/>
      <c r="AN27" s="16"/>
      <c r="AO27" s="16"/>
      <c r="AP27" s="16"/>
      <c r="AQ27" s="16"/>
      <c r="AR27" s="16"/>
      <c r="AS27" s="16"/>
      <c r="AT27" s="16"/>
      <c r="AU27" s="16"/>
      <c r="AV27" s="16"/>
      <c r="AW27" s="16"/>
      <c r="AX27" s="16"/>
      <c r="AY27" s="16"/>
      <c r="AZ27" s="16"/>
      <c r="BA27" s="16"/>
      <c r="BB27" s="16"/>
      <c r="BC27" s="16"/>
      <c r="BD27" s="16"/>
      <c r="BE27" s="16"/>
      <c r="BF27" s="16"/>
      <c r="BG27" s="16"/>
      <c r="BH27" s="16"/>
      <c r="BI27" s="16"/>
      <c r="BJ27" s="16"/>
      <c r="BK27" s="16"/>
      <c r="BL27" s="16"/>
      <c r="BM27" s="16"/>
      <c r="BN27" s="16"/>
      <c r="BO27" s="16"/>
      <c r="BP27" s="16"/>
      <c r="BQ27" s="16"/>
      <c r="BR27" s="16"/>
      <c r="BS27" s="16"/>
      <c r="BT27" s="16"/>
      <c r="BU27" s="16"/>
      <c r="BV27" s="16"/>
      <c r="BW27" s="16"/>
      <c r="BX27" s="16"/>
      <c r="BY27" s="16"/>
      <c r="BZ27" s="16"/>
      <c r="CA27" s="16"/>
      <c r="CB27" s="16"/>
      <c r="CC27" s="16"/>
      <c r="CD27" s="16"/>
      <c r="CE27" s="16"/>
      <c r="CF27" s="16"/>
      <c r="CG27" s="16">
        <v>0.01</v>
      </c>
      <c r="CH27" s="16">
        <v>0.04</v>
      </c>
      <c r="CI27" s="16">
        <v>0.02</v>
      </c>
      <c r="CJ27" s="16">
        <v>0</v>
      </c>
      <c r="CK27" s="16">
        <v>0</v>
      </c>
      <c r="CL27" s="16">
        <v>0</v>
      </c>
      <c r="CM27" s="27"/>
      <c r="CN27" s="16"/>
      <c r="CO27" s="16"/>
      <c r="CP27" s="16"/>
      <c r="CQ27" s="16"/>
      <c r="CR27" s="16"/>
      <c r="CS27" s="16"/>
      <c r="CT27" s="16"/>
      <c r="CU27" s="16"/>
      <c r="CV27" s="16"/>
      <c r="CW27" s="16"/>
      <c r="CX27" s="16"/>
      <c r="CY27" s="16"/>
      <c r="CZ27" s="16"/>
      <c r="DA27" s="16"/>
      <c r="DB27" s="16"/>
      <c r="DC27" s="16"/>
      <c r="DD27" s="16"/>
      <c r="DE27" s="16"/>
      <c r="DF27" s="16"/>
      <c r="DG27" s="16"/>
      <c r="DH27" s="16"/>
      <c r="DI27" s="16"/>
      <c r="DJ27" s="16"/>
      <c r="DK27" s="16"/>
      <c r="DL27" s="16"/>
      <c r="DM27" s="16"/>
      <c r="DN27" s="16"/>
      <c r="DO27" s="16"/>
      <c r="DP27" s="16"/>
      <c r="DQ27" s="16"/>
      <c r="DR27" s="16"/>
      <c r="DS27" s="16"/>
      <c r="DT27" s="16"/>
      <c r="DU27" s="16"/>
      <c r="DV27" s="16"/>
      <c r="DW27" s="16"/>
      <c r="DX27" s="16"/>
      <c r="DY27" s="16"/>
      <c r="DZ27" s="16"/>
      <c r="EA27" s="16"/>
      <c r="EB27" s="16"/>
      <c r="EC27" s="16"/>
      <c r="ED27" s="16"/>
      <c r="EE27" s="16"/>
      <c r="EF27" s="16"/>
      <c r="EG27" s="16"/>
      <c r="EH27" s="16"/>
      <c r="EI27" s="16"/>
      <c r="EJ27" s="16"/>
      <c r="EK27" s="16"/>
      <c r="EL27" s="16"/>
      <c r="EM27" s="16"/>
      <c r="EN27" s="16"/>
      <c r="EO27" s="16"/>
      <c r="EP27" s="16"/>
      <c r="EQ27" s="16"/>
      <c r="ER27" s="16"/>
      <c r="ES27" s="16"/>
      <c r="ET27" s="16"/>
      <c r="EU27" s="16"/>
      <c r="EV27" s="16"/>
      <c r="EW27" s="16"/>
      <c r="EX27" s="16"/>
      <c r="EY27" s="16"/>
      <c r="EZ27" s="16"/>
      <c r="FA27" s="16"/>
      <c r="FB27" s="16"/>
      <c r="FC27" s="16"/>
      <c r="FD27" s="16"/>
      <c r="FE27" s="16"/>
      <c r="FF27" s="16"/>
      <c r="FG27" s="16"/>
      <c r="FH27" s="16"/>
      <c r="FI27" s="16"/>
      <c r="FJ27" s="16"/>
      <c r="FK27" s="16"/>
      <c r="FL27" s="16"/>
      <c r="FM27" s="16"/>
      <c r="FN27" s="16"/>
      <c r="FO27" s="16"/>
      <c r="FP27" s="16"/>
      <c r="FQ27" s="16"/>
      <c r="FR27" s="16"/>
      <c r="FS27" s="16"/>
      <c r="FT27" s="16"/>
      <c r="FU27" s="16"/>
      <c r="FV27" s="16"/>
      <c r="FW27" s="16"/>
      <c r="FX27" s="16"/>
      <c r="FY27" s="16"/>
      <c r="FZ27" s="16"/>
      <c r="GA27" s="16"/>
      <c r="GB27" s="16"/>
      <c r="GC27" s="16"/>
      <c r="GD27" s="16"/>
      <c r="GE27" s="16"/>
      <c r="GF27" s="16"/>
      <c r="GG27" s="16"/>
      <c r="GH27" s="16"/>
      <c r="GI27" s="16"/>
      <c r="GJ27" s="16"/>
      <c r="GK27" s="16"/>
      <c r="GL27" s="16"/>
      <c r="GM27" s="16"/>
      <c r="GN27" s="16"/>
      <c r="GO27" s="16"/>
      <c r="GP27" s="16"/>
      <c r="GQ27" s="16"/>
      <c r="GR27" s="16"/>
      <c r="GS27" s="16"/>
      <c r="GT27" s="16"/>
      <c r="GU27" s="16"/>
      <c r="GV27" s="16"/>
      <c r="GW27" s="16"/>
      <c r="GX27" s="16"/>
      <c r="GY27" s="16"/>
      <c r="GZ27" s="16"/>
      <c r="HA27" s="16"/>
      <c r="HB27" s="16"/>
      <c r="HC27" s="16"/>
      <c r="HD27" s="16"/>
      <c r="HE27" s="16"/>
      <c r="HF27" s="16"/>
      <c r="HG27" s="16"/>
      <c r="HH27" s="16"/>
      <c r="HI27" s="16"/>
      <c r="HJ27" s="16"/>
      <c r="HK27" s="16"/>
      <c r="HL27" s="16"/>
      <c r="HM27" s="16"/>
      <c r="HN27" s="16"/>
      <c r="HO27" s="16"/>
      <c r="HP27" s="16"/>
      <c r="HQ27" s="16"/>
      <c r="HR27" s="16"/>
      <c r="HS27" s="16"/>
      <c r="HT27" s="16"/>
      <c r="HU27" s="16"/>
      <c r="HV27" s="16"/>
      <c r="HW27" s="16"/>
      <c r="HX27" s="16"/>
      <c r="HY27" s="16"/>
      <c r="HZ27" s="16"/>
      <c r="IA27" s="16"/>
      <c r="IB27" s="16"/>
      <c r="IC27" s="16"/>
      <c r="ID27" s="16"/>
      <c r="IE27" s="16"/>
      <c r="IF27" s="16"/>
      <c r="IG27" s="16"/>
      <c r="IH27" s="16"/>
      <c r="II27" s="16"/>
      <c r="IJ27" s="16"/>
      <c r="IK27" s="16"/>
      <c r="IL27" s="16"/>
      <c r="IM27" s="16"/>
      <c r="IN27" s="16"/>
      <c r="IO27" s="16"/>
      <c r="IP27" s="16"/>
      <c r="IQ27" s="16"/>
      <c r="IR27" s="16"/>
      <c r="IS27" s="16"/>
      <c r="IT27" s="16"/>
      <c r="IU27" s="16"/>
      <c r="IV27" s="16"/>
      <c r="IW27" s="16"/>
      <c r="IX27" s="21"/>
    </row>
    <row r="28" spans="1:259" x14ac:dyDescent="0.25">
      <c r="A28" s="561"/>
      <c r="B28" s="565"/>
      <c r="C28" s="23" t="s">
        <v>13</v>
      </c>
      <c r="D28" s="26"/>
      <c r="E28" s="16"/>
      <c r="F28" s="27"/>
      <c r="G28" s="27"/>
      <c r="H28" s="27"/>
      <c r="I28" s="27"/>
      <c r="J28" s="27"/>
      <c r="K28" s="27"/>
      <c r="L28" s="27"/>
      <c r="M28" s="27"/>
      <c r="N28" s="27"/>
      <c r="O28" s="27"/>
      <c r="P28" s="27"/>
      <c r="Q28" s="27"/>
      <c r="R28" s="27"/>
      <c r="S28" s="27"/>
      <c r="T28" s="27"/>
      <c r="U28" s="27"/>
      <c r="V28" s="27"/>
      <c r="W28" s="16"/>
      <c r="X28" s="16"/>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c r="BK28" s="16"/>
      <c r="BL28" s="16"/>
      <c r="BM28" s="16"/>
      <c r="BN28" s="16"/>
      <c r="BO28" s="16"/>
      <c r="BP28" s="16"/>
      <c r="BQ28" s="16"/>
      <c r="BR28" s="16"/>
      <c r="BS28" s="16"/>
      <c r="BT28" s="16"/>
      <c r="BU28" s="16"/>
      <c r="BV28" s="16"/>
      <c r="BW28" s="16"/>
      <c r="BX28" s="16"/>
      <c r="BY28" s="16"/>
      <c r="BZ28" s="16"/>
      <c r="CA28" s="16"/>
      <c r="CB28" s="16"/>
      <c r="CC28" s="16"/>
      <c r="CD28" s="16"/>
      <c r="CE28" s="16"/>
      <c r="CF28" s="16"/>
      <c r="CG28" s="16">
        <v>0.31</v>
      </c>
      <c r="CH28" s="16">
        <v>0.51</v>
      </c>
      <c r="CI28" s="16">
        <v>0.43</v>
      </c>
      <c r="CJ28" s="16">
        <v>0.41</v>
      </c>
      <c r="CK28" s="16">
        <v>0.52</v>
      </c>
      <c r="CL28" s="16">
        <v>0.61</v>
      </c>
      <c r="CM28" s="27"/>
      <c r="CN28" s="16"/>
      <c r="CO28" s="16"/>
      <c r="CP28" s="16"/>
      <c r="CQ28" s="16"/>
      <c r="CR28" s="16"/>
      <c r="CS28" s="16"/>
      <c r="CT28" s="16"/>
      <c r="CU28" s="16"/>
      <c r="CV28" s="16"/>
      <c r="CW28" s="16"/>
      <c r="CX28" s="16"/>
      <c r="CY28" s="16"/>
      <c r="CZ28" s="16"/>
      <c r="DA28" s="16"/>
      <c r="DB28" s="16"/>
      <c r="DC28" s="16"/>
      <c r="DD28" s="16"/>
      <c r="DE28" s="16"/>
      <c r="DF28" s="16"/>
      <c r="DG28" s="16"/>
      <c r="DH28" s="16"/>
      <c r="DI28" s="16"/>
      <c r="DJ28" s="16"/>
      <c r="DK28" s="16"/>
      <c r="DL28" s="16"/>
      <c r="DM28" s="16"/>
      <c r="DN28" s="16"/>
      <c r="DO28" s="16"/>
      <c r="DP28" s="16"/>
      <c r="DQ28" s="16"/>
      <c r="DR28" s="16"/>
      <c r="DS28" s="16"/>
      <c r="DT28" s="16"/>
      <c r="DU28" s="16"/>
      <c r="DV28" s="16"/>
      <c r="DW28" s="16"/>
      <c r="DX28" s="16"/>
      <c r="DY28" s="16"/>
      <c r="DZ28" s="16"/>
      <c r="EA28" s="16"/>
      <c r="EB28" s="16"/>
      <c r="EC28" s="16"/>
      <c r="ED28" s="16"/>
      <c r="EE28" s="16"/>
      <c r="EF28" s="16"/>
      <c r="EG28" s="16"/>
      <c r="EH28" s="16"/>
      <c r="EI28" s="16"/>
      <c r="EJ28" s="16"/>
      <c r="EK28" s="16"/>
      <c r="EL28" s="16"/>
      <c r="EM28" s="16"/>
      <c r="EN28" s="16"/>
      <c r="EO28" s="16"/>
      <c r="EP28" s="16"/>
      <c r="EQ28" s="16"/>
      <c r="ER28" s="16"/>
      <c r="ES28" s="16"/>
      <c r="ET28" s="16"/>
      <c r="EU28" s="16"/>
      <c r="EV28" s="16"/>
      <c r="EW28" s="16"/>
      <c r="EX28" s="16"/>
      <c r="EY28" s="16"/>
      <c r="EZ28" s="16"/>
      <c r="FA28" s="16"/>
      <c r="FB28" s="16"/>
      <c r="FC28" s="16"/>
      <c r="FD28" s="16"/>
      <c r="FE28" s="16"/>
      <c r="FF28" s="16"/>
      <c r="FG28" s="16"/>
      <c r="FH28" s="16"/>
      <c r="FI28" s="16"/>
      <c r="FJ28" s="16"/>
      <c r="FK28" s="16"/>
      <c r="FL28" s="16"/>
      <c r="FM28" s="16"/>
      <c r="FN28" s="16"/>
      <c r="FO28" s="16"/>
      <c r="FP28" s="16"/>
      <c r="FQ28" s="16"/>
      <c r="FR28" s="16"/>
      <c r="FS28" s="16"/>
      <c r="FT28" s="16"/>
      <c r="FU28" s="16"/>
      <c r="FV28" s="16"/>
      <c r="FW28" s="16"/>
      <c r="FX28" s="16"/>
      <c r="FY28" s="16"/>
      <c r="FZ28" s="16"/>
      <c r="GA28" s="16"/>
      <c r="GB28" s="16"/>
      <c r="GC28" s="16"/>
      <c r="GD28" s="16"/>
      <c r="GE28" s="16"/>
      <c r="GF28" s="16"/>
      <c r="GG28" s="16"/>
      <c r="GH28" s="16"/>
      <c r="GI28" s="16"/>
      <c r="GJ28" s="16"/>
      <c r="GK28" s="16"/>
      <c r="GL28" s="16"/>
      <c r="GM28" s="16"/>
      <c r="GN28" s="16"/>
      <c r="GO28" s="16"/>
      <c r="GP28" s="16"/>
      <c r="GQ28" s="16"/>
      <c r="GR28" s="16"/>
      <c r="GS28" s="16"/>
      <c r="GT28" s="16"/>
      <c r="GU28" s="16"/>
      <c r="GV28" s="16"/>
      <c r="GW28" s="16"/>
      <c r="GX28" s="16"/>
      <c r="GY28" s="16"/>
      <c r="GZ28" s="16"/>
      <c r="HA28" s="16"/>
      <c r="HB28" s="16"/>
      <c r="HC28" s="16"/>
      <c r="HD28" s="16"/>
      <c r="HE28" s="16"/>
      <c r="HF28" s="16"/>
      <c r="HG28" s="16"/>
      <c r="HH28" s="16"/>
      <c r="HI28" s="16"/>
      <c r="HJ28" s="16"/>
      <c r="HK28" s="16"/>
      <c r="HL28" s="16"/>
      <c r="HM28" s="16"/>
      <c r="HN28" s="16"/>
      <c r="HO28" s="16"/>
      <c r="HP28" s="16"/>
      <c r="HQ28" s="16"/>
      <c r="HR28" s="16"/>
      <c r="HS28" s="16"/>
      <c r="HT28" s="16"/>
      <c r="HU28" s="16"/>
      <c r="HV28" s="16"/>
      <c r="HW28" s="16"/>
      <c r="HX28" s="16"/>
      <c r="HY28" s="16"/>
      <c r="HZ28" s="16"/>
      <c r="IA28" s="16"/>
      <c r="IB28" s="16"/>
      <c r="IC28" s="16"/>
      <c r="ID28" s="16"/>
      <c r="IE28" s="16"/>
      <c r="IF28" s="16"/>
      <c r="IG28" s="16"/>
      <c r="IH28" s="16"/>
      <c r="II28" s="16"/>
      <c r="IJ28" s="16"/>
      <c r="IK28" s="16"/>
      <c r="IL28" s="16"/>
      <c r="IM28" s="16"/>
      <c r="IN28" s="16"/>
      <c r="IO28" s="16"/>
      <c r="IP28" s="16"/>
      <c r="IQ28" s="16"/>
      <c r="IR28" s="16"/>
      <c r="IS28" s="16"/>
      <c r="IT28" s="16"/>
      <c r="IU28" s="16"/>
      <c r="IV28" s="16"/>
      <c r="IW28" s="16"/>
      <c r="IX28" s="21"/>
    </row>
    <row r="29" spans="1:259" x14ac:dyDescent="0.25">
      <c r="A29" s="562"/>
      <c r="B29" s="565"/>
      <c r="C29" s="23" t="s">
        <v>12</v>
      </c>
      <c r="D29" s="26"/>
      <c r="E29" s="16"/>
      <c r="F29" s="27"/>
      <c r="G29" s="27"/>
      <c r="H29" s="27"/>
      <c r="I29" s="27"/>
      <c r="J29" s="27"/>
      <c r="K29" s="27"/>
      <c r="L29" s="27"/>
      <c r="M29" s="27"/>
      <c r="N29" s="27"/>
      <c r="O29" s="27"/>
      <c r="P29" s="27"/>
      <c r="Q29" s="27"/>
      <c r="R29" s="27"/>
      <c r="S29" s="27"/>
      <c r="T29" s="27"/>
      <c r="U29" s="27"/>
      <c r="V29" s="27"/>
      <c r="W29" s="16"/>
      <c r="X29" s="16"/>
      <c r="Y29" s="16"/>
      <c r="Z29" s="16"/>
      <c r="AA29" s="16"/>
      <c r="AB29" s="16"/>
      <c r="AC29" s="16"/>
      <c r="AD29" s="16"/>
      <c r="AE29" s="16"/>
      <c r="AF29" s="16"/>
      <c r="AG29" s="16"/>
      <c r="AH29" s="16"/>
      <c r="AI29" s="16"/>
      <c r="AJ29" s="16"/>
      <c r="AK29" s="16"/>
      <c r="AL29" s="16"/>
      <c r="AM29" s="16"/>
      <c r="AN29" s="16"/>
      <c r="AO29" s="16"/>
      <c r="AP29" s="16"/>
      <c r="AQ29" s="16"/>
      <c r="AR29" s="16"/>
      <c r="AS29" s="16"/>
      <c r="AT29" s="16"/>
      <c r="AU29" s="16"/>
      <c r="AV29" s="16"/>
      <c r="AW29" s="16"/>
      <c r="AX29" s="16"/>
      <c r="AY29" s="16"/>
      <c r="AZ29" s="16"/>
      <c r="BA29" s="16"/>
      <c r="BB29" s="16"/>
      <c r="BC29" s="16"/>
      <c r="BD29" s="16"/>
      <c r="BE29" s="16"/>
      <c r="BF29" s="16"/>
      <c r="BG29" s="16"/>
      <c r="BH29" s="16"/>
      <c r="BI29" s="16"/>
      <c r="BJ29" s="16"/>
      <c r="BK29" s="16"/>
      <c r="BL29" s="16"/>
      <c r="BM29" s="16"/>
      <c r="BN29" s="16"/>
      <c r="BO29" s="16"/>
      <c r="BP29" s="16"/>
      <c r="BQ29" s="16"/>
      <c r="BR29" s="16"/>
      <c r="BS29" s="16"/>
      <c r="BT29" s="16"/>
      <c r="BU29" s="16"/>
      <c r="BV29" s="16"/>
      <c r="BW29" s="16"/>
      <c r="BX29" s="16"/>
      <c r="BY29" s="16"/>
      <c r="BZ29" s="16"/>
      <c r="CA29" s="16"/>
      <c r="CB29" s="16"/>
      <c r="CC29" s="16"/>
      <c r="CD29" s="16"/>
      <c r="CE29" s="16"/>
      <c r="CF29" s="16"/>
      <c r="CG29" s="16">
        <v>0.3</v>
      </c>
      <c r="CH29" s="16">
        <v>0.42</v>
      </c>
      <c r="CI29" s="16">
        <v>0.35</v>
      </c>
      <c r="CJ29" s="16">
        <v>0.47</v>
      </c>
      <c r="CK29" s="16">
        <v>0.57999999999999996</v>
      </c>
      <c r="CL29" s="16">
        <v>0.56999999999999995</v>
      </c>
      <c r="CM29" s="27"/>
      <c r="CN29" s="16"/>
      <c r="CO29" s="16"/>
      <c r="CP29" s="16"/>
      <c r="CQ29" s="16"/>
      <c r="CR29" s="16"/>
      <c r="CS29" s="16"/>
      <c r="CT29" s="16"/>
      <c r="CU29" s="16"/>
      <c r="CV29" s="16"/>
      <c r="CW29" s="16"/>
      <c r="CX29" s="16"/>
      <c r="CY29" s="16"/>
      <c r="CZ29" s="16"/>
      <c r="DA29" s="16"/>
      <c r="DB29" s="16"/>
      <c r="DC29" s="16"/>
      <c r="DD29" s="16"/>
      <c r="DE29" s="16"/>
      <c r="DF29" s="16"/>
      <c r="DG29" s="16"/>
      <c r="DH29" s="16"/>
      <c r="DI29" s="16"/>
      <c r="DJ29" s="16"/>
      <c r="DK29" s="16"/>
      <c r="DL29" s="16"/>
      <c r="DM29" s="16"/>
      <c r="DN29" s="16"/>
      <c r="DO29" s="16"/>
      <c r="DP29" s="16"/>
      <c r="DQ29" s="16"/>
      <c r="DR29" s="16"/>
      <c r="DS29" s="16"/>
      <c r="DT29" s="16"/>
      <c r="DU29" s="16"/>
      <c r="DV29" s="16"/>
      <c r="DW29" s="16"/>
      <c r="DX29" s="16"/>
      <c r="DY29" s="16"/>
      <c r="DZ29" s="16"/>
      <c r="EA29" s="16"/>
      <c r="EB29" s="16"/>
      <c r="EC29" s="16"/>
      <c r="ED29" s="16"/>
      <c r="EE29" s="16"/>
      <c r="EF29" s="16"/>
      <c r="EG29" s="16"/>
      <c r="EH29" s="16"/>
      <c r="EI29" s="16"/>
      <c r="EJ29" s="16"/>
      <c r="EK29" s="16"/>
      <c r="EL29" s="16"/>
      <c r="EM29" s="16"/>
      <c r="EN29" s="16"/>
      <c r="EO29" s="16"/>
      <c r="EP29" s="16"/>
      <c r="EQ29" s="16"/>
      <c r="ER29" s="16"/>
      <c r="ES29" s="16"/>
      <c r="ET29" s="16"/>
      <c r="EU29" s="16"/>
      <c r="EV29" s="16"/>
      <c r="EW29" s="16"/>
      <c r="EX29" s="16"/>
      <c r="EY29" s="16"/>
      <c r="EZ29" s="16"/>
      <c r="FA29" s="16"/>
      <c r="FB29" s="16"/>
      <c r="FC29" s="16"/>
      <c r="FD29" s="16"/>
      <c r="FE29" s="16"/>
      <c r="FF29" s="16"/>
      <c r="FG29" s="16"/>
      <c r="FH29" s="16"/>
      <c r="FI29" s="16"/>
      <c r="FJ29" s="16"/>
      <c r="FK29" s="16"/>
      <c r="FL29" s="16"/>
      <c r="FM29" s="16"/>
      <c r="FN29" s="16"/>
      <c r="FO29" s="16"/>
      <c r="FP29" s="16"/>
      <c r="FQ29" s="16"/>
      <c r="FR29" s="16"/>
      <c r="FS29" s="16"/>
      <c r="FT29" s="16"/>
      <c r="FU29" s="16"/>
      <c r="FV29" s="16"/>
      <c r="FW29" s="16"/>
      <c r="FX29" s="16"/>
      <c r="FY29" s="16"/>
      <c r="FZ29" s="16"/>
      <c r="GA29" s="16"/>
      <c r="GB29" s="16"/>
      <c r="GC29" s="16"/>
      <c r="GD29" s="16"/>
      <c r="GE29" s="16"/>
      <c r="GF29" s="16"/>
      <c r="GG29" s="16"/>
      <c r="GH29" s="16"/>
      <c r="GI29" s="16"/>
      <c r="GJ29" s="16"/>
      <c r="GK29" s="16"/>
      <c r="GL29" s="16"/>
      <c r="GM29" s="16"/>
      <c r="GN29" s="16"/>
      <c r="GO29" s="16"/>
      <c r="GP29" s="16"/>
      <c r="GQ29" s="16"/>
      <c r="GR29" s="16"/>
      <c r="GS29" s="16"/>
      <c r="GT29" s="16"/>
      <c r="GU29" s="16"/>
      <c r="GV29" s="16"/>
      <c r="GW29" s="16"/>
      <c r="GX29" s="16"/>
      <c r="GY29" s="16"/>
      <c r="GZ29" s="16"/>
      <c r="HA29" s="16"/>
      <c r="HB29" s="16"/>
      <c r="HC29" s="16"/>
      <c r="HD29" s="16"/>
      <c r="HE29" s="16"/>
      <c r="HF29" s="16"/>
      <c r="HG29" s="16"/>
      <c r="HH29" s="16"/>
      <c r="HI29" s="16"/>
      <c r="HJ29" s="16"/>
      <c r="HK29" s="16"/>
      <c r="HL29" s="16"/>
      <c r="HM29" s="16"/>
      <c r="HN29" s="16"/>
      <c r="HO29" s="16"/>
      <c r="HP29" s="16"/>
      <c r="HQ29" s="16"/>
      <c r="HR29" s="16"/>
      <c r="HS29" s="16"/>
      <c r="HT29" s="16"/>
      <c r="HU29" s="16"/>
      <c r="HV29" s="16"/>
      <c r="HW29" s="16"/>
      <c r="HX29" s="16"/>
      <c r="HY29" s="16"/>
      <c r="HZ29" s="16"/>
      <c r="IA29" s="16"/>
      <c r="IB29" s="16"/>
      <c r="IC29" s="16"/>
      <c r="ID29" s="16"/>
      <c r="IE29" s="16"/>
      <c r="IF29" s="16"/>
      <c r="IG29" s="16"/>
      <c r="IH29" s="16"/>
      <c r="II29" s="16"/>
      <c r="IJ29" s="16"/>
      <c r="IK29" s="16"/>
      <c r="IL29" s="16"/>
      <c r="IM29" s="16"/>
      <c r="IN29" s="16"/>
      <c r="IO29" s="16"/>
      <c r="IP29" s="16"/>
      <c r="IQ29" s="16"/>
      <c r="IR29" s="16"/>
      <c r="IS29" s="16"/>
      <c r="IT29" s="16"/>
      <c r="IU29" s="16"/>
      <c r="IV29" s="16"/>
      <c r="IW29" s="16"/>
      <c r="IX29" s="21"/>
    </row>
    <row r="30" spans="1:259" x14ac:dyDescent="0.25">
      <c r="C30" s="18" t="s">
        <v>11</v>
      </c>
      <c r="D30" s="35"/>
      <c r="E30" s="36"/>
      <c r="F30" s="36"/>
      <c r="G30" s="36"/>
      <c r="H30" s="36"/>
      <c r="I30" s="36"/>
      <c r="J30" s="36"/>
      <c r="K30" s="36"/>
      <c r="L30" s="36"/>
      <c r="M30" s="36"/>
      <c r="N30" s="36"/>
      <c r="O30" s="36"/>
      <c r="P30" s="36"/>
      <c r="Q30" s="36"/>
      <c r="R30" s="36"/>
      <c r="S30" s="36"/>
      <c r="T30" s="36"/>
      <c r="U30" s="36"/>
      <c r="V30" s="37"/>
      <c r="W30" s="36"/>
      <c r="X30" s="36"/>
      <c r="Y30" s="36"/>
      <c r="Z30" s="36"/>
      <c r="AA30" s="36"/>
      <c r="AB30" s="36"/>
      <c r="AC30" s="36"/>
      <c r="AD30" s="36"/>
      <c r="AE30" s="36"/>
      <c r="AF30" s="36"/>
      <c r="AG30" s="36"/>
      <c r="AH30" s="36"/>
      <c r="AI30" s="36"/>
      <c r="AJ30" s="36"/>
      <c r="AK30" s="36"/>
      <c r="AL30" s="36"/>
      <c r="AM30" s="36"/>
      <c r="AN30" s="36"/>
      <c r="AO30" s="36"/>
      <c r="AP30" s="36"/>
      <c r="BV30" s="36"/>
      <c r="BW30" s="36"/>
      <c r="BX30" s="36"/>
      <c r="BZ30" s="163"/>
      <c r="CA30" s="36"/>
      <c r="CB30" s="36"/>
      <c r="CC30" s="36"/>
      <c r="CD30" s="36"/>
      <c r="CE30" s="36"/>
      <c r="CF30" s="38">
        <v>125</v>
      </c>
      <c r="CG30" s="36"/>
      <c r="CH30" s="36"/>
      <c r="CI30" s="36"/>
      <c r="CJ30" s="36"/>
      <c r="CK30" s="36"/>
      <c r="CL30" s="40">
        <v>125</v>
      </c>
      <c r="CM30" s="36"/>
      <c r="CN30" s="36"/>
      <c r="CO30" s="36"/>
      <c r="CP30" s="36"/>
      <c r="CQ30" s="36"/>
      <c r="CR30" s="38">
        <v>125</v>
      </c>
      <c r="CS30" s="223"/>
      <c r="CT30" s="223"/>
      <c r="CU30" s="36"/>
      <c r="CV30" s="36"/>
      <c r="CW30" s="36"/>
      <c r="CX30" s="217"/>
      <c r="CY30" s="36"/>
      <c r="CZ30" s="36"/>
      <c r="DA30" s="36"/>
      <c r="DB30" s="36"/>
      <c r="DC30" s="36"/>
      <c r="DD30" s="36"/>
      <c r="DE30" s="28"/>
      <c r="DF30" s="28"/>
      <c r="DG30" s="28"/>
      <c r="DH30" s="28"/>
      <c r="DI30" s="28"/>
      <c r="DJ30" s="28"/>
      <c r="DK30" s="28"/>
      <c r="DL30" s="28"/>
      <c r="DM30" s="28"/>
      <c r="DN30" s="28"/>
      <c r="DO30" s="28"/>
      <c r="DP30" s="28"/>
      <c r="DQ30" s="28"/>
      <c r="DR30" s="28"/>
      <c r="DS30" s="28"/>
      <c r="DT30" s="28"/>
      <c r="DU30" s="28"/>
      <c r="DV30" s="28"/>
      <c r="DW30" s="28"/>
      <c r="DX30" s="28"/>
      <c r="DY30" s="28"/>
      <c r="DZ30" s="28"/>
      <c r="EA30" s="28"/>
      <c r="EB30" s="28"/>
      <c r="EC30" s="28"/>
      <c r="ED30" s="28"/>
      <c r="EE30" s="28"/>
      <c r="EF30" s="28"/>
      <c r="EG30" s="28"/>
      <c r="EH30" s="28"/>
      <c r="EI30" s="28"/>
      <c r="EJ30" s="28"/>
      <c r="EK30" s="28"/>
      <c r="EL30" s="28"/>
      <c r="EM30" s="28"/>
      <c r="EN30" s="28"/>
      <c r="EO30" s="28"/>
      <c r="EP30" s="28"/>
      <c r="EQ30" s="28"/>
      <c r="ER30" s="28"/>
      <c r="ES30" s="28"/>
      <c r="ET30" s="28"/>
      <c r="EU30" s="28"/>
      <c r="EV30" s="28"/>
      <c r="EW30" s="28"/>
      <c r="EX30" s="28"/>
      <c r="EY30" s="28"/>
      <c r="EZ30" s="28"/>
      <c r="FA30" s="28"/>
      <c r="FB30" s="28"/>
      <c r="FC30" s="28"/>
      <c r="FD30" s="28"/>
      <c r="FE30" s="28"/>
      <c r="FF30" s="28"/>
      <c r="FG30" s="28"/>
      <c r="FH30" s="28"/>
      <c r="FI30" s="28"/>
      <c r="FJ30" s="28"/>
      <c r="FK30" s="28"/>
      <c r="FL30" s="28"/>
      <c r="FM30" s="28"/>
      <c r="FN30" s="28"/>
      <c r="FO30" s="28"/>
      <c r="FP30" s="28"/>
      <c r="FQ30" s="28"/>
      <c r="FR30" s="28"/>
      <c r="FS30" s="28"/>
      <c r="FT30" s="28"/>
      <c r="FU30" s="28"/>
      <c r="FV30" s="28"/>
      <c r="FW30" s="28"/>
      <c r="FX30" s="28"/>
      <c r="FY30" s="28"/>
      <c r="FZ30" s="28"/>
      <c r="GA30" s="28"/>
      <c r="GB30" s="28"/>
      <c r="GC30" s="28"/>
      <c r="GD30" s="28"/>
      <c r="GE30" s="28"/>
      <c r="GF30" s="28"/>
      <c r="GG30" s="28"/>
      <c r="GH30" s="28"/>
      <c r="GI30" s="28"/>
      <c r="GJ30" s="28"/>
      <c r="GK30" s="28"/>
      <c r="GL30" s="28"/>
      <c r="GM30" s="28"/>
      <c r="GN30" s="28"/>
      <c r="GO30" s="28"/>
      <c r="GP30" s="28"/>
      <c r="GQ30" s="28"/>
      <c r="GR30" s="28"/>
      <c r="GS30" s="28"/>
      <c r="GT30" s="28"/>
      <c r="GU30" s="28"/>
      <c r="GV30" s="28"/>
      <c r="GW30" s="28"/>
      <c r="GX30" s="28"/>
      <c r="GY30" s="28"/>
      <c r="GZ30" s="28"/>
      <c r="HA30" s="28"/>
      <c r="HB30" s="28"/>
      <c r="HC30" s="28"/>
      <c r="HD30" s="28"/>
      <c r="HE30" s="28"/>
      <c r="HF30" s="28"/>
      <c r="HG30" s="28"/>
      <c r="HH30" s="28"/>
      <c r="HI30" s="28"/>
      <c r="HJ30" s="28"/>
      <c r="HK30" s="28"/>
      <c r="HL30" s="28"/>
      <c r="HM30" s="28"/>
      <c r="HN30" s="28"/>
      <c r="HO30" s="28"/>
      <c r="HP30" s="28"/>
      <c r="HQ30" s="28"/>
      <c r="HR30" s="28"/>
      <c r="HS30" s="28"/>
      <c r="HT30" s="28"/>
      <c r="HU30" s="28"/>
      <c r="HV30" s="28"/>
      <c r="HW30" s="28"/>
      <c r="HX30" s="28"/>
      <c r="HY30" s="28"/>
      <c r="HZ30" s="28"/>
      <c r="IA30" s="28"/>
      <c r="IB30" s="28"/>
      <c r="IC30" s="28"/>
      <c r="ID30" s="28"/>
      <c r="IE30" s="28"/>
      <c r="IF30" s="28"/>
      <c r="IG30" s="28"/>
      <c r="IH30" s="28"/>
      <c r="II30" s="28"/>
      <c r="IJ30" s="28"/>
      <c r="IK30" s="28"/>
      <c r="IL30" s="28"/>
      <c r="IM30" s="28"/>
      <c r="IN30" s="28"/>
      <c r="IO30" s="28"/>
      <c r="IP30" s="28"/>
      <c r="IQ30" s="28"/>
      <c r="IR30" s="28"/>
      <c r="IS30" s="28"/>
      <c r="IT30" s="28"/>
      <c r="IU30" s="28"/>
      <c r="IV30" s="28"/>
      <c r="IW30" s="28"/>
      <c r="IX30" s="29"/>
    </row>
    <row r="31" spans="1:259" ht="15.75" thickBot="1" x14ac:dyDescent="0.3">
      <c r="C31" s="17"/>
      <c r="D31" s="171"/>
      <c r="E31" s="171"/>
      <c r="F31" s="171"/>
      <c r="G31" s="171"/>
      <c r="H31" s="171"/>
      <c r="I31" s="171"/>
      <c r="J31" s="171"/>
      <c r="K31" s="171"/>
      <c r="L31" s="171"/>
      <c r="M31" s="171"/>
      <c r="N31" s="171"/>
      <c r="O31" s="171"/>
      <c r="P31" s="171"/>
      <c r="Q31" s="171"/>
      <c r="R31" s="171"/>
      <c r="S31" s="171"/>
      <c r="T31" s="171"/>
      <c r="U31" s="171"/>
      <c r="V31" s="171"/>
      <c r="W31" s="171"/>
      <c r="X31" s="171"/>
      <c r="Y31" s="171"/>
      <c r="Z31" s="171"/>
      <c r="AA31" s="171"/>
      <c r="AB31" s="171"/>
      <c r="AC31" s="171"/>
      <c r="AD31" s="171"/>
      <c r="AE31" s="171"/>
      <c r="AF31" s="171"/>
      <c r="AG31" s="171"/>
      <c r="AH31" s="171"/>
      <c r="AI31" s="171"/>
      <c r="AJ31" s="171"/>
      <c r="AK31" s="171"/>
      <c r="AL31" s="171"/>
      <c r="AM31" s="171"/>
      <c r="AN31" s="171"/>
      <c r="AO31" s="171"/>
      <c r="AP31" s="171"/>
      <c r="AQ31" s="171"/>
      <c r="AR31" s="171"/>
      <c r="AS31" s="171"/>
      <c r="AT31" s="171"/>
      <c r="AU31" s="171"/>
      <c r="AV31" s="171"/>
      <c r="AW31" s="171"/>
      <c r="AX31" s="171"/>
      <c r="AY31" s="171"/>
      <c r="AZ31" s="171"/>
      <c r="BA31" s="171"/>
      <c r="BB31" s="171"/>
      <c r="BC31" s="171"/>
      <c r="BD31" s="171"/>
      <c r="BE31" s="171"/>
      <c r="BF31" s="171"/>
      <c r="BG31" s="171"/>
      <c r="BH31" s="171"/>
      <c r="BI31" s="171"/>
      <c r="BJ31" s="171"/>
      <c r="BK31" s="171"/>
      <c r="BL31" s="171"/>
      <c r="BM31" s="171"/>
      <c r="BN31" s="171"/>
      <c r="BO31" s="171"/>
      <c r="BP31" s="171"/>
      <c r="BQ31" s="171"/>
      <c r="BR31" s="171"/>
      <c r="BS31" s="171"/>
      <c r="BT31" s="171"/>
      <c r="BU31" s="171"/>
      <c r="BV31" s="171"/>
      <c r="BW31" s="171"/>
      <c r="BX31" s="171"/>
      <c r="BY31" s="171"/>
      <c r="BZ31" s="171"/>
      <c r="CA31" s="171"/>
      <c r="CB31" s="171"/>
      <c r="CC31" s="171"/>
      <c r="CD31" s="171"/>
      <c r="CE31" s="171"/>
      <c r="CF31" s="171"/>
      <c r="CG31" s="171"/>
      <c r="CH31" s="171"/>
      <c r="CI31" s="171"/>
      <c r="CJ31" s="171"/>
      <c r="CK31" s="171"/>
      <c r="CL31" s="171"/>
      <c r="CM31" s="171"/>
      <c r="CN31" s="171"/>
      <c r="CO31" s="171"/>
      <c r="CP31" s="171"/>
      <c r="CQ31" s="171"/>
      <c r="CR31" s="171"/>
      <c r="CS31" s="171"/>
      <c r="CT31" s="171"/>
      <c r="CU31" s="171"/>
      <c r="CV31" s="171"/>
      <c r="CW31" s="171"/>
      <c r="CX31" s="171"/>
      <c r="CY31" s="171"/>
      <c r="CZ31" s="171"/>
      <c r="DA31" s="171"/>
      <c r="DB31" s="171"/>
      <c r="DC31" s="171"/>
      <c r="DD31" s="171"/>
    </row>
    <row r="32" spans="1:259" x14ac:dyDescent="0.25">
      <c r="A32" s="558" t="s">
        <v>148</v>
      </c>
      <c r="C32" s="520" t="s">
        <v>40</v>
      </c>
      <c r="D32" s="197">
        <f t="shared" ref="D32:D37" si="1">D12</f>
        <v>1</v>
      </c>
      <c r="E32" s="197">
        <f t="shared" ref="E32:AJ32" si="2">D32+E12</f>
        <v>1</v>
      </c>
      <c r="F32" s="197">
        <f t="shared" si="2"/>
        <v>1</v>
      </c>
      <c r="G32" s="197">
        <f t="shared" si="2"/>
        <v>2</v>
      </c>
      <c r="H32" s="197">
        <f t="shared" si="2"/>
        <v>2</v>
      </c>
      <c r="I32" s="197">
        <f t="shared" si="2"/>
        <v>2</v>
      </c>
      <c r="J32" s="197">
        <f t="shared" si="2"/>
        <v>4</v>
      </c>
      <c r="K32" s="197">
        <f t="shared" si="2"/>
        <v>7</v>
      </c>
      <c r="L32" s="197">
        <f t="shared" si="2"/>
        <v>9</v>
      </c>
      <c r="M32" s="197">
        <f t="shared" si="2"/>
        <v>10</v>
      </c>
      <c r="N32" s="197">
        <f t="shared" si="2"/>
        <v>13</v>
      </c>
      <c r="O32" s="197">
        <f t="shared" si="2"/>
        <v>16</v>
      </c>
      <c r="P32" s="197">
        <f t="shared" si="2"/>
        <v>18</v>
      </c>
      <c r="Q32" s="197">
        <f t="shared" si="2"/>
        <v>20</v>
      </c>
      <c r="R32" s="197">
        <f t="shared" si="2"/>
        <v>25</v>
      </c>
      <c r="S32" s="197">
        <f t="shared" si="2"/>
        <v>35</v>
      </c>
      <c r="T32" s="197">
        <f t="shared" si="2"/>
        <v>39</v>
      </c>
      <c r="U32" s="197">
        <f t="shared" si="2"/>
        <v>41</v>
      </c>
      <c r="V32" s="197">
        <f t="shared" si="2"/>
        <v>44</v>
      </c>
      <c r="W32" s="197">
        <f t="shared" si="2"/>
        <v>45</v>
      </c>
      <c r="X32" s="197">
        <f t="shared" si="2"/>
        <v>48</v>
      </c>
      <c r="Y32" s="197">
        <f t="shared" si="2"/>
        <v>58</v>
      </c>
      <c r="Z32" s="197">
        <f t="shared" si="2"/>
        <v>67</v>
      </c>
      <c r="AA32" s="197">
        <f t="shared" si="2"/>
        <v>75</v>
      </c>
      <c r="AB32" s="197">
        <f t="shared" si="2"/>
        <v>86</v>
      </c>
      <c r="AC32" s="197">
        <f t="shared" si="2"/>
        <v>105</v>
      </c>
      <c r="AD32" s="197">
        <f t="shared" si="2"/>
        <v>118</v>
      </c>
      <c r="AE32" s="197">
        <f t="shared" si="2"/>
        <v>124</v>
      </c>
      <c r="AF32" s="197">
        <f t="shared" si="2"/>
        <v>131</v>
      </c>
      <c r="AG32" s="197">
        <f t="shared" si="2"/>
        <v>133</v>
      </c>
      <c r="AH32" s="197">
        <f t="shared" si="2"/>
        <v>133</v>
      </c>
      <c r="AI32" s="197">
        <f t="shared" si="2"/>
        <v>133</v>
      </c>
      <c r="AJ32" s="197">
        <f t="shared" si="2"/>
        <v>137</v>
      </c>
      <c r="AK32" s="197">
        <f t="shared" ref="AK32:BP32" si="3">AJ32+AK12</f>
        <v>148</v>
      </c>
      <c r="AL32" s="197">
        <f t="shared" si="3"/>
        <v>153</v>
      </c>
      <c r="AM32" s="197">
        <f t="shared" si="3"/>
        <v>172</v>
      </c>
      <c r="AN32" s="197">
        <f t="shared" si="3"/>
        <v>196</v>
      </c>
      <c r="AO32" s="197">
        <f t="shared" si="3"/>
        <v>230</v>
      </c>
      <c r="AP32" s="197">
        <f t="shared" si="3"/>
        <v>256</v>
      </c>
      <c r="AQ32" s="197">
        <f t="shared" si="3"/>
        <v>275</v>
      </c>
      <c r="AR32" s="197">
        <f t="shared" si="3"/>
        <v>296</v>
      </c>
      <c r="AS32" s="197">
        <f t="shared" si="3"/>
        <v>356</v>
      </c>
      <c r="AT32" s="197">
        <f t="shared" si="3"/>
        <v>385</v>
      </c>
      <c r="AU32" s="197">
        <f t="shared" si="3"/>
        <v>403</v>
      </c>
      <c r="AV32" s="197">
        <f t="shared" si="3"/>
        <v>431</v>
      </c>
      <c r="AW32" s="197">
        <f t="shared" si="3"/>
        <v>469</v>
      </c>
      <c r="AX32" s="197">
        <f t="shared" si="3"/>
        <v>502</v>
      </c>
      <c r="AY32" s="197">
        <f t="shared" si="3"/>
        <v>552</v>
      </c>
      <c r="AZ32" s="197">
        <f t="shared" si="3"/>
        <v>586</v>
      </c>
      <c r="BA32" s="197">
        <f t="shared" si="3"/>
        <v>616</v>
      </c>
      <c r="BB32" s="197">
        <f t="shared" si="3"/>
        <v>690</v>
      </c>
      <c r="BC32" s="197">
        <f t="shared" si="3"/>
        <v>755</v>
      </c>
      <c r="BD32" s="197">
        <f t="shared" si="3"/>
        <v>814</v>
      </c>
      <c r="BE32" s="197">
        <f t="shared" si="3"/>
        <v>871</v>
      </c>
      <c r="BF32" s="197">
        <f t="shared" si="3"/>
        <v>917</v>
      </c>
      <c r="BG32" s="197">
        <f t="shared" si="3"/>
        <v>975</v>
      </c>
      <c r="BH32" s="197">
        <f t="shared" si="3"/>
        <v>1038</v>
      </c>
      <c r="BI32" s="197">
        <f t="shared" si="3"/>
        <v>1107</v>
      </c>
      <c r="BJ32" s="197">
        <f t="shared" si="3"/>
        <v>1157</v>
      </c>
      <c r="BK32" s="197">
        <f t="shared" si="3"/>
        <v>1206</v>
      </c>
      <c r="BL32" s="197">
        <f t="shared" si="3"/>
        <v>1264</v>
      </c>
      <c r="BM32" s="197">
        <f t="shared" si="3"/>
        <v>1308</v>
      </c>
      <c r="BN32" s="197">
        <f t="shared" si="3"/>
        <v>1360</v>
      </c>
      <c r="BO32" s="197">
        <f t="shared" si="3"/>
        <v>1373</v>
      </c>
      <c r="BP32" s="197">
        <f t="shared" si="3"/>
        <v>1407</v>
      </c>
      <c r="BQ32" s="197">
        <f t="shared" ref="BQ32:CV32" si="4">BP32+BQ12</f>
        <v>1441</v>
      </c>
      <c r="BR32" s="197">
        <f t="shared" si="4"/>
        <v>1482</v>
      </c>
      <c r="BS32" s="197">
        <f t="shared" si="4"/>
        <v>1512</v>
      </c>
      <c r="BT32" s="197">
        <f t="shared" si="4"/>
        <v>1555</v>
      </c>
      <c r="BU32" s="197">
        <f t="shared" si="4"/>
        <v>1612</v>
      </c>
      <c r="BV32" s="197">
        <f t="shared" si="4"/>
        <v>1671</v>
      </c>
      <c r="BW32" s="197">
        <f t="shared" si="4"/>
        <v>1700</v>
      </c>
      <c r="BX32" s="197">
        <f t="shared" si="4"/>
        <v>1728</v>
      </c>
      <c r="BY32" s="197">
        <f t="shared" si="4"/>
        <v>1764</v>
      </c>
      <c r="BZ32" s="197">
        <f t="shared" si="4"/>
        <v>1838</v>
      </c>
      <c r="CA32" s="197">
        <f t="shared" si="4"/>
        <v>1885</v>
      </c>
      <c r="CB32" s="197">
        <f t="shared" si="4"/>
        <v>1931</v>
      </c>
      <c r="CC32" s="197">
        <f t="shared" si="4"/>
        <v>2021</v>
      </c>
      <c r="CD32" s="197">
        <f t="shared" si="4"/>
        <v>2101</v>
      </c>
      <c r="CE32" s="197">
        <f t="shared" si="4"/>
        <v>2189</v>
      </c>
      <c r="CF32" s="197">
        <f t="shared" si="4"/>
        <v>2227</v>
      </c>
      <c r="CG32" s="197">
        <f t="shared" si="4"/>
        <v>2312</v>
      </c>
      <c r="CH32" s="197">
        <f t="shared" si="4"/>
        <v>2365</v>
      </c>
      <c r="CI32" s="197">
        <f t="shared" si="4"/>
        <v>2418</v>
      </c>
      <c r="CJ32" s="197">
        <f t="shared" si="4"/>
        <v>2452</v>
      </c>
      <c r="CK32" s="197">
        <f t="shared" si="4"/>
        <v>2462</v>
      </c>
      <c r="CL32" s="197">
        <f t="shared" si="4"/>
        <v>2494</v>
      </c>
      <c r="CM32" s="197">
        <f t="shared" si="4"/>
        <v>2527</v>
      </c>
      <c r="CN32" s="197">
        <f t="shared" si="4"/>
        <v>2538</v>
      </c>
      <c r="CO32" s="197">
        <f t="shared" si="4"/>
        <v>2545</v>
      </c>
      <c r="CP32" s="197">
        <f t="shared" si="4"/>
        <v>2552</v>
      </c>
      <c r="CQ32" s="197">
        <f t="shared" si="4"/>
        <v>2553</v>
      </c>
      <c r="CR32" s="197">
        <f t="shared" si="4"/>
        <v>2554</v>
      </c>
      <c r="CS32" s="197">
        <f t="shared" si="4"/>
        <v>2555</v>
      </c>
      <c r="CT32" s="197">
        <f t="shared" si="4"/>
        <v>2560</v>
      </c>
      <c r="CU32" s="197">
        <f t="shared" si="4"/>
        <v>2565</v>
      </c>
      <c r="CV32" s="197">
        <f t="shared" si="4"/>
        <v>2566</v>
      </c>
      <c r="CW32" s="197">
        <f t="shared" ref="CW32:DD32" si="5">CV32+CW12</f>
        <v>2567</v>
      </c>
      <c r="CX32" s="197">
        <f t="shared" si="5"/>
        <v>2567</v>
      </c>
      <c r="CY32" s="197">
        <f t="shared" si="5"/>
        <v>2567</v>
      </c>
      <c r="CZ32" s="197">
        <f t="shared" si="5"/>
        <v>2567</v>
      </c>
      <c r="DA32" s="197">
        <f t="shared" si="5"/>
        <v>2567</v>
      </c>
      <c r="DB32" s="197">
        <f t="shared" si="5"/>
        <v>2567</v>
      </c>
      <c r="DC32" s="197">
        <f t="shared" si="5"/>
        <v>2567</v>
      </c>
      <c r="DD32" s="197">
        <f t="shared" si="5"/>
        <v>2567</v>
      </c>
      <c r="DE32" s="27"/>
      <c r="DF32" s="27"/>
      <c r="DG32" s="27"/>
      <c r="DH32" s="27"/>
      <c r="DI32" s="27"/>
      <c r="DJ32" s="27"/>
      <c r="DK32" s="27"/>
      <c r="DL32" s="27"/>
      <c r="DM32" s="27"/>
      <c r="DN32" s="27"/>
      <c r="DO32" s="27"/>
      <c r="DP32" s="27"/>
      <c r="DQ32" s="27"/>
      <c r="DR32" s="27"/>
      <c r="DS32" s="27"/>
      <c r="DT32" s="27"/>
      <c r="DU32" s="27"/>
      <c r="DV32" s="27"/>
      <c r="DW32" s="27"/>
      <c r="DX32" s="27"/>
      <c r="DY32" s="27"/>
      <c r="DZ32" s="27"/>
      <c r="EA32" s="27"/>
      <c r="EB32" s="27"/>
      <c r="EC32" s="27"/>
      <c r="ED32" s="27"/>
      <c r="EE32" s="27"/>
      <c r="EF32" s="27"/>
      <c r="EG32" s="27"/>
      <c r="EH32" s="27"/>
      <c r="EI32" s="27"/>
      <c r="EJ32" s="27"/>
      <c r="EK32" s="27"/>
      <c r="EL32" s="27"/>
      <c r="EM32" s="27"/>
      <c r="EN32" s="27"/>
      <c r="EO32" s="27"/>
      <c r="EP32" s="27"/>
      <c r="EQ32" s="27"/>
      <c r="ER32" s="27"/>
      <c r="ES32" s="27"/>
      <c r="ET32" s="27"/>
      <c r="EU32" s="27"/>
      <c r="EV32" s="27"/>
      <c r="EW32" s="27"/>
      <c r="EX32" s="27"/>
      <c r="EY32" s="27"/>
      <c r="EZ32" s="27"/>
      <c r="FA32" s="27"/>
      <c r="FB32" s="27"/>
      <c r="FC32" s="27"/>
      <c r="FD32" s="27"/>
      <c r="FE32" s="27"/>
      <c r="FF32" s="27"/>
      <c r="FG32" s="27"/>
      <c r="FH32" s="27"/>
      <c r="FI32" s="27"/>
      <c r="FJ32" s="27"/>
      <c r="FK32" s="27"/>
      <c r="FL32" s="27"/>
      <c r="FM32" s="27"/>
      <c r="FN32" s="27"/>
      <c r="FO32" s="27"/>
      <c r="FP32" s="27"/>
      <c r="FQ32" s="27"/>
      <c r="FR32" s="27"/>
      <c r="FS32" s="27"/>
      <c r="FT32" s="27"/>
      <c r="FU32" s="27"/>
      <c r="FV32" s="27"/>
      <c r="FW32" s="27"/>
      <c r="FX32" s="27"/>
      <c r="FY32" s="27"/>
      <c r="FZ32" s="27"/>
      <c r="GA32" s="27"/>
      <c r="GB32" s="27"/>
      <c r="GC32" s="27"/>
      <c r="GD32" s="27"/>
      <c r="GE32" s="27"/>
      <c r="GF32" s="27"/>
      <c r="GG32" s="27"/>
      <c r="GH32" s="27"/>
      <c r="GI32" s="27"/>
      <c r="GJ32" s="27"/>
      <c r="GK32" s="27"/>
      <c r="GL32" s="27"/>
      <c r="GM32" s="27"/>
      <c r="GN32" s="27"/>
      <c r="GO32" s="27"/>
      <c r="GP32" s="27"/>
      <c r="GQ32" s="27"/>
      <c r="GR32" s="27"/>
      <c r="GS32" s="27"/>
      <c r="GT32" s="27"/>
      <c r="GU32" s="27"/>
      <c r="GV32" s="27"/>
      <c r="GW32" s="27"/>
      <c r="GX32" s="27"/>
      <c r="GY32" s="27"/>
      <c r="GZ32" s="27"/>
      <c r="HA32" s="27"/>
      <c r="HB32" s="27"/>
      <c r="HC32" s="27"/>
      <c r="HD32" s="27"/>
      <c r="HE32" s="27"/>
      <c r="HF32" s="27"/>
      <c r="HG32" s="27"/>
      <c r="HH32" s="27"/>
      <c r="HI32" s="27"/>
      <c r="HJ32" s="27"/>
      <c r="HK32" s="27"/>
      <c r="HL32" s="27"/>
      <c r="HM32" s="27"/>
      <c r="HN32" s="27"/>
      <c r="HO32" s="27"/>
      <c r="HP32" s="27"/>
      <c r="HQ32" s="27"/>
      <c r="HR32" s="27"/>
      <c r="HS32" s="27"/>
      <c r="HT32" s="27"/>
      <c r="HU32" s="27"/>
      <c r="HV32" s="27"/>
      <c r="HW32" s="27"/>
      <c r="HX32" s="27"/>
      <c r="HY32" s="27"/>
      <c r="HZ32" s="27"/>
      <c r="IA32" s="27"/>
      <c r="IB32" s="27"/>
      <c r="IC32" s="27"/>
      <c r="ID32" s="27"/>
      <c r="IE32" s="27"/>
      <c r="IF32" s="27"/>
      <c r="IG32" s="27"/>
      <c r="IH32" s="27"/>
      <c r="II32" s="27"/>
      <c r="IJ32" s="27"/>
      <c r="IK32" s="27"/>
      <c r="IL32" s="27"/>
      <c r="IM32" s="27"/>
      <c r="IN32" s="27"/>
      <c r="IO32" s="27"/>
    </row>
    <row r="33" spans="1:258" x14ac:dyDescent="0.25">
      <c r="A33" s="559"/>
      <c r="C33" s="521" t="s">
        <v>39</v>
      </c>
      <c r="D33" s="27">
        <f t="shared" si="1"/>
        <v>8</v>
      </c>
      <c r="E33" s="27">
        <f t="shared" ref="E33:AJ33" si="6">D33+E13</f>
        <v>8</v>
      </c>
      <c r="F33" s="27">
        <f t="shared" si="6"/>
        <v>8</v>
      </c>
      <c r="G33" s="27">
        <f t="shared" si="6"/>
        <v>9</v>
      </c>
      <c r="H33" s="27">
        <f t="shared" si="6"/>
        <v>9</v>
      </c>
      <c r="I33" s="27">
        <f t="shared" si="6"/>
        <v>9</v>
      </c>
      <c r="J33" s="27">
        <f t="shared" si="6"/>
        <v>11</v>
      </c>
      <c r="K33" s="27">
        <f t="shared" si="6"/>
        <v>14</v>
      </c>
      <c r="L33" s="27">
        <f t="shared" si="6"/>
        <v>16</v>
      </c>
      <c r="M33" s="27">
        <f t="shared" si="6"/>
        <v>17</v>
      </c>
      <c r="N33" s="27">
        <f t="shared" si="6"/>
        <v>20</v>
      </c>
      <c r="O33" s="27">
        <f t="shared" si="6"/>
        <v>23</v>
      </c>
      <c r="P33" s="27">
        <f t="shared" si="6"/>
        <v>25</v>
      </c>
      <c r="Q33" s="27">
        <f t="shared" si="6"/>
        <v>27</v>
      </c>
      <c r="R33" s="27">
        <f t="shared" si="6"/>
        <v>31</v>
      </c>
      <c r="S33" s="27">
        <f t="shared" si="6"/>
        <v>36</v>
      </c>
      <c r="T33" s="27">
        <f t="shared" si="6"/>
        <v>40</v>
      </c>
      <c r="U33" s="27">
        <f t="shared" si="6"/>
        <v>47</v>
      </c>
      <c r="V33" s="27">
        <f t="shared" si="6"/>
        <v>50</v>
      </c>
      <c r="W33" s="27">
        <f t="shared" si="6"/>
        <v>52</v>
      </c>
      <c r="X33" s="27">
        <f t="shared" si="6"/>
        <v>55</v>
      </c>
      <c r="Y33" s="27">
        <f t="shared" si="6"/>
        <v>62</v>
      </c>
      <c r="Z33" s="27">
        <f t="shared" si="6"/>
        <v>66</v>
      </c>
      <c r="AA33" s="27">
        <f t="shared" si="6"/>
        <v>73</v>
      </c>
      <c r="AB33" s="27">
        <f t="shared" si="6"/>
        <v>82</v>
      </c>
      <c r="AC33" s="27">
        <f t="shared" si="6"/>
        <v>103</v>
      </c>
      <c r="AD33" s="27">
        <f t="shared" si="6"/>
        <v>117</v>
      </c>
      <c r="AE33" s="27">
        <f t="shared" si="6"/>
        <v>120</v>
      </c>
      <c r="AF33" s="27">
        <f t="shared" si="6"/>
        <v>126</v>
      </c>
      <c r="AG33" s="27">
        <f t="shared" si="6"/>
        <v>128</v>
      </c>
      <c r="AH33" s="27">
        <f t="shared" si="6"/>
        <v>129</v>
      </c>
      <c r="AI33" s="27">
        <f t="shared" si="6"/>
        <v>129</v>
      </c>
      <c r="AJ33" s="27">
        <f t="shared" si="6"/>
        <v>133</v>
      </c>
      <c r="AK33" s="27">
        <f t="shared" ref="AK33:BP33" si="7">AJ33+AK13</f>
        <v>144</v>
      </c>
      <c r="AL33" s="27">
        <f t="shared" si="7"/>
        <v>150</v>
      </c>
      <c r="AM33" s="27">
        <f t="shared" si="7"/>
        <v>174</v>
      </c>
      <c r="AN33" s="27">
        <f t="shared" si="7"/>
        <v>199</v>
      </c>
      <c r="AO33" s="27">
        <f t="shared" si="7"/>
        <v>225</v>
      </c>
      <c r="AP33" s="27">
        <f t="shared" si="7"/>
        <v>249</v>
      </c>
      <c r="AQ33" s="27">
        <f t="shared" si="7"/>
        <v>278</v>
      </c>
      <c r="AR33" s="27">
        <f t="shared" si="7"/>
        <v>302</v>
      </c>
      <c r="AS33" s="27">
        <f t="shared" si="7"/>
        <v>354</v>
      </c>
      <c r="AT33" s="27">
        <f t="shared" si="7"/>
        <v>385</v>
      </c>
      <c r="AU33" s="27">
        <f t="shared" si="7"/>
        <v>403</v>
      </c>
      <c r="AV33" s="27">
        <f t="shared" si="7"/>
        <v>417</v>
      </c>
      <c r="AW33" s="27">
        <f t="shared" si="7"/>
        <v>434</v>
      </c>
      <c r="AX33" s="27">
        <f t="shared" si="7"/>
        <v>463</v>
      </c>
      <c r="AY33" s="27">
        <f t="shared" si="7"/>
        <v>500</v>
      </c>
      <c r="AZ33" s="27">
        <f t="shared" si="7"/>
        <v>535</v>
      </c>
      <c r="BA33" s="27">
        <f t="shared" si="7"/>
        <v>562</v>
      </c>
      <c r="BB33" s="27">
        <f t="shared" si="7"/>
        <v>623</v>
      </c>
      <c r="BC33" s="27">
        <f t="shared" si="7"/>
        <v>677</v>
      </c>
      <c r="BD33" s="27">
        <f t="shared" si="7"/>
        <v>716</v>
      </c>
      <c r="BE33" s="27">
        <f t="shared" si="7"/>
        <v>747</v>
      </c>
      <c r="BF33" s="27">
        <f t="shared" si="7"/>
        <v>794</v>
      </c>
      <c r="BG33" s="27">
        <f t="shared" si="7"/>
        <v>837</v>
      </c>
      <c r="BH33" s="27">
        <f t="shared" si="7"/>
        <v>873</v>
      </c>
      <c r="BI33" s="27">
        <f t="shared" si="7"/>
        <v>949</v>
      </c>
      <c r="BJ33" s="27">
        <f t="shared" si="7"/>
        <v>997</v>
      </c>
      <c r="BK33" s="27">
        <f t="shared" si="7"/>
        <v>1042</v>
      </c>
      <c r="BL33" s="27">
        <f t="shared" si="7"/>
        <v>1084</v>
      </c>
      <c r="BM33" s="27">
        <f t="shared" si="7"/>
        <v>1129</v>
      </c>
      <c r="BN33" s="27">
        <f t="shared" si="7"/>
        <v>1169</v>
      </c>
      <c r="BO33" s="27">
        <f t="shared" si="7"/>
        <v>1212</v>
      </c>
      <c r="BP33" s="27">
        <f t="shared" si="7"/>
        <v>1247</v>
      </c>
      <c r="BQ33" s="27">
        <f t="shared" ref="BQ33:CV33" si="8">BP33+BQ13</f>
        <v>1274</v>
      </c>
      <c r="BR33" s="27">
        <f t="shared" si="8"/>
        <v>1320</v>
      </c>
      <c r="BS33" s="27">
        <f t="shared" si="8"/>
        <v>1354</v>
      </c>
      <c r="BT33" s="27">
        <f t="shared" si="8"/>
        <v>1388</v>
      </c>
      <c r="BU33" s="27">
        <f t="shared" si="8"/>
        <v>1448</v>
      </c>
      <c r="BV33" s="27">
        <f t="shared" si="8"/>
        <v>1519</v>
      </c>
      <c r="BW33" s="27">
        <f t="shared" si="8"/>
        <v>1553</v>
      </c>
      <c r="BX33" s="27">
        <f t="shared" si="8"/>
        <v>1588</v>
      </c>
      <c r="BY33" s="27">
        <f t="shared" si="8"/>
        <v>1651</v>
      </c>
      <c r="BZ33" s="27">
        <f t="shared" si="8"/>
        <v>1712</v>
      </c>
      <c r="CA33" s="27">
        <f t="shared" si="8"/>
        <v>1771</v>
      </c>
      <c r="CB33" s="27">
        <f t="shared" si="8"/>
        <v>1811</v>
      </c>
      <c r="CC33" s="27">
        <f t="shared" si="8"/>
        <v>1860</v>
      </c>
      <c r="CD33" s="27">
        <f t="shared" si="8"/>
        <v>1912</v>
      </c>
      <c r="CE33" s="27">
        <f t="shared" si="8"/>
        <v>1951</v>
      </c>
      <c r="CF33" s="27">
        <f t="shared" si="8"/>
        <v>1973</v>
      </c>
      <c r="CG33" s="27">
        <f t="shared" si="8"/>
        <v>2015</v>
      </c>
      <c r="CH33" s="27">
        <f t="shared" si="8"/>
        <v>2048</v>
      </c>
      <c r="CI33" s="27">
        <f t="shared" si="8"/>
        <v>2104</v>
      </c>
      <c r="CJ33" s="27">
        <f t="shared" si="8"/>
        <v>2146</v>
      </c>
      <c r="CK33" s="27">
        <f t="shared" si="8"/>
        <v>2182</v>
      </c>
      <c r="CL33" s="27">
        <f t="shared" si="8"/>
        <v>2238</v>
      </c>
      <c r="CM33" s="27">
        <f t="shared" si="8"/>
        <v>2320</v>
      </c>
      <c r="CN33" s="27">
        <f t="shared" si="8"/>
        <v>2390</v>
      </c>
      <c r="CO33" s="27">
        <f t="shared" si="8"/>
        <v>2445</v>
      </c>
      <c r="CP33" s="27">
        <f t="shared" si="8"/>
        <v>2492</v>
      </c>
      <c r="CQ33" s="27">
        <f t="shared" si="8"/>
        <v>2516</v>
      </c>
      <c r="CR33" s="27">
        <f t="shared" si="8"/>
        <v>2528</v>
      </c>
      <c r="CS33" s="27">
        <f t="shared" si="8"/>
        <v>2554</v>
      </c>
      <c r="CT33" s="27">
        <f t="shared" si="8"/>
        <v>2573</v>
      </c>
      <c r="CU33" s="27">
        <f t="shared" si="8"/>
        <v>2592</v>
      </c>
      <c r="CV33" s="27">
        <f t="shared" si="8"/>
        <v>2617</v>
      </c>
      <c r="CW33" s="27">
        <f t="shared" ref="CW33:DD33" si="9">CV33+CW13</f>
        <v>2625</v>
      </c>
      <c r="CX33" s="27">
        <f t="shared" si="9"/>
        <v>2631</v>
      </c>
      <c r="CY33" s="27">
        <f t="shared" si="9"/>
        <v>2632</v>
      </c>
      <c r="CZ33" s="27">
        <f t="shared" si="9"/>
        <v>2634</v>
      </c>
      <c r="DA33" s="27">
        <f t="shared" si="9"/>
        <v>2634</v>
      </c>
      <c r="DB33" s="27">
        <f t="shared" si="9"/>
        <v>2636</v>
      </c>
      <c r="DC33" s="27">
        <f t="shared" si="9"/>
        <v>2636</v>
      </c>
      <c r="DD33" s="27">
        <f t="shared" si="9"/>
        <v>2636</v>
      </c>
      <c r="DE33" s="27"/>
      <c r="DF33" s="27"/>
      <c r="DG33" s="27"/>
      <c r="DH33" s="27"/>
      <c r="DI33" s="27"/>
      <c r="DJ33" s="27"/>
      <c r="DK33" s="27"/>
      <c r="DL33" s="27"/>
      <c r="DM33" s="27"/>
      <c r="DN33" s="27"/>
      <c r="DO33" s="27"/>
      <c r="DP33" s="27"/>
      <c r="DQ33" s="27"/>
      <c r="DR33" s="27"/>
      <c r="DS33" s="27"/>
      <c r="DT33" s="27"/>
      <c r="DU33" s="27"/>
      <c r="DV33" s="27"/>
      <c r="DW33" s="27"/>
      <c r="DX33" s="27"/>
      <c r="DY33" s="27"/>
      <c r="DZ33" s="27"/>
      <c r="EA33" s="27"/>
      <c r="EB33" s="27"/>
      <c r="EC33" s="27"/>
      <c r="ED33" s="27"/>
      <c r="EE33" s="27"/>
      <c r="EF33" s="27"/>
      <c r="EG33" s="27"/>
      <c r="EH33" s="27"/>
      <c r="EI33" s="27"/>
      <c r="EJ33" s="27"/>
      <c r="EK33" s="27"/>
      <c r="EL33" s="27"/>
      <c r="EM33" s="27"/>
      <c r="EN33" s="27"/>
      <c r="EO33" s="27"/>
      <c r="EP33" s="27"/>
      <c r="EQ33" s="27"/>
      <c r="ER33" s="27"/>
      <c r="ES33" s="27"/>
      <c r="ET33" s="27"/>
      <c r="EU33" s="27"/>
      <c r="EV33" s="27"/>
      <c r="EW33" s="27"/>
      <c r="EX33" s="27"/>
      <c r="EY33" s="27"/>
      <c r="EZ33" s="27"/>
      <c r="FA33" s="27"/>
      <c r="FB33" s="27"/>
      <c r="FC33" s="27"/>
      <c r="FD33" s="27"/>
      <c r="FE33" s="27"/>
      <c r="FF33" s="27"/>
      <c r="FG33" s="27"/>
      <c r="FH33" s="27"/>
      <c r="FI33" s="27"/>
      <c r="FJ33" s="27"/>
      <c r="FK33" s="27"/>
      <c r="FL33" s="27"/>
      <c r="FM33" s="27"/>
      <c r="FN33" s="27"/>
      <c r="FO33" s="27"/>
      <c r="FP33" s="27"/>
      <c r="FQ33" s="27"/>
      <c r="FR33" s="27"/>
      <c r="FS33" s="27"/>
      <c r="FT33" s="27"/>
      <c r="FU33" s="27"/>
      <c r="FV33" s="27"/>
      <c r="FW33" s="27"/>
      <c r="FX33" s="27"/>
      <c r="FY33" s="27"/>
      <c r="FZ33" s="27"/>
      <c r="GA33" s="27"/>
      <c r="GB33" s="27"/>
      <c r="GC33" s="27"/>
      <c r="GD33" s="27"/>
      <c r="GE33" s="27"/>
      <c r="GF33" s="27"/>
      <c r="GG33" s="27"/>
      <c r="GH33" s="27"/>
      <c r="GI33" s="27"/>
      <c r="GJ33" s="27"/>
      <c r="GK33" s="27"/>
      <c r="GL33" s="27"/>
      <c r="GM33" s="27"/>
      <c r="GN33" s="27"/>
      <c r="GO33" s="27"/>
      <c r="GP33" s="27"/>
      <c r="GQ33" s="27"/>
      <c r="GR33" s="27"/>
      <c r="GS33" s="27"/>
      <c r="GT33" s="27"/>
      <c r="GU33" s="27"/>
      <c r="GV33" s="27"/>
      <c r="GW33" s="27"/>
      <c r="GX33" s="27"/>
      <c r="GY33" s="27"/>
      <c r="GZ33" s="27"/>
      <c r="HA33" s="27"/>
      <c r="HB33" s="27"/>
      <c r="HC33" s="27"/>
      <c r="HD33" s="27"/>
      <c r="HE33" s="27"/>
      <c r="HF33" s="27"/>
      <c r="HG33" s="27"/>
      <c r="HH33" s="27"/>
      <c r="HI33" s="27"/>
      <c r="HJ33" s="27"/>
      <c r="HK33" s="27"/>
      <c r="HL33" s="27"/>
      <c r="HM33" s="27"/>
      <c r="HN33" s="27"/>
      <c r="HO33" s="27"/>
      <c r="HP33" s="27"/>
      <c r="HQ33" s="27"/>
      <c r="HR33" s="27"/>
      <c r="HS33" s="27"/>
      <c r="HT33" s="27"/>
      <c r="HU33" s="27"/>
      <c r="HV33" s="27"/>
      <c r="HW33" s="27"/>
      <c r="HX33" s="27"/>
      <c r="HY33" s="27"/>
      <c r="HZ33" s="27"/>
      <c r="IA33" s="27"/>
      <c r="IB33" s="27"/>
      <c r="IC33" s="27"/>
      <c r="ID33" s="27"/>
      <c r="IE33" s="27"/>
      <c r="IF33" s="27"/>
      <c r="IG33" s="27"/>
      <c r="IH33" s="27"/>
      <c r="II33" s="27"/>
      <c r="IJ33" s="27"/>
      <c r="IK33" s="27"/>
      <c r="IL33" s="27"/>
      <c r="IM33" s="27"/>
      <c r="IN33" s="27"/>
      <c r="IO33" s="27"/>
    </row>
    <row r="34" spans="1:258" x14ac:dyDescent="0.25">
      <c r="A34" s="559"/>
      <c r="C34" s="521" t="s">
        <v>41</v>
      </c>
      <c r="D34" s="198">
        <f t="shared" si="1"/>
        <v>8</v>
      </c>
      <c r="E34" s="198">
        <f t="shared" ref="E34:AJ34" si="10">D34+E14</f>
        <v>8</v>
      </c>
      <c r="F34" s="198">
        <f t="shared" si="10"/>
        <v>8</v>
      </c>
      <c r="G34" s="198">
        <f t="shared" si="10"/>
        <v>9</v>
      </c>
      <c r="H34" s="198">
        <f t="shared" si="10"/>
        <v>9</v>
      </c>
      <c r="I34" s="198">
        <f t="shared" si="10"/>
        <v>9</v>
      </c>
      <c r="J34" s="198">
        <f t="shared" si="10"/>
        <v>11</v>
      </c>
      <c r="K34" s="198">
        <f t="shared" si="10"/>
        <v>14</v>
      </c>
      <c r="L34" s="198">
        <f t="shared" si="10"/>
        <v>16</v>
      </c>
      <c r="M34" s="198">
        <f t="shared" si="10"/>
        <v>17</v>
      </c>
      <c r="N34" s="198">
        <f t="shared" si="10"/>
        <v>20</v>
      </c>
      <c r="O34" s="198">
        <f t="shared" si="10"/>
        <v>23</v>
      </c>
      <c r="P34" s="198">
        <f t="shared" si="10"/>
        <v>25</v>
      </c>
      <c r="Q34" s="198">
        <f t="shared" si="10"/>
        <v>27</v>
      </c>
      <c r="R34" s="198">
        <f t="shared" si="10"/>
        <v>31</v>
      </c>
      <c r="S34" s="198">
        <f t="shared" si="10"/>
        <v>36</v>
      </c>
      <c r="T34" s="198">
        <f t="shared" si="10"/>
        <v>40</v>
      </c>
      <c r="U34" s="198">
        <f t="shared" si="10"/>
        <v>47</v>
      </c>
      <c r="V34" s="198">
        <f t="shared" si="10"/>
        <v>50</v>
      </c>
      <c r="W34" s="198">
        <f t="shared" si="10"/>
        <v>52</v>
      </c>
      <c r="X34" s="198">
        <f t="shared" si="10"/>
        <v>55</v>
      </c>
      <c r="Y34" s="198">
        <f t="shared" si="10"/>
        <v>62</v>
      </c>
      <c r="Z34" s="198">
        <f t="shared" si="10"/>
        <v>66</v>
      </c>
      <c r="AA34" s="198">
        <f t="shared" si="10"/>
        <v>73</v>
      </c>
      <c r="AB34" s="198">
        <f t="shared" si="10"/>
        <v>82</v>
      </c>
      <c r="AC34" s="198">
        <f t="shared" si="10"/>
        <v>103</v>
      </c>
      <c r="AD34" s="198">
        <f t="shared" si="10"/>
        <v>117</v>
      </c>
      <c r="AE34" s="198">
        <f t="shared" si="10"/>
        <v>120</v>
      </c>
      <c r="AF34" s="198">
        <f t="shared" si="10"/>
        <v>126</v>
      </c>
      <c r="AG34" s="198">
        <f t="shared" si="10"/>
        <v>128</v>
      </c>
      <c r="AH34" s="198">
        <f t="shared" si="10"/>
        <v>129</v>
      </c>
      <c r="AI34" s="198">
        <f t="shared" si="10"/>
        <v>129</v>
      </c>
      <c r="AJ34" s="198">
        <f t="shared" si="10"/>
        <v>133</v>
      </c>
      <c r="AK34" s="198">
        <f t="shared" ref="AK34:BP34" si="11">AJ34+AK14</f>
        <v>144</v>
      </c>
      <c r="AL34" s="198">
        <f t="shared" si="11"/>
        <v>150</v>
      </c>
      <c r="AM34" s="198">
        <f t="shared" si="11"/>
        <v>174</v>
      </c>
      <c r="AN34" s="198">
        <f t="shared" si="11"/>
        <v>199</v>
      </c>
      <c r="AO34" s="198">
        <f t="shared" si="11"/>
        <v>225</v>
      </c>
      <c r="AP34" s="198">
        <f t="shared" si="11"/>
        <v>249</v>
      </c>
      <c r="AQ34" s="198">
        <f t="shared" si="11"/>
        <v>278</v>
      </c>
      <c r="AR34" s="198">
        <f t="shared" si="11"/>
        <v>302</v>
      </c>
      <c r="AS34" s="198">
        <f t="shared" si="11"/>
        <v>354</v>
      </c>
      <c r="AT34" s="198">
        <f t="shared" si="11"/>
        <v>385</v>
      </c>
      <c r="AU34" s="198">
        <f t="shared" si="11"/>
        <v>403</v>
      </c>
      <c r="AV34" s="198">
        <f t="shared" si="11"/>
        <v>417</v>
      </c>
      <c r="AW34" s="198">
        <f t="shared" si="11"/>
        <v>434</v>
      </c>
      <c r="AX34" s="198">
        <f t="shared" si="11"/>
        <v>463</v>
      </c>
      <c r="AY34" s="198">
        <f t="shared" si="11"/>
        <v>500</v>
      </c>
      <c r="AZ34" s="198">
        <f t="shared" si="11"/>
        <v>535</v>
      </c>
      <c r="BA34" s="198">
        <f t="shared" si="11"/>
        <v>562</v>
      </c>
      <c r="BB34" s="198">
        <f t="shared" si="11"/>
        <v>623</v>
      </c>
      <c r="BC34" s="198">
        <f t="shared" si="11"/>
        <v>677</v>
      </c>
      <c r="BD34" s="198">
        <f t="shared" si="11"/>
        <v>716</v>
      </c>
      <c r="BE34" s="198">
        <f t="shared" si="11"/>
        <v>747</v>
      </c>
      <c r="BF34" s="198">
        <f t="shared" si="11"/>
        <v>794</v>
      </c>
      <c r="BG34" s="198">
        <f t="shared" si="11"/>
        <v>837</v>
      </c>
      <c r="BH34" s="198">
        <f t="shared" si="11"/>
        <v>873</v>
      </c>
      <c r="BI34" s="198">
        <f t="shared" si="11"/>
        <v>949</v>
      </c>
      <c r="BJ34" s="198">
        <f t="shared" si="11"/>
        <v>997</v>
      </c>
      <c r="BK34" s="198">
        <f t="shared" si="11"/>
        <v>1042</v>
      </c>
      <c r="BL34" s="198">
        <f t="shared" si="11"/>
        <v>1084</v>
      </c>
      <c r="BM34" s="198">
        <f t="shared" si="11"/>
        <v>1129</v>
      </c>
      <c r="BN34" s="198">
        <f t="shared" si="11"/>
        <v>1169</v>
      </c>
      <c r="BO34" s="198">
        <f t="shared" si="11"/>
        <v>1212</v>
      </c>
      <c r="BP34" s="198">
        <f t="shared" si="11"/>
        <v>1247</v>
      </c>
      <c r="BQ34" s="198">
        <f t="shared" ref="BQ34:CV34" si="12">BP34+BQ14</f>
        <v>1274</v>
      </c>
      <c r="BR34" s="198">
        <f t="shared" si="12"/>
        <v>1320</v>
      </c>
      <c r="BS34" s="198">
        <f t="shared" si="12"/>
        <v>1354</v>
      </c>
      <c r="BT34" s="198">
        <f t="shared" si="12"/>
        <v>1388</v>
      </c>
      <c r="BU34" s="198">
        <f t="shared" si="12"/>
        <v>1448</v>
      </c>
      <c r="BV34" s="198">
        <f t="shared" si="12"/>
        <v>1519</v>
      </c>
      <c r="BW34" s="198">
        <f t="shared" si="12"/>
        <v>1553</v>
      </c>
      <c r="BX34" s="198">
        <f t="shared" si="12"/>
        <v>1588</v>
      </c>
      <c r="BY34" s="198">
        <f t="shared" si="12"/>
        <v>1651</v>
      </c>
      <c r="BZ34" s="198">
        <f t="shared" si="12"/>
        <v>1712</v>
      </c>
      <c r="CA34" s="198">
        <f t="shared" si="12"/>
        <v>1771</v>
      </c>
      <c r="CB34" s="198">
        <f t="shared" si="12"/>
        <v>1811</v>
      </c>
      <c r="CC34" s="198">
        <f t="shared" si="12"/>
        <v>1860</v>
      </c>
      <c r="CD34" s="198">
        <f t="shared" si="12"/>
        <v>1912</v>
      </c>
      <c r="CE34" s="198">
        <f t="shared" si="12"/>
        <v>1951</v>
      </c>
      <c r="CF34" s="198">
        <f t="shared" si="12"/>
        <v>1973</v>
      </c>
      <c r="CG34" s="198">
        <f t="shared" si="12"/>
        <v>2015</v>
      </c>
      <c r="CH34" s="198">
        <f t="shared" si="12"/>
        <v>2048</v>
      </c>
      <c r="CI34" s="198">
        <f t="shared" si="12"/>
        <v>2104</v>
      </c>
      <c r="CJ34" s="198">
        <f t="shared" si="12"/>
        <v>2146</v>
      </c>
      <c r="CK34" s="198">
        <f t="shared" si="12"/>
        <v>2182</v>
      </c>
      <c r="CL34" s="198">
        <f t="shared" si="12"/>
        <v>2224</v>
      </c>
      <c r="CM34" s="198">
        <f t="shared" si="12"/>
        <v>2224</v>
      </c>
      <c r="CN34" s="198">
        <f t="shared" si="12"/>
        <v>2224</v>
      </c>
      <c r="CO34" s="198">
        <f t="shared" si="12"/>
        <v>2224</v>
      </c>
      <c r="CP34" s="198">
        <f t="shared" si="12"/>
        <v>2224</v>
      </c>
      <c r="CQ34" s="198">
        <f t="shared" si="12"/>
        <v>2224</v>
      </c>
      <c r="CR34" s="198">
        <f t="shared" si="12"/>
        <v>2224</v>
      </c>
      <c r="CS34" s="198">
        <f t="shared" si="12"/>
        <v>2224</v>
      </c>
      <c r="CT34" s="198">
        <f t="shared" si="12"/>
        <v>2224</v>
      </c>
      <c r="CU34" s="198">
        <f t="shared" si="12"/>
        <v>2224</v>
      </c>
      <c r="CV34" s="198">
        <f t="shared" si="12"/>
        <v>2224</v>
      </c>
      <c r="CW34" s="198">
        <f t="shared" ref="CW34:DD34" si="13">CV34+CW14</f>
        <v>2224</v>
      </c>
      <c r="CX34" s="198">
        <f t="shared" si="13"/>
        <v>2224</v>
      </c>
      <c r="CY34" s="198">
        <f t="shared" si="13"/>
        <v>2224</v>
      </c>
      <c r="CZ34" s="198">
        <f t="shared" si="13"/>
        <v>2224</v>
      </c>
      <c r="DA34" s="198">
        <f t="shared" si="13"/>
        <v>2224</v>
      </c>
      <c r="DB34" s="198">
        <f t="shared" si="13"/>
        <v>2224</v>
      </c>
      <c r="DC34" s="198">
        <f t="shared" si="13"/>
        <v>2224</v>
      </c>
      <c r="DD34" s="198">
        <f t="shared" si="13"/>
        <v>2224</v>
      </c>
      <c r="DE34" s="16">
        <f t="shared" ref="DE34:EJ34" si="14">DD34+DE14</f>
        <v>2224</v>
      </c>
      <c r="DF34" s="16">
        <f t="shared" si="14"/>
        <v>2224</v>
      </c>
      <c r="DG34" s="16">
        <f t="shared" si="14"/>
        <v>2224</v>
      </c>
      <c r="DH34" s="16">
        <f t="shared" si="14"/>
        <v>2224</v>
      </c>
      <c r="DI34" s="16">
        <f t="shared" si="14"/>
        <v>2224</v>
      </c>
      <c r="DJ34" s="16">
        <f t="shared" si="14"/>
        <v>2224</v>
      </c>
      <c r="DK34" s="16">
        <f t="shared" si="14"/>
        <v>2224</v>
      </c>
      <c r="DL34" s="16">
        <f t="shared" si="14"/>
        <v>2224</v>
      </c>
      <c r="DM34" s="16">
        <f t="shared" si="14"/>
        <v>2224</v>
      </c>
      <c r="DN34" s="16">
        <f t="shared" si="14"/>
        <v>2224</v>
      </c>
      <c r="DO34" s="16">
        <f t="shared" si="14"/>
        <v>2224</v>
      </c>
      <c r="DP34" s="16">
        <f t="shared" si="14"/>
        <v>2224</v>
      </c>
      <c r="DQ34" s="16">
        <f t="shared" si="14"/>
        <v>2224</v>
      </c>
      <c r="DR34" s="16">
        <f t="shared" si="14"/>
        <v>2224</v>
      </c>
      <c r="DS34" s="16">
        <f t="shared" si="14"/>
        <v>2224</v>
      </c>
      <c r="DT34" s="16">
        <f t="shared" si="14"/>
        <v>2224</v>
      </c>
      <c r="DU34" s="16">
        <f t="shared" si="14"/>
        <v>2224</v>
      </c>
      <c r="DV34" s="16">
        <f t="shared" si="14"/>
        <v>2224</v>
      </c>
      <c r="DW34" s="16">
        <f t="shared" si="14"/>
        <v>2224</v>
      </c>
      <c r="DX34" s="16">
        <f t="shared" si="14"/>
        <v>2224</v>
      </c>
      <c r="DY34" s="16">
        <f t="shared" si="14"/>
        <v>2224</v>
      </c>
      <c r="DZ34" s="16">
        <f t="shared" si="14"/>
        <v>2224</v>
      </c>
      <c r="EA34" s="16">
        <f t="shared" si="14"/>
        <v>2224</v>
      </c>
      <c r="EB34" s="16">
        <f t="shared" si="14"/>
        <v>2224</v>
      </c>
      <c r="EC34" s="16">
        <f t="shared" si="14"/>
        <v>2224</v>
      </c>
      <c r="ED34" s="16">
        <f t="shared" si="14"/>
        <v>2224</v>
      </c>
      <c r="EE34" s="16">
        <f t="shared" si="14"/>
        <v>2224</v>
      </c>
      <c r="EF34" s="16">
        <f t="shared" si="14"/>
        <v>2224</v>
      </c>
      <c r="EG34" s="16">
        <f t="shared" si="14"/>
        <v>2224</v>
      </c>
      <c r="EH34" s="16">
        <f t="shared" si="14"/>
        <v>2224</v>
      </c>
      <c r="EI34" s="16">
        <f t="shared" si="14"/>
        <v>2224</v>
      </c>
      <c r="EJ34" s="16">
        <f t="shared" si="14"/>
        <v>2224</v>
      </c>
      <c r="EK34" s="16">
        <f t="shared" ref="EK34:FP34" si="15">EJ34+EK14</f>
        <v>2224</v>
      </c>
      <c r="EL34" s="16">
        <f t="shared" si="15"/>
        <v>2224</v>
      </c>
      <c r="EM34" s="16">
        <f t="shared" si="15"/>
        <v>2224</v>
      </c>
      <c r="EN34" s="16">
        <f t="shared" si="15"/>
        <v>2224</v>
      </c>
      <c r="EO34" s="16">
        <f t="shared" si="15"/>
        <v>2224</v>
      </c>
      <c r="EP34" s="16">
        <f t="shared" si="15"/>
        <v>2224</v>
      </c>
      <c r="EQ34" s="16">
        <f t="shared" si="15"/>
        <v>2224</v>
      </c>
      <c r="ER34" s="16">
        <f t="shared" si="15"/>
        <v>2224</v>
      </c>
      <c r="ES34" s="16">
        <f t="shared" si="15"/>
        <v>2224</v>
      </c>
      <c r="ET34" s="16">
        <f t="shared" si="15"/>
        <v>2224</v>
      </c>
      <c r="EU34" s="16">
        <f t="shared" si="15"/>
        <v>2224</v>
      </c>
      <c r="EV34" s="16">
        <f t="shared" si="15"/>
        <v>2224</v>
      </c>
      <c r="EW34" s="16">
        <f t="shared" si="15"/>
        <v>2224</v>
      </c>
      <c r="EX34" s="16">
        <f t="shared" si="15"/>
        <v>2224</v>
      </c>
      <c r="EY34" s="16">
        <f t="shared" si="15"/>
        <v>2224</v>
      </c>
      <c r="EZ34" s="16">
        <f t="shared" si="15"/>
        <v>2224</v>
      </c>
      <c r="FA34" s="16">
        <f t="shared" si="15"/>
        <v>2224</v>
      </c>
      <c r="FB34" s="16">
        <f t="shared" si="15"/>
        <v>2224</v>
      </c>
      <c r="FC34" s="16">
        <f t="shared" si="15"/>
        <v>2224</v>
      </c>
      <c r="FD34" s="16">
        <f t="shared" si="15"/>
        <v>2224</v>
      </c>
      <c r="FE34" s="16">
        <f t="shared" si="15"/>
        <v>2224</v>
      </c>
      <c r="FF34" s="16">
        <f t="shared" si="15"/>
        <v>2224</v>
      </c>
      <c r="FG34" s="16">
        <f t="shared" si="15"/>
        <v>2224</v>
      </c>
      <c r="FH34" s="16">
        <f t="shared" si="15"/>
        <v>2224</v>
      </c>
      <c r="FI34" s="16">
        <f t="shared" si="15"/>
        <v>2224</v>
      </c>
      <c r="FJ34" s="16">
        <f t="shared" si="15"/>
        <v>2224</v>
      </c>
      <c r="FK34" s="16">
        <f t="shared" si="15"/>
        <v>2224</v>
      </c>
      <c r="FL34" s="16">
        <f t="shared" si="15"/>
        <v>2224</v>
      </c>
      <c r="FM34" s="16">
        <f t="shared" si="15"/>
        <v>2224</v>
      </c>
      <c r="FN34" s="16">
        <f t="shared" si="15"/>
        <v>2224</v>
      </c>
      <c r="FO34" s="16">
        <f t="shared" si="15"/>
        <v>2224</v>
      </c>
      <c r="FP34" s="16">
        <f t="shared" si="15"/>
        <v>2224</v>
      </c>
      <c r="FQ34" s="16">
        <f t="shared" ref="FQ34:GV34" si="16">FP34+FQ14</f>
        <v>2224</v>
      </c>
      <c r="FR34" s="16">
        <f t="shared" si="16"/>
        <v>2224</v>
      </c>
      <c r="FS34" s="16">
        <f t="shared" si="16"/>
        <v>2224</v>
      </c>
      <c r="FT34" s="16">
        <f t="shared" si="16"/>
        <v>2224</v>
      </c>
      <c r="FU34" s="16">
        <f t="shared" si="16"/>
        <v>2224</v>
      </c>
      <c r="FV34" s="16">
        <f t="shared" si="16"/>
        <v>2224</v>
      </c>
      <c r="FW34" s="16">
        <f t="shared" si="16"/>
        <v>2224</v>
      </c>
      <c r="FX34" s="16">
        <f t="shared" si="16"/>
        <v>2224</v>
      </c>
      <c r="FY34" s="16">
        <f t="shared" si="16"/>
        <v>2224</v>
      </c>
      <c r="FZ34" s="16">
        <f t="shared" si="16"/>
        <v>2224</v>
      </c>
      <c r="GA34" s="16">
        <f t="shared" si="16"/>
        <v>2224</v>
      </c>
      <c r="GB34" s="16">
        <f t="shared" si="16"/>
        <v>2224</v>
      </c>
      <c r="GC34" s="16">
        <f t="shared" si="16"/>
        <v>2224</v>
      </c>
      <c r="GD34" s="16">
        <f t="shared" si="16"/>
        <v>2224</v>
      </c>
      <c r="GE34" s="16">
        <f t="shared" si="16"/>
        <v>2224</v>
      </c>
      <c r="GF34" s="16">
        <f t="shared" si="16"/>
        <v>2224</v>
      </c>
      <c r="GG34" s="16">
        <f t="shared" si="16"/>
        <v>2224</v>
      </c>
      <c r="GH34" s="16">
        <f t="shared" si="16"/>
        <v>2224</v>
      </c>
      <c r="GI34" s="16">
        <f t="shared" si="16"/>
        <v>2224</v>
      </c>
      <c r="GJ34" s="16">
        <f t="shared" si="16"/>
        <v>2224</v>
      </c>
      <c r="GK34" s="16">
        <f t="shared" si="16"/>
        <v>2224</v>
      </c>
      <c r="GL34" s="16">
        <f t="shared" si="16"/>
        <v>2224</v>
      </c>
      <c r="GM34" s="16">
        <f t="shared" si="16"/>
        <v>2224</v>
      </c>
      <c r="GN34" s="16">
        <f t="shared" si="16"/>
        <v>2224</v>
      </c>
      <c r="GO34" s="16">
        <f t="shared" si="16"/>
        <v>2224</v>
      </c>
      <c r="GP34" s="16">
        <f t="shared" si="16"/>
        <v>2224</v>
      </c>
      <c r="GQ34" s="16">
        <f t="shared" si="16"/>
        <v>2224</v>
      </c>
      <c r="GR34" s="16">
        <f t="shared" si="16"/>
        <v>2224</v>
      </c>
      <c r="GS34" s="16">
        <f t="shared" si="16"/>
        <v>2224</v>
      </c>
      <c r="GT34" s="16">
        <f t="shared" si="16"/>
        <v>2224</v>
      </c>
      <c r="GU34" s="16">
        <f t="shared" si="16"/>
        <v>2224</v>
      </c>
      <c r="GV34" s="16">
        <f t="shared" si="16"/>
        <v>2224</v>
      </c>
      <c r="GW34" s="16">
        <f t="shared" ref="GW34:IB34" si="17">GV34+GW14</f>
        <v>2224</v>
      </c>
      <c r="GX34" s="16">
        <f t="shared" si="17"/>
        <v>2224</v>
      </c>
      <c r="GY34" s="16">
        <f t="shared" si="17"/>
        <v>2224</v>
      </c>
      <c r="GZ34" s="16">
        <f t="shared" si="17"/>
        <v>2224</v>
      </c>
      <c r="HA34" s="16">
        <f t="shared" si="17"/>
        <v>2224</v>
      </c>
      <c r="HB34" s="16">
        <f t="shared" si="17"/>
        <v>2224</v>
      </c>
      <c r="HC34" s="16">
        <f t="shared" si="17"/>
        <v>2224</v>
      </c>
      <c r="HD34" s="16">
        <f t="shared" si="17"/>
        <v>2224</v>
      </c>
      <c r="HE34" s="16">
        <f t="shared" si="17"/>
        <v>2224</v>
      </c>
      <c r="HF34" s="16">
        <f t="shared" si="17"/>
        <v>2224</v>
      </c>
      <c r="HG34" s="16">
        <f t="shared" si="17"/>
        <v>2224</v>
      </c>
      <c r="HH34" s="16">
        <f t="shared" si="17"/>
        <v>2224</v>
      </c>
      <c r="HI34" s="16">
        <f t="shared" si="17"/>
        <v>2224</v>
      </c>
      <c r="HJ34" s="16">
        <f t="shared" si="17"/>
        <v>2224</v>
      </c>
      <c r="HK34" s="16">
        <f t="shared" si="17"/>
        <v>2224</v>
      </c>
      <c r="HL34" s="16">
        <f t="shared" si="17"/>
        <v>2224</v>
      </c>
      <c r="HM34" s="16">
        <f t="shared" si="17"/>
        <v>2224</v>
      </c>
      <c r="HN34" s="16">
        <f t="shared" si="17"/>
        <v>2224</v>
      </c>
      <c r="HO34" s="16">
        <f t="shared" si="17"/>
        <v>2224</v>
      </c>
      <c r="HP34" s="16">
        <f t="shared" si="17"/>
        <v>2224</v>
      </c>
      <c r="HQ34" s="16">
        <f t="shared" si="17"/>
        <v>2224</v>
      </c>
      <c r="HR34" s="16">
        <f t="shared" si="17"/>
        <v>2224</v>
      </c>
      <c r="HS34" s="16">
        <f t="shared" si="17"/>
        <v>2224</v>
      </c>
      <c r="HT34" s="16">
        <f t="shared" si="17"/>
        <v>2224</v>
      </c>
      <c r="HU34" s="16">
        <f t="shared" si="17"/>
        <v>2224</v>
      </c>
      <c r="HV34" s="16">
        <f t="shared" si="17"/>
        <v>2224</v>
      </c>
      <c r="HW34" s="16">
        <f t="shared" si="17"/>
        <v>2224</v>
      </c>
      <c r="HX34" s="16">
        <f t="shared" si="17"/>
        <v>2224</v>
      </c>
      <c r="HY34" s="16">
        <f t="shared" si="17"/>
        <v>2224</v>
      </c>
      <c r="HZ34" s="16">
        <f t="shared" si="17"/>
        <v>2224</v>
      </c>
      <c r="IA34" s="16">
        <f t="shared" si="17"/>
        <v>2224</v>
      </c>
      <c r="IB34" s="16">
        <f t="shared" si="17"/>
        <v>2224</v>
      </c>
      <c r="IC34" s="16">
        <f t="shared" ref="IC34:IX34" si="18">IB34+IC14</f>
        <v>2224</v>
      </c>
      <c r="ID34" s="16">
        <f t="shared" si="18"/>
        <v>2224</v>
      </c>
      <c r="IE34" s="16">
        <f t="shared" si="18"/>
        <v>2224</v>
      </c>
      <c r="IF34" s="16">
        <f t="shared" si="18"/>
        <v>2224</v>
      </c>
      <c r="IG34" s="16">
        <f t="shared" si="18"/>
        <v>2224</v>
      </c>
      <c r="IH34" s="16">
        <f t="shared" si="18"/>
        <v>2224</v>
      </c>
      <c r="II34" s="16">
        <f t="shared" si="18"/>
        <v>2224</v>
      </c>
      <c r="IJ34" s="16">
        <f t="shared" si="18"/>
        <v>2224</v>
      </c>
      <c r="IK34" s="16">
        <f t="shared" si="18"/>
        <v>2224</v>
      </c>
      <c r="IL34" s="16">
        <f t="shared" si="18"/>
        <v>2224</v>
      </c>
      <c r="IM34" s="16">
        <f t="shared" si="18"/>
        <v>2224</v>
      </c>
      <c r="IN34" s="16">
        <f t="shared" si="18"/>
        <v>2224</v>
      </c>
      <c r="IO34" s="16">
        <f t="shared" si="18"/>
        <v>2224</v>
      </c>
      <c r="IP34" s="16">
        <f t="shared" si="18"/>
        <v>2224</v>
      </c>
      <c r="IQ34" s="16">
        <f t="shared" si="18"/>
        <v>2224</v>
      </c>
      <c r="IR34" s="16">
        <f t="shared" si="18"/>
        <v>2224</v>
      </c>
      <c r="IS34" s="16">
        <f t="shared" si="18"/>
        <v>2224</v>
      </c>
      <c r="IT34" s="16">
        <f t="shared" si="18"/>
        <v>2224</v>
      </c>
      <c r="IU34" s="16">
        <f t="shared" si="18"/>
        <v>2224</v>
      </c>
      <c r="IV34" s="16">
        <f t="shared" si="18"/>
        <v>2224</v>
      </c>
      <c r="IW34" s="16">
        <f t="shared" si="18"/>
        <v>2224</v>
      </c>
      <c r="IX34" s="16">
        <f t="shared" si="18"/>
        <v>2224</v>
      </c>
    </row>
    <row r="35" spans="1:258" x14ac:dyDescent="0.25">
      <c r="A35" s="559"/>
      <c r="C35" s="521" t="s">
        <v>42</v>
      </c>
      <c r="D35" s="27">
        <f t="shared" si="1"/>
        <v>1</v>
      </c>
      <c r="E35" s="27">
        <f t="shared" ref="E35:AJ35" si="19">D35+E15</f>
        <v>1</v>
      </c>
      <c r="F35" s="27">
        <f t="shared" si="19"/>
        <v>1</v>
      </c>
      <c r="G35" s="27">
        <f t="shared" si="19"/>
        <v>1</v>
      </c>
      <c r="H35" s="27">
        <f t="shared" si="19"/>
        <v>1</v>
      </c>
      <c r="I35" s="27">
        <f t="shared" si="19"/>
        <v>1</v>
      </c>
      <c r="J35" s="27">
        <f t="shared" si="19"/>
        <v>3</v>
      </c>
      <c r="K35" s="27">
        <f t="shared" si="19"/>
        <v>6</v>
      </c>
      <c r="L35" s="27">
        <f t="shared" si="19"/>
        <v>9</v>
      </c>
      <c r="M35" s="27">
        <f t="shared" si="19"/>
        <v>10</v>
      </c>
      <c r="N35" s="27">
        <f t="shared" si="19"/>
        <v>13</v>
      </c>
      <c r="O35" s="27">
        <f t="shared" si="19"/>
        <v>14</v>
      </c>
      <c r="P35" s="27">
        <f t="shared" si="19"/>
        <v>16</v>
      </c>
      <c r="Q35" s="27">
        <f t="shared" si="19"/>
        <v>19</v>
      </c>
      <c r="R35" s="27">
        <f t="shared" si="19"/>
        <v>22</v>
      </c>
      <c r="S35" s="27">
        <f t="shared" si="19"/>
        <v>32</v>
      </c>
      <c r="T35" s="27">
        <f t="shared" si="19"/>
        <v>37</v>
      </c>
      <c r="U35" s="27">
        <f t="shared" si="19"/>
        <v>38</v>
      </c>
      <c r="V35" s="27">
        <f t="shared" si="19"/>
        <v>41</v>
      </c>
      <c r="W35" s="27">
        <f t="shared" si="19"/>
        <v>42</v>
      </c>
      <c r="X35" s="27">
        <f t="shared" si="19"/>
        <v>45</v>
      </c>
      <c r="Y35" s="27">
        <f t="shared" si="19"/>
        <v>53</v>
      </c>
      <c r="Z35" s="27">
        <f t="shared" si="19"/>
        <v>61</v>
      </c>
      <c r="AA35" s="27">
        <f t="shared" si="19"/>
        <v>69</v>
      </c>
      <c r="AB35" s="27">
        <f t="shared" si="19"/>
        <v>77</v>
      </c>
      <c r="AC35" s="27">
        <f t="shared" si="19"/>
        <v>91</v>
      </c>
      <c r="AD35" s="27">
        <f t="shared" si="19"/>
        <v>102</v>
      </c>
      <c r="AE35" s="27">
        <f t="shared" si="19"/>
        <v>107</v>
      </c>
      <c r="AF35" s="27">
        <f t="shared" si="19"/>
        <v>120</v>
      </c>
      <c r="AG35" s="27">
        <f t="shared" si="19"/>
        <v>125</v>
      </c>
      <c r="AH35" s="27">
        <f t="shared" si="19"/>
        <v>125</v>
      </c>
      <c r="AI35" s="27">
        <f t="shared" si="19"/>
        <v>127</v>
      </c>
      <c r="AJ35" s="27">
        <f t="shared" si="19"/>
        <v>130</v>
      </c>
      <c r="AK35" s="27">
        <f t="shared" ref="AK35:BP35" si="20">AJ35+AK15</f>
        <v>138</v>
      </c>
      <c r="AL35" s="27">
        <f t="shared" si="20"/>
        <v>143</v>
      </c>
      <c r="AM35" s="27">
        <f t="shared" si="20"/>
        <v>155</v>
      </c>
      <c r="AN35" s="27">
        <f t="shared" si="20"/>
        <v>180</v>
      </c>
      <c r="AO35" s="27">
        <f t="shared" si="20"/>
        <v>209</v>
      </c>
      <c r="AP35" s="27">
        <f t="shared" si="20"/>
        <v>235</v>
      </c>
      <c r="AQ35" s="27">
        <f t="shared" si="20"/>
        <v>255</v>
      </c>
      <c r="AR35" s="27">
        <f t="shared" si="20"/>
        <v>266</v>
      </c>
      <c r="AS35" s="27">
        <f t="shared" si="20"/>
        <v>296</v>
      </c>
      <c r="AT35" s="27">
        <f t="shared" si="20"/>
        <v>309</v>
      </c>
      <c r="AU35" s="27">
        <f t="shared" si="20"/>
        <v>329</v>
      </c>
      <c r="AV35" s="27">
        <f t="shared" si="20"/>
        <v>369</v>
      </c>
      <c r="AW35" s="27">
        <f t="shared" si="20"/>
        <v>405</v>
      </c>
      <c r="AX35" s="27">
        <f t="shared" si="20"/>
        <v>443</v>
      </c>
      <c r="AY35" s="27">
        <f t="shared" si="20"/>
        <v>501</v>
      </c>
      <c r="AZ35" s="27">
        <f t="shared" si="20"/>
        <v>537</v>
      </c>
      <c r="BA35" s="27">
        <f t="shared" si="20"/>
        <v>575</v>
      </c>
      <c r="BB35" s="27">
        <f t="shared" si="20"/>
        <v>636</v>
      </c>
      <c r="BC35" s="27">
        <f t="shared" si="20"/>
        <v>698</v>
      </c>
      <c r="BD35" s="27">
        <f t="shared" si="20"/>
        <v>758</v>
      </c>
      <c r="BE35" s="27">
        <f t="shared" si="20"/>
        <v>814</v>
      </c>
      <c r="BF35" s="27">
        <f t="shared" si="20"/>
        <v>865</v>
      </c>
      <c r="BG35" s="27">
        <f t="shared" si="20"/>
        <v>927</v>
      </c>
      <c r="BH35" s="27">
        <f t="shared" si="20"/>
        <v>991</v>
      </c>
      <c r="BI35" s="27">
        <f t="shared" si="20"/>
        <v>1051</v>
      </c>
      <c r="BJ35" s="27">
        <f t="shared" si="20"/>
        <v>1103</v>
      </c>
      <c r="BK35" s="27">
        <f t="shared" si="20"/>
        <v>1165</v>
      </c>
      <c r="BL35" s="27">
        <f t="shared" si="20"/>
        <v>1218</v>
      </c>
      <c r="BM35" s="27">
        <f t="shared" si="20"/>
        <v>1267</v>
      </c>
      <c r="BN35" s="27">
        <f t="shared" si="20"/>
        <v>1308</v>
      </c>
      <c r="BO35" s="27">
        <f t="shared" si="20"/>
        <v>1323</v>
      </c>
      <c r="BP35" s="27">
        <f t="shared" si="20"/>
        <v>1378</v>
      </c>
      <c r="BQ35" s="27">
        <f t="shared" ref="BQ35:CV35" si="21">BP35+BQ15</f>
        <v>1405</v>
      </c>
      <c r="BR35" s="27">
        <f t="shared" si="21"/>
        <v>1424</v>
      </c>
      <c r="BS35" s="27">
        <f t="shared" si="21"/>
        <v>1457</v>
      </c>
      <c r="BT35" s="27">
        <f t="shared" si="21"/>
        <v>1500</v>
      </c>
      <c r="BU35" s="27">
        <f t="shared" si="21"/>
        <v>1546</v>
      </c>
      <c r="BV35" s="27">
        <f t="shared" si="21"/>
        <v>1597</v>
      </c>
      <c r="BW35" s="27">
        <f t="shared" si="21"/>
        <v>1641</v>
      </c>
      <c r="BX35" s="27">
        <f t="shared" si="21"/>
        <v>1686</v>
      </c>
      <c r="BY35" s="27">
        <f t="shared" si="21"/>
        <v>1725</v>
      </c>
      <c r="BZ35" s="27">
        <f t="shared" si="21"/>
        <v>1788</v>
      </c>
      <c r="CA35" s="27">
        <f t="shared" si="21"/>
        <v>1837</v>
      </c>
      <c r="CB35" s="27">
        <f t="shared" si="21"/>
        <v>1893</v>
      </c>
      <c r="CC35" s="27">
        <f t="shared" si="21"/>
        <v>1974</v>
      </c>
      <c r="CD35" s="27">
        <f t="shared" si="21"/>
        <v>2052</v>
      </c>
      <c r="CE35" s="27">
        <f t="shared" si="21"/>
        <v>2158</v>
      </c>
      <c r="CF35" s="27">
        <f t="shared" si="21"/>
        <v>2216</v>
      </c>
      <c r="CG35" s="27">
        <f t="shared" si="21"/>
        <v>2306</v>
      </c>
      <c r="CH35" s="27">
        <f t="shared" si="21"/>
        <v>2353</v>
      </c>
      <c r="CI35" s="27">
        <f t="shared" si="21"/>
        <v>2403</v>
      </c>
      <c r="CJ35" s="27">
        <f t="shared" si="21"/>
        <v>2440</v>
      </c>
      <c r="CK35" s="27">
        <f t="shared" si="21"/>
        <v>2456</v>
      </c>
      <c r="CL35" s="27">
        <f t="shared" si="21"/>
        <v>2487</v>
      </c>
      <c r="CM35" s="27">
        <f t="shared" si="21"/>
        <v>2518</v>
      </c>
      <c r="CN35" s="27">
        <f t="shared" si="21"/>
        <v>2534</v>
      </c>
      <c r="CO35" s="27">
        <f t="shared" si="21"/>
        <v>2542</v>
      </c>
      <c r="CP35" s="27">
        <f t="shared" si="21"/>
        <v>2544</v>
      </c>
      <c r="CQ35" s="27">
        <f t="shared" si="21"/>
        <v>2547</v>
      </c>
      <c r="CR35" s="27">
        <f t="shared" si="21"/>
        <v>2553</v>
      </c>
      <c r="CS35" s="27">
        <f t="shared" si="21"/>
        <v>2555</v>
      </c>
      <c r="CT35" s="27">
        <f t="shared" si="21"/>
        <v>2557</v>
      </c>
      <c r="CU35" s="27">
        <f t="shared" si="21"/>
        <v>2563</v>
      </c>
      <c r="CV35" s="27">
        <f t="shared" si="21"/>
        <v>2566</v>
      </c>
      <c r="CW35" s="27">
        <f t="shared" ref="CW35:DD35" si="22">CV35+CW15</f>
        <v>2567</v>
      </c>
      <c r="CX35" s="27">
        <f t="shared" si="22"/>
        <v>2567</v>
      </c>
      <c r="CY35" s="27">
        <f t="shared" si="22"/>
        <v>2567</v>
      </c>
      <c r="CZ35" s="27">
        <f t="shared" si="22"/>
        <v>2567</v>
      </c>
      <c r="DA35" s="27">
        <f t="shared" si="22"/>
        <v>2567</v>
      </c>
      <c r="DB35" s="27">
        <f t="shared" si="22"/>
        <v>2567</v>
      </c>
      <c r="DC35" s="27">
        <f t="shared" si="22"/>
        <v>2567</v>
      </c>
      <c r="DD35" s="27">
        <f t="shared" si="22"/>
        <v>2567</v>
      </c>
      <c r="DE35" s="27">
        <f t="shared" ref="DE35:EJ35" si="23">DD35+DE15</f>
        <v>2567</v>
      </c>
      <c r="DF35" s="27">
        <f t="shared" si="23"/>
        <v>2567</v>
      </c>
      <c r="DG35" s="27">
        <f t="shared" si="23"/>
        <v>2567</v>
      </c>
      <c r="DH35" s="27">
        <f t="shared" si="23"/>
        <v>2567</v>
      </c>
      <c r="DI35" s="27">
        <f t="shared" si="23"/>
        <v>2567</v>
      </c>
      <c r="DJ35" s="27">
        <f t="shared" si="23"/>
        <v>2567</v>
      </c>
      <c r="DK35" s="27">
        <f t="shared" si="23"/>
        <v>2567</v>
      </c>
      <c r="DL35" s="27">
        <f t="shared" si="23"/>
        <v>2567</v>
      </c>
      <c r="DM35" s="27">
        <f t="shared" si="23"/>
        <v>2567</v>
      </c>
      <c r="DN35" s="27">
        <f t="shared" si="23"/>
        <v>2567</v>
      </c>
      <c r="DO35" s="27">
        <f t="shared" si="23"/>
        <v>2567</v>
      </c>
      <c r="DP35" s="27">
        <f t="shared" si="23"/>
        <v>2567</v>
      </c>
      <c r="DQ35" s="27">
        <f t="shared" si="23"/>
        <v>2567</v>
      </c>
      <c r="DR35" s="27">
        <f t="shared" si="23"/>
        <v>2567</v>
      </c>
      <c r="DS35" s="27">
        <f t="shared" si="23"/>
        <v>2567</v>
      </c>
      <c r="DT35" s="27">
        <f t="shared" si="23"/>
        <v>2567</v>
      </c>
      <c r="DU35" s="27">
        <f t="shared" si="23"/>
        <v>2567</v>
      </c>
      <c r="DV35" s="27">
        <f t="shared" si="23"/>
        <v>2567</v>
      </c>
      <c r="DW35" s="27">
        <f t="shared" si="23"/>
        <v>2567</v>
      </c>
      <c r="DX35" s="27">
        <f t="shared" si="23"/>
        <v>2567</v>
      </c>
      <c r="DY35" s="27">
        <f t="shared" si="23"/>
        <v>2567</v>
      </c>
      <c r="DZ35" s="27">
        <f t="shared" si="23"/>
        <v>2567</v>
      </c>
      <c r="EA35" s="27">
        <f t="shared" si="23"/>
        <v>2567</v>
      </c>
      <c r="EB35" s="27">
        <f t="shared" si="23"/>
        <v>2567</v>
      </c>
      <c r="EC35" s="27">
        <f t="shared" si="23"/>
        <v>2567</v>
      </c>
      <c r="ED35" s="27">
        <f t="shared" si="23"/>
        <v>2567</v>
      </c>
      <c r="EE35" s="27">
        <f t="shared" si="23"/>
        <v>2567</v>
      </c>
      <c r="EF35" s="27">
        <f t="shared" si="23"/>
        <v>2567</v>
      </c>
      <c r="EG35" s="27">
        <f t="shared" si="23"/>
        <v>2567</v>
      </c>
      <c r="EH35" s="27">
        <f t="shared" si="23"/>
        <v>2567</v>
      </c>
      <c r="EI35" s="27">
        <f t="shared" si="23"/>
        <v>2567</v>
      </c>
      <c r="EJ35" s="27">
        <f t="shared" si="23"/>
        <v>2567</v>
      </c>
      <c r="EK35" s="27">
        <f t="shared" ref="EK35:FP35" si="24">EJ35+EK15</f>
        <v>2567</v>
      </c>
      <c r="EL35" s="27">
        <f t="shared" si="24"/>
        <v>2567</v>
      </c>
      <c r="EM35" s="27">
        <f t="shared" si="24"/>
        <v>2567</v>
      </c>
      <c r="EN35" s="27">
        <f t="shared" si="24"/>
        <v>2567</v>
      </c>
      <c r="EO35" s="27">
        <f t="shared" si="24"/>
        <v>2567</v>
      </c>
      <c r="EP35" s="27">
        <f t="shared" si="24"/>
        <v>2567</v>
      </c>
      <c r="EQ35" s="27">
        <f t="shared" si="24"/>
        <v>2567</v>
      </c>
      <c r="ER35" s="27">
        <f t="shared" si="24"/>
        <v>2567</v>
      </c>
      <c r="ES35" s="27">
        <f t="shared" si="24"/>
        <v>2567</v>
      </c>
      <c r="ET35" s="27">
        <f t="shared" si="24"/>
        <v>2567</v>
      </c>
      <c r="EU35" s="27">
        <f t="shared" si="24"/>
        <v>2567</v>
      </c>
      <c r="EV35" s="27">
        <f t="shared" si="24"/>
        <v>2567</v>
      </c>
      <c r="EW35" s="27">
        <f t="shared" si="24"/>
        <v>2567</v>
      </c>
      <c r="EX35" s="27">
        <f t="shared" si="24"/>
        <v>2567</v>
      </c>
      <c r="EY35" s="27">
        <f t="shared" si="24"/>
        <v>2567</v>
      </c>
      <c r="EZ35" s="27">
        <f t="shared" si="24"/>
        <v>2567</v>
      </c>
      <c r="FA35" s="27">
        <f t="shared" si="24"/>
        <v>2567</v>
      </c>
      <c r="FB35" s="27">
        <f t="shared" si="24"/>
        <v>2567</v>
      </c>
      <c r="FC35" s="27">
        <f t="shared" si="24"/>
        <v>2567</v>
      </c>
      <c r="FD35" s="27">
        <f t="shared" si="24"/>
        <v>2567</v>
      </c>
      <c r="FE35" s="27">
        <f t="shared" si="24"/>
        <v>2567</v>
      </c>
      <c r="FF35" s="27">
        <f t="shared" si="24"/>
        <v>2567</v>
      </c>
      <c r="FG35" s="27">
        <f t="shared" si="24"/>
        <v>2567</v>
      </c>
      <c r="FH35" s="27">
        <f t="shared" si="24"/>
        <v>2567</v>
      </c>
      <c r="FI35" s="27">
        <f t="shared" si="24"/>
        <v>2567</v>
      </c>
      <c r="FJ35" s="27">
        <f t="shared" si="24"/>
        <v>2567</v>
      </c>
      <c r="FK35" s="27">
        <f t="shared" si="24"/>
        <v>2567</v>
      </c>
      <c r="FL35" s="27">
        <f t="shared" si="24"/>
        <v>2567</v>
      </c>
      <c r="FM35" s="27">
        <f t="shared" si="24"/>
        <v>2567</v>
      </c>
      <c r="FN35" s="27">
        <f t="shared" si="24"/>
        <v>2567</v>
      </c>
      <c r="FO35" s="27">
        <f t="shared" si="24"/>
        <v>2567</v>
      </c>
      <c r="FP35" s="27">
        <f t="shared" si="24"/>
        <v>2567</v>
      </c>
      <c r="FQ35" s="27">
        <f t="shared" ref="FQ35:GV35" si="25">FP35+FQ15</f>
        <v>2567</v>
      </c>
      <c r="FR35" s="27">
        <f t="shared" si="25"/>
        <v>2567</v>
      </c>
      <c r="FS35" s="27">
        <f t="shared" si="25"/>
        <v>2567</v>
      </c>
      <c r="FT35" s="27">
        <f t="shared" si="25"/>
        <v>2567</v>
      </c>
      <c r="FU35" s="27">
        <f t="shared" si="25"/>
        <v>2567</v>
      </c>
      <c r="FV35" s="27">
        <f t="shared" si="25"/>
        <v>2567</v>
      </c>
      <c r="FW35" s="27">
        <f t="shared" si="25"/>
        <v>2567</v>
      </c>
      <c r="FX35" s="27">
        <f t="shared" si="25"/>
        <v>2567</v>
      </c>
      <c r="FY35" s="27">
        <f t="shared" si="25"/>
        <v>2567</v>
      </c>
      <c r="FZ35" s="27">
        <f t="shared" si="25"/>
        <v>2567</v>
      </c>
      <c r="GA35" s="27">
        <f t="shared" si="25"/>
        <v>2567</v>
      </c>
      <c r="GB35" s="27">
        <f t="shared" si="25"/>
        <v>2567</v>
      </c>
      <c r="GC35" s="27">
        <f t="shared" si="25"/>
        <v>2567</v>
      </c>
      <c r="GD35" s="27">
        <f t="shared" si="25"/>
        <v>2567</v>
      </c>
      <c r="GE35" s="27">
        <f t="shared" si="25"/>
        <v>2567</v>
      </c>
      <c r="GF35" s="27">
        <f t="shared" si="25"/>
        <v>2567</v>
      </c>
      <c r="GG35" s="27">
        <f t="shared" si="25"/>
        <v>2567</v>
      </c>
      <c r="GH35" s="27">
        <f t="shared" si="25"/>
        <v>2567</v>
      </c>
      <c r="GI35" s="27">
        <f t="shared" si="25"/>
        <v>2567</v>
      </c>
      <c r="GJ35" s="27">
        <f t="shared" si="25"/>
        <v>2567</v>
      </c>
      <c r="GK35" s="27">
        <f t="shared" si="25"/>
        <v>2567</v>
      </c>
      <c r="GL35" s="27">
        <f t="shared" si="25"/>
        <v>2567</v>
      </c>
      <c r="GM35" s="27">
        <f t="shared" si="25"/>
        <v>2567</v>
      </c>
      <c r="GN35" s="27">
        <f t="shared" si="25"/>
        <v>2567</v>
      </c>
      <c r="GO35" s="27">
        <f t="shared" si="25"/>
        <v>2567</v>
      </c>
      <c r="GP35" s="27">
        <f t="shared" si="25"/>
        <v>2567</v>
      </c>
      <c r="GQ35" s="27">
        <f t="shared" si="25"/>
        <v>2567</v>
      </c>
      <c r="GR35" s="27">
        <f t="shared" si="25"/>
        <v>2567</v>
      </c>
      <c r="GS35" s="27">
        <f t="shared" si="25"/>
        <v>2567</v>
      </c>
      <c r="GT35" s="27">
        <f t="shared" si="25"/>
        <v>2567</v>
      </c>
      <c r="GU35" s="27">
        <f t="shared" si="25"/>
        <v>2567</v>
      </c>
      <c r="GV35" s="27">
        <f t="shared" si="25"/>
        <v>2567</v>
      </c>
      <c r="GW35" s="27">
        <f t="shared" ref="GW35:IB35" si="26">GV35+GW15</f>
        <v>2567</v>
      </c>
      <c r="GX35" s="27">
        <f t="shared" si="26"/>
        <v>2567</v>
      </c>
      <c r="GY35" s="27">
        <f t="shared" si="26"/>
        <v>2567</v>
      </c>
      <c r="GZ35" s="27">
        <f t="shared" si="26"/>
        <v>2567</v>
      </c>
      <c r="HA35" s="27">
        <f t="shared" si="26"/>
        <v>2567</v>
      </c>
      <c r="HB35" s="27">
        <f t="shared" si="26"/>
        <v>2567</v>
      </c>
      <c r="HC35" s="27">
        <f t="shared" si="26"/>
        <v>2567</v>
      </c>
      <c r="HD35" s="27">
        <f t="shared" si="26"/>
        <v>2567</v>
      </c>
      <c r="HE35" s="27">
        <f t="shared" si="26"/>
        <v>2567</v>
      </c>
      <c r="HF35" s="27">
        <f t="shared" si="26"/>
        <v>2567</v>
      </c>
      <c r="HG35" s="27">
        <f t="shared" si="26"/>
        <v>2567</v>
      </c>
      <c r="HH35" s="27">
        <f t="shared" si="26"/>
        <v>2567</v>
      </c>
      <c r="HI35" s="27">
        <f t="shared" si="26"/>
        <v>2567</v>
      </c>
      <c r="HJ35" s="27">
        <f t="shared" si="26"/>
        <v>2567</v>
      </c>
      <c r="HK35" s="27">
        <f t="shared" si="26"/>
        <v>2567</v>
      </c>
      <c r="HL35" s="27">
        <f t="shared" si="26"/>
        <v>2567</v>
      </c>
      <c r="HM35" s="27">
        <f t="shared" si="26"/>
        <v>2567</v>
      </c>
      <c r="HN35" s="27">
        <f t="shared" si="26"/>
        <v>2567</v>
      </c>
      <c r="HO35" s="27">
        <f t="shared" si="26"/>
        <v>2567</v>
      </c>
      <c r="HP35" s="27">
        <f t="shared" si="26"/>
        <v>2567</v>
      </c>
      <c r="HQ35" s="27">
        <f t="shared" si="26"/>
        <v>2567</v>
      </c>
      <c r="HR35" s="27">
        <f t="shared" si="26"/>
        <v>2567</v>
      </c>
      <c r="HS35" s="27">
        <f t="shared" si="26"/>
        <v>2567</v>
      </c>
      <c r="HT35" s="27">
        <f t="shared" si="26"/>
        <v>2567</v>
      </c>
      <c r="HU35" s="27">
        <f t="shared" si="26"/>
        <v>2567</v>
      </c>
      <c r="HV35" s="27">
        <f t="shared" si="26"/>
        <v>2567</v>
      </c>
      <c r="HW35" s="27">
        <f t="shared" si="26"/>
        <v>2567</v>
      </c>
      <c r="HX35" s="27">
        <f t="shared" si="26"/>
        <v>2567</v>
      </c>
      <c r="HY35" s="27">
        <f t="shared" si="26"/>
        <v>2567</v>
      </c>
      <c r="HZ35" s="27">
        <f t="shared" si="26"/>
        <v>2567</v>
      </c>
      <c r="IA35" s="27">
        <f t="shared" si="26"/>
        <v>2567</v>
      </c>
      <c r="IB35" s="27">
        <f t="shared" si="26"/>
        <v>2567</v>
      </c>
      <c r="IC35" s="27">
        <f t="shared" ref="IC35:IW35" si="27">IB35+IC15</f>
        <v>2567</v>
      </c>
      <c r="ID35" s="27">
        <f t="shared" si="27"/>
        <v>2567</v>
      </c>
      <c r="IE35" s="27">
        <f t="shared" si="27"/>
        <v>2567</v>
      </c>
      <c r="IF35" s="27">
        <f t="shared" si="27"/>
        <v>2567</v>
      </c>
      <c r="IG35" s="27">
        <f t="shared" si="27"/>
        <v>2567</v>
      </c>
      <c r="IH35" s="27">
        <f t="shared" si="27"/>
        <v>2567</v>
      </c>
      <c r="II35" s="27">
        <f t="shared" si="27"/>
        <v>2567</v>
      </c>
      <c r="IJ35" s="27">
        <f t="shared" si="27"/>
        <v>2567</v>
      </c>
      <c r="IK35" s="27">
        <f t="shared" si="27"/>
        <v>2567</v>
      </c>
      <c r="IL35" s="27">
        <f t="shared" si="27"/>
        <v>2567</v>
      </c>
      <c r="IM35" s="27">
        <f t="shared" si="27"/>
        <v>2567</v>
      </c>
      <c r="IN35" s="27">
        <f t="shared" si="27"/>
        <v>2567</v>
      </c>
      <c r="IO35" s="27">
        <f t="shared" si="27"/>
        <v>2567</v>
      </c>
      <c r="IP35" s="27">
        <f t="shared" si="27"/>
        <v>2567</v>
      </c>
      <c r="IQ35" s="27">
        <f t="shared" si="27"/>
        <v>2567</v>
      </c>
      <c r="IR35" s="27">
        <f t="shared" si="27"/>
        <v>2567</v>
      </c>
      <c r="IS35" s="27">
        <f t="shared" si="27"/>
        <v>2567</v>
      </c>
      <c r="IT35" s="27">
        <f t="shared" si="27"/>
        <v>2567</v>
      </c>
      <c r="IU35" s="27">
        <f t="shared" si="27"/>
        <v>2567</v>
      </c>
      <c r="IV35" s="27">
        <f t="shared" si="27"/>
        <v>2567</v>
      </c>
      <c r="IW35" s="27">
        <f t="shared" si="27"/>
        <v>2567</v>
      </c>
    </row>
    <row r="36" spans="1:258" x14ac:dyDescent="0.25">
      <c r="A36" s="559"/>
      <c r="C36" s="521" t="s">
        <v>43</v>
      </c>
      <c r="D36" s="27">
        <f t="shared" si="1"/>
        <v>7</v>
      </c>
      <c r="E36" s="27">
        <f t="shared" ref="E36:AJ36" si="28">D36+E16</f>
        <v>8</v>
      </c>
      <c r="F36" s="27">
        <f t="shared" si="28"/>
        <v>8</v>
      </c>
      <c r="G36" s="27">
        <f t="shared" si="28"/>
        <v>8</v>
      </c>
      <c r="H36" s="27">
        <f t="shared" si="28"/>
        <v>8</v>
      </c>
      <c r="I36" s="27">
        <f t="shared" si="28"/>
        <v>8</v>
      </c>
      <c r="J36" s="27">
        <f t="shared" si="28"/>
        <v>10</v>
      </c>
      <c r="K36" s="27">
        <f t="shared" si="28"/>
        <v>13</v>
      </c>
      <c r="L36" s="27">
        <f t="shared" si="28"/>
        <v>16</v>
      </c>
      <c r="M36" s="27">
        <f t="shared" si="28"/>
        <v>17</v>
      </c>
      <c r="N36" s="27">
        <f t="shared" si="28"/>
        <v>20</v>
      </c>
      <c r="O36" s="27">
        <f t="shared" si="28"/>
        <v>21</v>
      </c>
      <c r="P36" s="27">
        <f t="shared" si="28"/>
        <v>23</v>
      </c>
      <c r="Q36" s="27">
        <f t="shared" si="28"/>
        <v>26</v>
      </c>
      <c r="R36" s="27">
        <f t="shared" si="28"/>
        <v>28</v>
      </c>
      <c r="S36" s="27">
        <f t="shared" si="28"/>
        <v>34</v>
      </c>
      <c r="T36" s="27">
        <f t="shared" si="28"/>
        <v>39</v>
      </c>
      <c r="U36" s="27">
        <f t="shared" si="28"/>
        <v>45</v>
      </c>
      <c r="V36" s="27">
        <f t="shared" si="28"/>
        <v>48</v>
      </c>
      <c r="W36" s="27">
        <f t="shared" si="28"/>
        <v>49</v>
      </c>
      <c r="X36" s="27">
        <f t="shared" si="28"/>
        <v>52</v>
      </c>
      <c r="Y36" s="27">
        <f t="shared" si="28"/>
        <v>54</v>
      </c>
      <c r="Z36" s="27">
        <f t="shared" si="28"/>
        <v>60</v>
      </c>
      <c r="AA36" s="27">
        <f t="shared" si="28"/>
        <v>67</v>
      </c>
      <c r="AB36" s="27">
        <f t="shared" si="28"/>
        <v>74</v>
      </c>
      <c r="AC36" s="27">
        <f t="shared" si="28"/>
        <v>88</v>
      </c>
      <c r="AD36" s="27">
        <f t="shared" si="28"/>
        <v>100</v>
      </c>
      <c r="AE36" s="27">
        <f t="shared" si="28"/>
        <v>104</v>
      </c>
      <c r="AF36" s="27">
        <f t="shared" si="28"/>
        <v>114</v>
      </c>
      <c r="AG36" s="27">
        <f t="shared" si="28"/>
        <v>119</v>
      </c>
      <c r="AH36" s="27">
        <f t="shared" si="28"/>
        <v>120</v>
      </c>
      <c r="AI36" s="27">
        <f t="shared" si="28"/>
        <v>122</v>
      </c>
      <c r="AJ36" s="27">
        <f t="shared" si="28"/>
        <v>125</v>
      </c>
      <c r="AK36" s="27">
        <f t="shared" ref="AK36:BP36" si="29">AJ36+AK16</f>
        <v>133</v>
      </c>
      <c r="AL36" s="27">
        <f t="shared" si="29"/>
        <v>139</v>
      </c>
      <c r="AM36" s="27">
        <f t="shared" si="29"/>
        <v>156</v>
      </c>
      <c r="AN36" s="27">
        <f t="shared" si="29"/>
        <v>182</v>
      </c>
      <c r="AO36" s="27">
        <f t="shared" si="29"/>
        <v>210</v>
      </c>
      <c r="AP36" s="27">
        <f t="shared" si="29"/>
        <v>231</v>
      </c>
      <c r="AQ36" s="27">
        <f t="shared" si="29"/>
        <v>259</v>
      </c>
      <c r="AR36" s="27">
        <f t="shared" si="29"/>
        <v>272</v>
      </c>
      <c r="AS36" s="27">
        <f t="shared" si="29"/>
        <v>291</v>
      </c>
      <c r="AT36" s="27">
        <f t="shared" si="29"/>
        <v>308</v>
      </c>
      <c r="AU36" s="27">
        <f t="shared" si="29"/>
        <v>327</v>
      </c>
      <c r="AV36" s="27">
        <f t="shared" si="29"/>
        <v>351</v>
      </c>
      <c r="AW36" s="27">
        <f t="shared" si="29"/>
        <v>367</v>
      </c>
      <c r="AX36" s="27">
        <f t="shared" si="29"/>
        <v>391</v>
      </c>
      <c r="AY36" s="27">
        <f t="shared" si="29"/>
        <v>435</v>
      </c>
      <c r="AZ36" s="27">
        <f t="shared" si="29"/>
        <v>468</v>
      </c>
      <c r="BA36" s="27">
        <f t="shared" si="29"/>
        <v>498</v>
      </c>
      <c r="BB36" s="27">
        <f t="shared" si="29"/>
        <v>557</v>
      </c>
      <c r="BC36" s="27">
        <f t="shared" si="29"/>
        <v>630</v>
      </c>
      <c r="BD36" s="27">
        <f t="shared" si="29"/>
        <v>671</v>
      </c>
      <c r="BE36" s="27">
        <f t="shared" si="29"/>
        <v>694</v>
      </c>
      <c r="BF36" s="27">
        <f t="shared" si="29"/>
        <v>736</v>
      </c>
      <c r="BG36" s="27">
        <f t="shared" si="29"/>
        <v>771</v>
      </c>
      <c r="BH36" s="27">
        <f t="shared" si="29"/>
        <v>801</v>
      </c>
      <c r="BI36" s="27">
        <f t="shared" si="29"/>
        <v>871</v>
      </c>
      <c r="BJ36" s="27">
        <f t="shared" si="29"/>
        <v>920</v>
      </c>
      <c r="BK36" s="27">
        <f t="shared" si="29"/>
        <v>961</v>
      </c>
      <c r="BL36" s="27">
        <f t="shared" si="29"/>
        <v>1012</v>
      </c>
      <c r="BM36" s="27">
        <f t="shared" si="29"/>
        <v>1054</v>
      </c>
      <c r="BN36" s="27">
        <f t="shared" si="29"/>
        <v>1101</v>
      </c>
      <c r="BO36" s="27">
        <f t="shared" si="29"/>
        <v>1144</v>
      </c>
      <c r="BP36" s="27">
        <f t="shared" si="29"/>
        <v>1180</v>
      </c>
      <c r="BQ36" s="27">
        <f t="shared" ref="BQ36:CV36" si="30">BP36+BQ16</f>
        <v>1207</v>
      </c>
      <c r="BR36" s="27">
        <f t="shared" si="30"/>
        <v>1236</v>
      </c>
      <c r="BS36" s="27">
        <f t="shared" si="30"/>
        <v>1263</v>
      </c>
      <c r="BT36" s="27">
        <f t="shared" si="30"/>
        <v>1302</v>
      </c>
      <c r="BU36" s="27">
        <f t="shared" si="30"/>
        <v>1362</v>
      </c>
      <c r="BV36" s="27">
        <f t="shared" si="30"/>
        <v>1421</v>
      </c>
      <c r="BW36" s="27">
        <f t="shared" si="30"/>
        <v>1458</v>
      </c>
      <c r="BX36" s="27">
        <f t="shared" si="30"/>
        <v>1507</v>
      </c>
      <c r="BY36" s="27">
        <f t="shared" si="30"/>
        <v>1584</v>
      </c>
      <c r="BZ36" s="27">
        <f t="shared" si="30"/>
        <v>1654</v>
      </c>
      <c r="CA36" s="27">
        <f t="shared" si="30"/>
        <v>1710</v>
      </c>
      <c r="CB36" s="27">
        <f t="shared" si="30"/>
        <v>1753</v>
      </c>
      <c r="CC36" s="27">
        <f t="shared" si="30"/>
        <v>1800</v>
      </c>
      <c r="CD36" s="27">
        <f t="shared" si="30"/>
        <v>1845</v>
      </c>
      <c r="CE36" s="27">
        <f t="shared" si="30"/>
        <v>1900</v>
      </c>
      <c r="CF36" s="27">
        <f t="shared" si="30"/>
        <v>1931</v>
      </c>
      <c r="CG36" s="27">
        <f t="shared" si="30"/>
        <v>1962</v>
      </c>
      <c r="CH36" s="27">
        <f t="shared" si="30"/>
        <v>1992</v>
      </c>
      <c r="CI36" s="27">
        <f t="shared" si="30"/>
        <v>2052</v>
      </c>
      <c r="CJ36" s="27">
        <f t="shared" si="30"/>
        <v>2099</v>
      </c>
      <c r="CK36" s="27">
        <f t="shared" si="30"/>
        <v>2137</v>
      </c>
      <c r="CL36" s="27">
        <f t="shared" si="30"/>
        <v>2198</v>
      </c>
      <c r="CM36" s="27">
        <f t="shared" si="30"/>
        <v>2293</v>
      </c>
      <c r="CN36" s="27">
        <f t="shared" si="30"/>
        <v>2356</v>
      </c>
      <c r="CO36" s="27">
        <f t="shared" si="30"/>
        <v>2423</v>
      </c>
      <c r="CP36" s="27">
        <f t="shared" si="30"/>
        <v>2471</v>
      </c>
      <c r="CQ36" s="27">
        <f t="shared" si="30"/>
        <v>2504</v>
      </c>
      <c r="CR36" s="27">
        <f t="shared" si="30"/>
        <v>2521</v>
      </c>
      <c r="CS36" s="27">
        <f t="shared" si="30"/>
        <v>2552</v>
      </c>
      <c r="CT36" s="27">
        <f t="shared" si="30"/>
        <v>2569</v>
      </c>
      <c r="CU36" s="27">
        <f t="shared" si="30"/>
        <v>2585</v>
      </c>
      <c r="CV36" s="27">
        <f t="shared" si="30"/>
        <v>2614</v>
      </c>
      <c r="CW36" s="27">
        <f t="shared" ref="CW36:DD36" si="31">CV36+CW16</f>
        <v>2624</v>
      </c>
      <c r="CX36" s="27">
        <f t="shared" si="31"/>
        <v>2627</v>
      </c>
      <c r="CY36" s="27">
        <f t="shared" si="31"/>
        <v>2630</v>
      </c>
      <c r="CZ36" s="27">
        <f t="shared" si="31"/>
        <v>2633</v>
      </c>
      <c r="DA36" s="27">
        <f t="shared" si="31"/>
        <v>2633</v>
      </c>
      <c r="DB36" s="27">
        <f t="shared" si="31"/>
        <v>2635</v>
      </c>
      <c r="DC36" s="27">
        <f t="shared" si="31"/>
        <v>2636</v>
      </c>
      <c r="DD36" s="27">
        <f t="shared" si="31"/>
        <v>2636</v>
      </c>
      <c r="DE36" s="27">
        <f t="shared" ref="DE36:EJ36" si="32">DD36+DE16</f>
        <v>2636</v>
      </c>
      <c r="DF36" s="27">
        <f t="shared" si="32"/>
        <v>2636</v>
      </c>
      <c r="DG36" s="27">
        <f t="shared" si="32"/>
        <v>2636</v>
      </c>
      <c r="DH36" s="27">
        <f t="shared" si="32"/>
        <v>2636</v>
      </c>
      <c r="DI36" s="27">
        <f t="shared" si="32"/>
        <v>2636</v>
      </c>
      <c r="DJ36" s="27">
        <f t="shared" si="32"/>
        <v>2636</v>
      </c>
      <c r="DK36" s="27">
        <f t="shared" si="32"/>
        <v>2636</v>
      </c>
      <c r="DL36" s="27">
        <f t="shared" si="32"/>
        <v>2636</v>
      </c>
      <c r="DM36" s="27">
        <f t="shared" si="32"/>
        <v>2636</v>
      </c>
      <c r="DN36" s="27">
        <f t="shared" si="32"/>
        <v>2636</v>
      </c>
      <c r="DO36" s="27">
        <f t="shared" si="32"/>
        <v>2636</v>
      </c>
      <c r="DP36" s="27">
        <f t="shared" si="32"/>
        <v>2636</v>
      </c>
      <c r="DQ36" s="27">
        <f t="shared" si="32"/>
        <v>2636</v>
      </c>
      <c r="DR36" s="27">
        <f t="shared" si="32"/>
        <v>2636</v>
      </c>
      <c r="DS36" s="27">
        <f t="shared" si="32"/>
        <v>2636</v>
      </c>
      <c r="DT36" s="27">
        <f t="shared" si="32"/>
        <v>2636</v>
      </c>
      <c r="DU36" s="27">
        <f t="shared" si="32"/>
        <v>2636</v>
      </c>
      <c r="DV36" s="27">
        <f t="shared" si="32"/>
        <v>2636</v>
      </c>
      <c r="DW36" s="27">
        <f t="shared" si="32"/>
        <v>2636</v>
      </c>
      <c r="DX36" s="27">
        <f t="shared" si="32"/>
        <v>2636</v>
      </c>
      <c r="DY36" s="27">
        <f t="shared" si="32"/>
        <v>2636</v>
      </c>
      <c r="DZ36" s="27">
        <f t="shared" si="32"/>
        <v>2636</v>
      </c>
      <c r="EA36" s="27">
        <f t="shared" si="32"/>
        <v>2636</v>
      </c>
      <c r="EB36" s="27">
        <f t="shared" si="32"/>
        <v>2636</v>
      </c>
      <c r="EC36" s="27">
        <f t="shared" si="32"/>
        <v>2636</v>
      </c>
      <c r="ED36" s="27">
        <f t="shared" si="32"/>
        <v>2636</v>
      </c>
      <c r="EE36" s="27">
        <f t="shared" si="32"/>
        <v>2636</v>
      </c>
      <c r="EF36" s="27">
        <f t="shared" si="32"/>
        <v>2636</v>
      </c>
      <c r="EG36" s="27">
        <f t="shared" si="32"/>
        <v>2636</v>
      </c>
      <c r="EH36" s="27">
        <f t="shared" si="32"/>
        <v>2636</v>
      </c>
      <c r="EI36" s="27">
        <f t="shared" si="32"/>
        <v>2636</v>
      </c>
      <c r="EJ36" s="27">
        <f t="shared" si="32"/>
        <v>2636</v>
      </c>
      <c r="EK36" s="27">
        <f t="shared" ref="EK36:FP36" si="33">EJ36+EK16</f>
        <v>2636</v>
      </c>
      <c r="EL36" s="27">
        <f t="shared" si="33"/>
        <v>2636</v>
      </c>
      <c r="EM36" s="27">
        <f t="shared" si="33"/>
        <v>2636</v>
      </c>
      <c r="EN36" s="27">
        <f t="shared" si="33"/>
        <v>2636</v>
      </c>
      <c r="EO36" s="27">
        <f t="shared" si="33"/>
        <v>2636</v>
      </c>
      <c r="EP36" s="27">
        <f t="shared" si="33"/>
        <v>2636</v>
      </c>
      <c r="EQ36" s="27">
        <f t="shared" si="33"/>
        <v>2636</v>
      </c>
      <c r="ER36" s="27">
        <f t="shared" si="33"/>
        <v>2636</v>
      </c>
      <c r="ES36" s="27">
        <f t="shared" si="33"/>
        <v>2636</v>
      </c>
      <c r="ET36" s="27">
        <f t="shared" si="33"/>
        <v>2636</v>
      </c>
      <c r="EU36" s="27">
        <f t="shared" si="33"/>
        <v>2636</v>
      </c>
      <c r="EV36" s="27">
        <f t="shared" si="33"/>
        <v>2636</v>
      </c>
      <c r="EW36" s="27">
        <f t="shared" si="33"/>
        <v>2636</v>
      </c>
      <c r="EX36" s="27">
        <f t="shared" si="33"/>
        <v>2636</v>
      </c>
      <c r="EY36" s="27">
        <f t="shared" si="33"/>
        <v>2636</v>
      </c>
      <c r="EZ36" s="27">
        <f t="shared" si="33"/>
        <v>2636</v>
      </c>
      <c r="FA36" s="27">
        <f t="shared" si="33"/>
        <v>2636</v>
      </c>
      <c r="FB36" s="27">
        <f t="shared" si="33"/>
        <v>2636</v>
      </c>
      <c r="FC36" s="27">
        <f t="shared" si="33"/>
        <v>2636</v>
      </c>
      <c r="FD36" s="27">
        <f t="shared" si="33"/>
        <v>2636</v>
      </c>
      <c r="FE36" s="27">
        <f t="shared" si="33"/>
        <v>2636</v>
      </c>
      <c r="FF36" s="27">
        <f t="shared" si="33"/>
        <v>2636</v>
      </c>
      <c r="FG36" s="27">
        <f t="shared" si="33"/>
        <v>2636</v>
      </c>
      <c r="FH36" s="27">
        <f t="shared" si="33"/>
        <v>2636</v>
      </c>
      <c r="FI36" s="27">
        <f t="shared" si="33"/>
        <v>2636</v>
      </c>
      <c r="FJ36" s="27">
        <f t="shared" si="33"/>
        <v>2636</v>
      </c>
      <c r="FK36" s="27">
        <f t="shared" si="33"/>
        <v>2636</v>
      </c>
      <c r="FL36" s="27">
        <f t="shared" si="33"/>
        <v>2636</v>
      </c>
      <c r="FM36" s="27">
        <f t="shared" si="33"/>
        <v>2636</v>
      </c>
      <c r="FN36" s="27">
        <f t="shared" si="33"/>
        <v>2636</v>
      </c>
      <c r="FO36" s="27">
        <f t="shared" si="33"/>
        <v>2636</v>
      </c>
      <c r="FP36" s="27">
        <f t="shared" si="33"/>
        <v>2636</v>
      </c>
      <c r="FQ36" s="27">
        <f t="shared" ref="FQ36:GV36" si="34">FP36+FQ16</f>
        <v>2636</v>
      </c>
      <c r="FR36" s="27">
        <f t="shared" si="34"/>
        <v>2636</v>
      </c>
      <c r="FS36" s="27">
        <f t="shared" si="34"/>
        <v>2636</v>
      </c>
      <c r="FT36" s="27">
        <f t="shared" si="34"/>
        <v>2636</v>
      </c>
      <c r="FU36" s="27">
        <f t="shared" si="34"/>
        <v>2636</v>
      </c>
      <c r="FV36" s="27">
        <f t="shared" si="34"/>
        <v>2636</v>
      </c>
      <c r="FW36" s="27">
        <f t="shared" si="34"/>
        <v>2636</v>
      </c>
      <c r="FX36" s="27">
        <f t="shared" si="34"/>
        <v>2636</v>
      </c>
      <c r="FY36" s="27">
        <f t="shared" si="34"/>
        <v>2636</v>
      </c>
      <c r="FZ36" s="27">
        <f t="shared" si="34"/>
        <v>2636</v>
      </c>
      <c r="GA36" s="27">
        <f t="shared" si="34"/>
        <v>2636</v>
      </c>
      <c r="GB36" s="27">
        <f t="shared" si="34"/>
        <v>2636</v>
      </c>
      <c r="GC36" s="27">
        <f t="shared" si="34"/>
        <v>2636</v>
      </c>
      <c r="GD36" s="27">
        <f t="shared" si="34"/>
        <v>2636</v>
      </c>
      <c r="GE36" s="27">
        <f t="shared" si="34"/>
        <v>2636</v>
      </c>
      <c r="GF36" s="27">
        <f t="shared" si="34"/>
        <v>2636</v>
      </c>
      <c r="GG36" s="27">
        <f t="shared" si="34"/>
        <v>2636</v>
      </c>
      <c r="GH36" s="27">
        <f t="shared" si="34"/>
        <v>2636</v>
      </c>
      <c r="GI36" s="27">
        <f t="shared" si="34"/>
        <v>2636</v>
      </c>
      <c r="GJ36" s="27">
        <f t="shared" si="34"/>
        <v>2636</v>
      </c>
      <c r="GK36" s="27">
        <f t="shared" si="34"/>
        <v>2636</v>
      </c>
      <c r="GL36" s="27">
        <f t="shared" si="34"/>
        <v>2636</v>
      </c>
      <c r="GM36" s="27">
        <f t="shared" si="34"/>
        <v>2636</v>
      </c>
      <c r="GN36" s="27">
        <f t="shared" si="34"/>
        <v>2636</v>
      </c>
      <c r="GO36" s="27">
        <f t="shared" si="34"/>
        <v>2636</v>
      </c>
      <c r="GP36" s="27">
        <f t="shared" si="34"/>
        <v>2636</v>
      </c>
      <c r="GQ36" s="27">
        <f t="shared" si="34"/>
        <v>2636</v>
      </c>
      <c r="GR36" s="27">
        <f t="shared" si="34"/>
        <v>2636</v>
      </c>
      <c r="GS36" s="27">
        <f t="shared" si="34"/>
        <v>2636</v>
      </c>
      <c r="GT36" s="27">
        <f t="shared" si="34"/>
        <v>2636</v>
      </c>
      <c r="GU36" s="27">
        <f t="shared" si="34"/>
        <v>2636</v>
      </c>
      <c r="GV36" s="27">
        <f t="shared" si="34"/>
        <v>2636</v>
      </c>
      <c r="GW36" s="27">
        <f t="shared" ref="GW36:IB36" si="35">GV36+GW16</f>
        <v>2636</v>
      </c>
      <c r="GX36" s="27">
        <f t="shared" si="35"/>
        <v>2636</v>
      </c>
      <c r="GY36" s="27">
        <f t="shared" si="35"/>
        <v>2636</v>
      </c>
      <c r="GZ36" s="27">
        <f t="shared" si="35"/>
        <v>2636</v>
      </c>
      <c r="HA36" s="27">
        <f t="shared" si="35"/>
        <v>2636</v>
      </c>
      <c r="HB36" s="27">
        <f t="shared" si="35"/>
        <v>2636</v>
      </c>
      <c r="HC36" s="27">
        <f t="shared" si="35"/>
        <v>2636</v>
      </c>
      <c r="HD36" s="27">
        <f t="shared" si="35"/>
        <v>2636</v>
      </c>
      <c r="HE36" s="27">
        <f t="shared" si="35"/>
        <v>2636</v>
      </c>
      <c r="HF36" s="27">
        <f t="shared" si="35"/>
        <v>2636</v>
      </c>
      <c r="HG36" s="27">
        <f t="shared" si="35"/>
        <v>2636</v>
      </c>
      <c r="HH36" s="27">
        <f t="shared" si="35"/>
        <v>2636</v>
      </c>
      <c r="HI36" s="27">
        <f t="shared" si="35"/>
        <v>2636</v>
      </c>
      <c r="HJ36" s="27">
        <f t="shared" si="35"/>
        <v>2636</v>
      </c>
      <c r="HK36" s="27">
        <f t="shared" si="35"/>
        <v>2636</v>
      </c>
      <c r="HL36" s="27">
        <f t="shared" si="35"/>
        <v>2636</v>
      </c>
      <c r="HM36" s="27">
        <f t="shared" si="35"/>
        <v>2636</v>
      </c>
      <c r="HN36" s="27">
        <f t="shared" si="35"/>
        <v>2636</v>
      </c>
      <c r="HO36" s="27">
        <f t="shared" si="35"/>
        <v>2636</v>
      </c>
      <c r="HP36" s="27">
        <f t="shared" si="35"/>
        <v>2636</v>
      </c>
      <c r="HQ36" s="27">
        <f t="shared" si="35"/>
        <v>2636</v>
      </c>
      <c r="HR36" s="27">
        <f t="shared" si="35"/>
        <v>2636</v>
      </c>
      <c r="HS36" s="27">
        <f t="shared" si="35"/>
        <v>2636</v>
      </c>
      <c r="HT36" s="27">
        <f t="shared" si="35"/>
        <v>2636</v>
      </c>
      <c r="HU36" s="27">
        <f t="shared" si="35"/>
        <v>2636</v>
      </c>
      <c r="HV36" s="27">
        <f t="shared" si="35"/>
        <v>2636</v>
      </c>
      <c r="HW36" s="27">
        <f t="shared" si="35"/>
        <v>2636</v>
      </c>
      <c r="HX36" s="27">
        <f t="shared" si="35"/>
        <v>2636</v>
      </c>
      <c r="HY36" s="27">
        <f t="shared" si="35"/>
        <v>2636</v>
      </c>
      <c r="HZ36" s="27">
        <f t="shared" si="35"/>
        <v>2636</v>
      </c>
      <c r="IA36" s="27">
        <f t="shared" si="35"/>
        <v>2636</v>
      </c>
      <c r="IB36" s="27">
        <f t="shared" si="35"/>
        <v>2636</v>
      </c>
      <c r="IC36" s="27">
        <f t="shared" ref="IC36:IW36" si="36">IB36+IC16</f>
        <v>2636</v>
      </c>
      <c r="ID36" s="27">
        <f t="shared" si="36"/>
        <v>2636</v>
      </c>
      <c r="IE36" s="27">
        <f t="shared" si="36"/>
        <v>2636</v>
      </c>
      <c r="IF36" s="27">
        <f t="shared" si="36"/>
        <v>2636</v>
      </c>
      <c r="IG36" s="27">
        <f t="shared" si="36"/>
        <v>2636</v>
      </c>
      <c r="IH36" s="27">
        <f t="shared" si="36"/>
        <v>2636</v>
      </c>
      <c r="II36" s="27">
        <f t="shared" si="36"/>
        <v>2636</v>
      </c>
      <c r="IJ36" s="27">
        <f t="shared" si="36"/>
        <v>2636</v>
      </c>
      <c r="IK36" s="27">
        <f t="shared" si="36"/>
        <v>2636</v>
      </c>
      <c r="IL36" s="27">
        <f t="shared" si="36"/>
        <v>2636</v>
      </c>
      <c r="IM36" s="27">
        <f t="shared" si="36"/>
        <v>2636</v>
      </c>
      <c r="IN36" s="27">
        <f t="shared" si="36"/>
        <v>2636</v>
      </c>
      <c r="IO36" s="27">
        <f t="shared" si="36"/>
        <v>2636</v>
      </c>
      <c r="IP36" s="27">
        <f t="shared" si="36"/>
        <v>2636</v>
      </c>
      <c r="IQ36" s="27">
        <f t="shared" si="36"/>
        <v>2636</v>
      </c>
      <c r="IR36" s="27">
        <f t="shared" si="36"/>
        <v>2636</v>
      </c>
      <c r="IS36" s="27">
        <f t="shared" si="36"/>
        <v>2636</v>
      </c>
      <c r="IT36" s="27">
        <f t="shared" si="36"/>
        <v>2636</v>
      </c>
      <c r="IU36" s="27">
        <f t="shared" si="36"/>
        <v>2636</v>
      </c>
      <c r="IV36" s="27">
        <f t="shared" si="36"/>
        <v>2636</v>
      </c>
      <c r="IW36" s="27">
        <f t="shared" si="36"/>
        <v>2636</v>
      </c>
    </row>
    <row r="37" spans="1:258" x14ac:dyDescent="0.25">
      <c r="A37" s="559"/>
      <c r="C37" s="521" t="s">
        <v>44</v>
      </c>
      <c r="D37" s="27">
        <f t="shared" si="1"/>
        <v>7</v>
      </c>
      <c r="E37" s="27">
        <f t="shared" ref="E37:AJ37" si="37">D37+E17</f>
        <v>8</v>
      </c>
      <c r="F37" s="27">
        <f t="shared" si="37"/>
        <v>8</v>
      </c>
      <c r="G37" s="27">
        <f t="shared" si="37"/>
        <v>8</v>
      </c>
      <c r="H37" s="27">
        <f t="shared" si="37"/>
        <v>8</v>
      </c>
      <c r="I37" s="27">
        <f t="shared" si="37"/>
        <v>8</v>
      </c>
      <c r="J37" s="27">
        <f t="shared" si="37"/>
        <v>10</v>
      </c>
      <c r="K37" s="27">
        <f t="shared" si="37"/>
        <v>13</v>
      </c>
      <c r="L37" s="27">
        <f t="shared" si="37"/>
        <v>16</v>
      </c>
      <c r="M37" s="27">
        <f t="shared" si="37"/>
        <v>17</v>
      </c>
      <c r="N37" s="27">
        <f t="shared" si="37"/>
        <v>20</v>
      </c>
      <c r="O37" s="27">
        <f t="shared" si="37"/>
        <v>21</v>
      </c>
      <c r="P37" s="27">
        <f t="shared" si="37"/>
        <v>23</v>
      </c>
      <c r="Q37" s="27">
        <f t="shared" si="37"/>
        <v>26</v>
      </c>
      <c r="R37" s="27">
        <f t="shared" si="37"/>
        <v>28</v>
      </c>
      <c r="S37" s="27">
        <f t="shared" si="37"/>
        <v>34</v>
      </c>
      <c r="T37" s="27">
        <f t="shared" si="37"/>
        <v>39</v>
      </c>
      <c r="U37" s="27">
        <f t="shared" si="37"/>
        <v>45</v>
      </c>
      <c r="V37" s="27">
        <f t="shared" si="37"/>
        <v>48</v>
      </c>
      <c r="W37" s="27">
        <f t="shared" si="37"/>
        <v>49</v>
      </c>
      <c r="X37" s="27">
        <f t="shared" si="37"/>
        <v>52</v>
      </c>
      <c r="Y37" s="27">
        <f t="shared" si="37"/>
        <v>54</v>
      </c>
      <c r="Z37" s="27">
        <f t="shared" si="37"/>
        <v>60</v>
      </c>
      <c r="AA37" s="27">
        <f t="shared" si="37"/>
        <v>67</v>
      </c>
      <c r="AB37" s="27">
        <f t="shared" si="37"/>
        <v>74</v>
      </c>
      <c r="AC37" s="27">
        <f t="shared" si="37"/>
        <v>88</v>
      </c>
      <c r="AD37" s="27">
        <f t="shared" si="37"/>
        <v>100</v>
      </c>
      <c r="AE37" s="27">
        <f t="shared" si="37"/>
        <v>104</v>
      </c>
      <c r="AF37" s="27">
        <f t="shared" si="37"/>
        <v>114</v>
      </c>
      <c r="AG37" s="27">
        <f t="shared" si="37"/>
        <v>119</v>
      </c>
      <c r="AH37" s="27">
        <f t="shared" si="37"/>
        <v>120</v>
      </c>
      <c r="AI37" s="27">
        <f t="shared" si="37"/>
        <v>122</v>
      </c>
      <c r="AJ37" s="27">
        <f t="shared" si="37"/>
        <v>125</v>
      </c>
      <c r="AK37" s="27">
        <f t="shared" ref="AK37:BP37" si="38">AJ37+AK17</f>
        <v>133</v>
      </c>
      <c r="AL37" s="27">
        <f t="shared" si="38"/>
        <v>139</v>
      </c>
      <c r="AM37" s="27">
        <f t="shared" si="38"/>
        <v>156</v>
      </c>
      <c r="AN37" s="27">
        <f t="shared" si="38"/>
        <v>182</v>
      </c>
      <c r="AO37" s="27">
        <f t="shared" si="38"/>
        <v>210</v>
      </c>
      <c r="AP37" s="27">
        <f t="shared" si="38"/>
        <v>231</v>
      </c>
      <c r="AQ37" s="27">
        <f t="shared" si="38"/>
        <v>259</v>
      </c>
      <c r="AR37" s="27">
        <f t="shared" si="38"/>
        <v>272</v>
      </c>
      <c r="AS37" s="27">
        <f t="shared" si="38"/>
        <v>291</v>
      </c>
      <c r="AT37" s="27">
        <f t="shared" si="38"/>
        <v>308</v>
      </c>
      <c r="AU37" s="27">
        <f t="shared" si="38"/>
        <v>327</v>
      </c>
      <c r="AV37" s="27">
        <f t="shared" si="38"/>
        <v>351</v>
      </c>
      <c r="AW37" s="27">
        <f t="shared" si="38"/>
        <v>367</v>
      </c>
      <c r="AX37" s="27">
        <f t="shared" si="38"/>
        <v>391</v>
      </c>
      <c r="AY37" s="27">
        <f t="shared" si="38"/>
        <v>435</v>
      </c>
      <c r="AZ37" s="27">
        <f t="shared" si="38"/>
        <v>468</v>
      </c>
      <c r="BA37" s="27">
        <f t="shared" si="38"/>
        <v>498</v>
      </c>
      <c r="BB37" s="27">
        <f t="shared" si="38"/>
        <v>557</v>
      </c>
      <c r="BC37" s="27">
        <f t="shared" si="38"/>
        <v>630</v>
      </c>
      <c r="BD37" s="27">
        <f t="shared" si="38"/>
        <v>671</v>
      </c>
      <c r="BE37" s="27">
        <f t="shared" si="38"/>
        <v>694</v>
      </c>
      <c r="BF37" s="27">
        <f t="shared" si="38"/>
        <v>736</v>
      </c>
      <c r="BG37" s="27">
        <f t="shared" si="38"/>
        <v>771</v>
      </c>
      <c r="BH37" s="27">
        <f t="shared" si="38"/>
        <v>801</v>
      </c>
      <c r="BI37" s="27">
        <f t="shared" si="38"/>
        <v>871</v>
      </c>
      <c r="BJ37" s="27">
        <f t="shared" si="38"/>
        <v>920</v>
      </c>
      <c r="BK37" s="27">
        <f t="shared" si="38"/>
        <v>961</v>
      </c>
      <c r="BL37" s="27">
        <f t="shared" si="38"/>
        <v>1012</v>
      </c>
      <c r="BM37" s="27">
        <f t="shared" si="38"/>
        <v>1054</v>
      </c>
      <c r="BN37" s="27">
        <f t="shared" si="38"/>
        <v>1101</v>
      </c>
      <c r="BO37" s="27">
        <f t="shared" si="38"/>
        <v>1144</v>
      </c>
      <c r="BP37" s="27">
        <f t="shared" si="38"/>
        <v>1180</v>
      </c>
      <c r="BQ37" s="27">
        <f t="shared" ref="BQ37:CV37" si="39">BP37+BQ17</f>
        <v>1207</v>
      </c>
      <c r="BR37" s="27">
        <f t="shared" si="39"/>
        <v>1236</v>
      </c>
      <c r="BS37" s="27">
        <f t="shared" si="39"/>
        <v>1263</v>
      </c>
      <c r="BT37" s="27">
        <f t="shared" si="39"/>
        <v>1302</v>
      </c>
      <c r="BU37" s="27">
        <f t="shared" si="39"/>
        <v>1362</v>
      </c>
      <c r="BV37" s="27">
        <f t="shared" si="39"/>
        <v>1421</v>
      </c>
      <c r="BW37" s="27">
        <f t="shared" si="39"/>
        <v>1458</v>
      </c>
      <c r="BX37" s="27">
        <f t="shared" si="39"/>
        <v>1507</v>
      </c>
      <c r="BY37" s="27">
        <f t="shared" si="39"/>
        <v>1584</v>
      </c>
      <c r="BZ37" s="27">
        <f t="shared" si="39"/>
        <v>1654</v>
      </c>
      <c r="CA37" s="27">
        <f t="shared" si="39"/>
        <v>1710</v>
      </c>
      <c r="CB37" s="27">
        <f t="shared" si="39"/>
        <v>1753</v>
      </c>
      <c r="CC37" s="27">
        <f t="shared" si="39"/>
        <v>1800</v>
      </c>
      <c r="CD37" s="27">
        <f t="shared" si="39"/>
        <v>1845</v>
      </c>
      <c r="CE37" s="27">
        <f t="shared" si="39"/>
        <v>1900</v>
      </c>
      <c r="CF37" s="27">
        <f t="shared" si="39"/>
        <v>1931</v>
      </c>
      <c r="CG37" s="27">
        <f t="shared" si="39"/>
        <v>1962</v>
      </c>
      <c r="CH37" s="27">
        <f t="shared" si="39"/>
        <v>1992</v>
      </c>
      <c r="CI37" s="27">
        <f t="shared" si="39"/>
        <v>2052</v>
      </c>
      <c r="CJ37" s="27">
        <f t="shared" si="39"/>
        <v>2099</v>
      </c>
      <c r="CK37" s="27">
        <f t="shared" si="39"/>
        <v>2137</v>
      </c>
      <c r="CL37" s="27">
        <f t="shared" si="39"/>
        <v>2190</v>
      </c>
      <c r="CM37" s="27">
        <f t="shared" si="39"/>
        <v>2190</v>
      </c>
      <c r="CN37" s="27">
        <f t="shared" si="39"/>
        <v>2190</v>
      </c>
      <c r="CO37" s="27">
        <f t="shared" si="39"/>
        <v>2190</v>
      </c>
      <c r="CP37" s="27">
        <f t="shared" si="39"/>
        <v>2190</v>
      </c>
      <c r="CQ37" s="27">
        <f t="shared" si="39"/>
        <v>2190</v>
      </c>
      <c r="CR37" s="27">
        <f t="shared" si="39"/>
        <v>2190</v>
      </c>
      <c r="CS37" s="27">
        <f t="shared" si="39"/>
        <v>2190</v>
      </c>
      <c r="CT37" s="27">
        <f t="shared" si="39"/>
        <v>2190</v>
      </c>
      <c r="CU37" s="27">
        <f t="shared" si="39"/>
        <v>2190</v>
      </c>
      <c r="CV37" s="27">
        <f t="shared" si="39"/>
        <v>2190</v>
      </c>
      <c r="CW37" s="27">
        <f t="shared" ref="CW37:DD37" si="40">CV37+CW17</f>
        <v>2190</v>
      </c>
      <c r="CX37" s="27">
        <f t="shared" si="40"/>
        <v>2190</v>
      </c>
      <c r="CY37" s="27">
        <f t="shared" si="40"/>
        <v>2190</v>
      </c>
      <c r="CZ37" s="27">
        <f t="shared" si="40"/>
        <v>2190</v>
      </c>
      <c r="DA37" s="27">
        <f t="shared" si="40"/>
        <v>2190</v>
      </c>
      <c r="DB37" s="27">
        <f t="shared" si="40"/>
        <v>2190</v>
      </c>
      <c r="DC37" s="27">
        <f t="shared" si="40"/>
        <v>2190</v>
      </c>
      <c r="DD37" s="27">
        <f t="shared" si="40"/>
        <v>2190</v>
      </c>
      <c r="DE37" s="27">
        <f t="shared" ref="DE37:EJ37" si="41">DD37+DE17</f>
        <v>2190</v>
      </c>
      <c r="DF37" s="27">
        <f t="shared" si="41"/>
        <v>2190</v>
      </c>
      <c r="DG37" s="27">
        <f t="shared" si="41"/>
        <v>2190</v>
      </c>
      <c r="DH37" s="27">
        <f t="shared" si="41"/>
        <v>2190</v>
      </c>
      <c r="DI37" s="27">
        <f t="shared" si="41"/>
        <v>2190</v>
      </c>
      <c r="DJ37" s="27">
        <f t="shared" si="41"/>
        <v>2190</v>
      </c>
      <c r="DK37" s="27">
        <f t="shared" si="41"/>
        <v>2190</v>
      </c>
      <c r="DL37" s="27">
        <f t="shared" si="41"/>
        <v>2190</v>
      </c>
      <c r="DM37" s="27">
        <f t="shared" si="41"/>
        <v>2190</v>
      </c>
      <c r="DN37" s="27">
        <f t="shared" si="41"/>
        <v>2190</v>
      </c>
      <c r="DO37" s="27">
        <f t="shared" si="41"/>
        <v>2190</v>
      </c>
      <c r="DP37" s="27">
        <f t="shared" si="41"/>
        <v>2190</v>
      </c>
      <c r="DQ37" s="27">
        <f t="shared" si="41"/>
        <v>2190</v>
      </c>
      <c r="DR37" s="27">
        <f t="shared" si="41"/>
        <v>2190</v>
      </c>
      <c r="DS37" s="27">
        <f t="shared" si="41"/>
        <v>2190</v>
      </c>
      <c r="DT37" s="27">
        <f t="shared" si="41"/>
        <v>2190</v>
      </c>
      <c r="DU37" s="27">
        <f t="shared" si="41"/>
        <v>2190</v>
      </c>
      <c r="DV37" s="27">
        <f t="shared" si="41"/>
        <v>2190</v>
      </c>
      <c r="DW37" s="27">
        <f t="shared" si="41"/>
        <v>2190</v>
      </c>
      <c r="DX37" s="27">
        <f t="shared" si="41"/>
        <v>2190</v>
      </c>
      <c r="DY37" s="27">
        <f t="shared" si="41"/>
        <v>2190</v>
      </c>
      <c r="DZ37" s="27">
        <f t="shared" si="41"/>
        <v>2190</v>
      </c>
      <c r="EA37" s="27">
        <f t="shared" si="41"/>
        <v>2190</v>
      </c>
      <c r="EB37" s="27">
        <f t="shared" si="41"/>
        <v>2190</v>
      </c>
      <c r="EC37" s="27">
        <f t="shared" si="41"/>
        <v>2190</v>
      </c>
      <c r="ED37" s="27">
        <f t="shared" si="41"/>
        <v>2190</v>
      </c>
      <c r="EE37" s="27">
        <f t="shared" si="41"/>
        <v>2190</v>
      </c>
      <c r="EF37" s="27">
        <f t="shared" si="41"/>
        <v>2190</v>
      </c>
      <c r="EG37" s="27">
        <f t="shared" si="41"/>
        <v>2190</v>
      </c>
      <c r="EH37" s="27">
        <f t="shared" si="41"/>
        <v>2190</v>
      </c>
      <c r="EI37" s="27">
        <f t="shared" si="41"/>
        <v>2190</v>
      </c>
      <c r="EJ37" s="27">
        <f t="shared" si="41"/>
        <v>2190</v>
      </c>
      <c r="EK37" s="27">
        <f t="shared" ref="EK37:FP37" si="42">EJ37+EK17</f>
        <v>2190</v>
      </c>
      <c r="EL37" s="27">
        <f t="shared" si="42"/>
        <v>2190</v>
      </c>
      <c r="EM37" s="27">
        <f t="shared" si="42"/>
        <v>2190</v>
      </c>
      <c r="EN37" s="27">
        <f t="shared" si="42"/>
        <v>2190</v>
      </c>
      <c r="EO37" s="27">
        <f t="shared" si="42"/>
        <v>2190</v>
      </c>
      <c r="EP37" s="27">
        <f t="shared" si="42"/>
        <v>2190</v>
      </c>
      <c r="EQ37" s="27">
        <f t="shared" si="42"/>
        <v>2190</v>
      </c>
      <c r="ER37" s="27">
        <f t="shared" si="42"/>
        <v>2190</v>
      </c>
      <c r="ES37" s="27">
        <f t="shared" si="42"/>
        <v>2190</v>
      </c>
      <c r="ET37" s="27">
        <f t="shared" si="42"/>
        <v>2190</v>
      </c>
      <c r="EU37" s="27">
        <f t="shared" si="42"/>
        <v>2190</v>
      </c>
      <c r="EV37" s="27">
        <f t="shared" si="42"/>
        <v>2190</v>
      </c>
      <c r="EW37" s="27">
        <f t="shared" si="42"/>
        <v>2190</v>
      </c>
      <c r="EX37" s="27">
        <f t="shared" si="42"/>
        <v>2190</v>
      </c>
      <c r="EY37" s="27">
        <f t="shared" si="42"/>
        <v>2190</v>
      </c>
      <c r="EZ37" s="27">
        <f t="shared" si="42"/>
        <v>2190</v>
      </c>
      <c r="FA37" s="27">
        <f t="shared" si="42"/>
        <v>2190</v>
      </c>
      <c r="FB37" s="27">
        <f t="shared" si="42"/>
        <v>2190</v>
      </c>
      <c r="FC37" s="27">
        <f t="shared" si="42"/>
        <v>2190</v>
      </c>
      <c r="FD37" s="27">
        <f t="shared" si="42"/>
        <v>2190</v>
      </c>
      <c r="FE37" s="27">
        <f t="shared" si="42"/>
        <v>2190</v>
      </c>
      <c r="FF37" s="27">
        <f t="shared" si="42"/>
        <v>2190</v>
      </c>
      <c r="FG37" s="27">
        <f t="shared" si="42"/>
        <v>2190</v>
      </c>
      <c r="FH37" s="27">
        <f t="shared" si="42"/>
        <v>2190</v>
      </c>
      <c r="FI37" s="27">
        <f t="shared" si="42"/>
        <v>2190</v>
      </c>
      <c r="FJ37" s="27">
        <f t="shared" si="42"/>
        <v>2190</v>
      </c>
      <c r="FK37" s="27">
        <f t="shared" si="42"/>
        <v>2190</v>
      </c>
      <c r="FL37" s="27">
        <f t="shared" si="42"/>
        <v>2190</v>
      </c>
      <c r="FM37" s="27">
        <f t="shared" si="42"/>
        <v>2190</v>
      </c>
      <c r="FN37" s="27">
        <f t="shared" si="42"/>
        <v>2190</v>
      </c>
      <c r="FO37" s="27">
        <f t="shared" si="42"/>
        <v>2190</v>
      </c>
      <c r="FP37" s="27">
        <f t="shared" si="42"/>
        <v>2190</v>
      </c>
      <c r="FQ37" s="27">
        <f t="shared" ref="FQ37:GV37" si="43">FP37+FQ17</f>
        <v>2190</v>
      </c>
      <c r="FR37" s="27">
        <f t="shared" si="43"/>
        <v>2190</v>
      </c>
      <c r="FS37" s="27">
        <f t="shared" si="43"/>
        <v>2190</v>
      </c>
      <c r="FT37" s="27">
        <f t="shared" si="43"/>
        <v>2190</v>
      </c>
      <c r="FU37" s="27">
        <f t="shared" si="43"/>
        <v>2190</v>
      </c>
      <c r="FV37" s="27">
        <f t="shared" si="43"/>
        <v>2190</v>
      </c>
      <c r="FW37" s="27">
        <f t="shared" si="43"/>
        <v>2190</v>
      </c>
      <c r="FX37" s="27">
        <f t="shared" si="43"/>
        <v>2190</v>
      </c>
      <c r="FY37" s="27">
        <f t="shared" si="43"/>
        <v>2190</v>
      </c>
      <c r="FZ37" s="27">
        <f t="shared" si="43"/>
        <v>2190</v>
      </c>
      <c r="GA37" s="27">
        <f t="shared" si="43"/>
        <v>2190</v>
      </c>
      <c r="GB37" s="27">
        <f t="shared" si="43"/>
        <v>2190</v>
      </c>
      <c r="GC37" s="27">
        <f t="shared" si="43"/>
        <v>2190</v>
      </c>
      <c r="GD37" s="27">
        <f t="shared" si="43"/>
        <v>2190</v>
      </c>
      <c r="GE37" s="27">
        <f t="shared" si="43"/>
        <v>2190</v>
      </c>
      <c r="GF37" s="27">
        <f t="shared" si="43"/>
        <v>2190</v>
      </c>
      <c r="GG37" s="27">
        <f t="shared" si="43"/>
        <v>2190</v>
      </c>
      <c r="GH37" s="27">
        <f t="shared" si="43"/>
        <v>2190</v>
      </c>
      <c r="GI37" s="27">
        <f t="shared" si="43"/>
        <v>2190</v>
      </c>
      <c r="GJ37" s="27">
        <f t="shared" si="43"/>
        <v>2190</v>
      </c>
      <c r="GK37" s="27">
        <f t="shared" si="43"/>
        <v>2190</v>
      </c>
      <c r="GL37" s="27">
        <f t="shared" si="43"/>
        <v>2190</v>
      </c>
      <c r="GM37" s="27">
        <f t="shared" si="43"/>
        <v>2190</v>
      </c>
      <c r="GN37" s="27">
        <f t="shared" si="43"/>
        <v>2190</v>
      </c>
      <c r="GO37" s="27">
        <f t="shared" si="43"/>
        <v>2190</v>
      </c>
      <c r="GP37" s="27">
        <f t="shared" si="43"/>
        <v>2190</v>
      </c>
      <c r="GQ37" s="27">
        <f t="shared" si="43"/>
        <v>2190</v>
      </c>
      <c r="GR37" s="27">
        <f t="shared" si="43"/>
        <v>2190</v>
      </c>
      <c r="GS37" s="27">
        <f t="shared" si="43"/>
        <v>2190</v>
      </c>
      <c r="GT37" s="27">
        <f t="shared" si="43"/>
        <v>2190</v>
      </c>
      <c r="GU37" s="27">
        <f t="shared" si="43"/>
        <v>2190</v>
      </c>
      <c r="GV37" s="27">
        <f t="shared" si="43"/>
        <v>2190</v>
      </c>
      <c r="GW37" s="27">
        <f t="shared" ref="GW37:IB37" si="44">GV37+GW17</f>
        <v>2190</v>
      </c>
      <c r="GX37" s="27">
        <f t="shared" si="44"/>
        <v>2190</v>
      </c>
      <c r="GY37" s="27">
        <f t="shared" si="44"/>
        <v>2190</v>
      </c>
      <c r="GZ37" s="27">
        <f t="shared" si="44"/>
        <v>2190</v>
      </c>
      <c r="HA37" s="27">
        <f t="shared" si="44"/>
        <v>2190</v>
      </c>
      <c r="HB37" s="27">
        <f t="shared" si="44"/>
        <v>2190</v>
      </c>
      <c r="HC37" s="27">
        <f t="shared" si="44"/>
        <v>2190</v>
      </c>
      <c r="HD37" s="27">
        <f t="shared" si="44"/>
        <v>2190</v>
      </c>
      <c r="HE37" s="27">
        <f t="shared" si="44"/>
        <v>2190</v>
      </c>
      <c r="HF37" s="27">
        <f t="shared" si="44"/>
        <v>2190</v>
      </c>
      <c r="HG37" s="27">
        <f t="shared" si="44"/>
        <v>2190</v>
      </c>
      <c r="HH37" s="27">
        <f t="shared" si="44"/>
        <v>2190</v>
      </c>
      <c r="HI37" s="27">
        <f t="shared" si="44"/>
        <v>2190</v>
      </c>
      <c r="HJ37" s="27">
        <f t="shared" si="44"/>
        <v>2190</v>
      </c>
      <c r="HK37" s="27">
        <f t="shared" si="44"/>
        <v>2190</v>
      </c>
      <c r="HL37" s="27">
        <f t="shared" si="44"/>
        <v>2190</v>
      </c>
      <c r="HM37" s="27">
        <f t="shared" si="44"/>
        <v>2190</v>
      </c>
      <c r="HN37" s="27">
        <f t="shared" si="44"/>
        <v>2190</v>
      </c>
      <c r="HO37" s="27">
        <f t="shared" si="44"/>
        <v>2190</v>
      </c>
      <c r="HP37" s="27">
        <f t="shared" si="44"/>
        <v>2190</v>
      </c>
      <c r="HQ37" s="27">
        <f t="shared" si="44"/>
        <v>2190</v>
      </c>
      <c r="HR37" s="27">
        <f t="shared" si="44"/>
        <v>2190</v>
      </c>
      <c r="HS37" s="27">
        <f t="shared" si="44"/>
        <v>2190</v>
      </c>
      <c r="HT37" s="27">
        <f t="shared" si="44"/>
        <v>2190</v>
      </c>
      <c r="HU37" s="27">
        <f t="shared" si="44"/>
        <v>2190</v>
      </c>
      <c r="HV37" s="27">
        <f t="shared" si="44"/>
        <v>2190</v>
      </c>
      <c r="HW37" s="27">
        <f t="shared" si="44"/>
        <v>2190</v>
      </c>
      <c r="HX37" s="27">
        <f t="shared" si="44"/>
        <v>2190</v>
      </c>
      <c r="HY37" s="27">
        <f t="shared" si="44"/>
        <v>2190</v>
      </c>
      <c r="HZ37" s="27">
        <f t="shared" si="44"/>
        <v>2190</v>
      </c>
      <c r="IA37" s="27">
        <f t="shared" si="44"/>
        <v>2190</v>
      </c>
      <c r="IB37" s="27">
        <f t="shared" si="44"/>
        <v>2190</v>
      </c>
      <c r="IC37" s="27">
        <f t="shared" ref="IC37:IW37" si="45">IB37+IC17</f>
        <v>2190</v>
      </c>
      <c r="ID37" s="27">
        <f t="shared" si="45"/>
        <v>2190</v>
      </c>
      <c r="IE37" s="27">
        <f t="shared" si="45"/>
        <v>2190</v>
      </c>
      <c r="IF37" s="27">
        <f t="shared" si="45"/>
        <v>2190</v>
      </c>
      <c r="IG37" s="27">
        <f t="shared" si="45"/>
        <v>2190</v>
      </c>
      <c r="IH37" s="27">
        <f t="shared" si="45"/>
        <v>2190</v>
      </c>
      <c r="II37" s="27">
        <f t="shared" si="45"/>
        <v>2190</v>
      </c>
      <c r="IJ37" s="27">
        <f t="shared" si="45"/>
        <v>2190</v>
      </c>
      <c r="IK37" s="27">
        <f t="shared" si="45"/>
        <v>2190</v>
      </c>
      <c r="IL37" s="27">
        <f t="shared" si="45"/>
        <v>2190</v>
      </c>
      <c r="IM37" s="27">
        <f t="shared" si="45"/>
        <v>2190</v>
      </c>
      <c r="IN37" s="27">
        <f t="shared" si="45"/>
        <v>2190</v>
      </c>
      <c r="IO37" s="27">
        <f t="shared" si="45"/>
        <v>2190</v>
      </c>
      <c r="IP37" s="27">
        <f t="shared" si="45"/>
        <v>2190</v>
      </c>
      <c r="IQ37" s="27">
        <f t="shared" si="45"/>
        <v>2190</v>
      </c>
      <c r="IR37" s="27">
        <f t="shared" si="45"/>
        <v>2190</v>
      </c>
      <c r="IS37" s="27">
        <f t="shared" si="45"/>
        <v>2190</v>
      </c>
      <c r="IT37" s="27">
        <f t="shared" si="45"/>
        <v>2190</v>
      </c>
      <c r="IU37" s="27">
        <f t="shared" si="45"/>
        <v>2190</v>
      </c>
      <c r="IV37" s="27">
        <f t="shared" si="45"/>
        <v>2190</v>
      </c>
      <c r="IW37" s="27">
        <f t="shared" si="45"/>
        <v>2190</v>
      </c>
    </row>
    <row r="38" spans="1:258" x14ac:dyDescent="0.25">
      <c r="A38" s="195"/>
      <c r="C38" s="199" t="s">
        <v>48</v>
      </c>
      <c r="D38" s="196"/>
      <c r="E38" s="196"/>
      <c r="F38" s="196"/>
      <c r="G38" s="196"/>
      <c r="H38" s="196"/>
      <c r="I38" s="196"/>
      <c r="J38" s="196"/>
      <c r="K38" s="196"/>
      <c r="L38" s="196"/>
      <c r="M38" s="196"/>
      <c r="N38" s="196"/>
      <c r="O38" s="196"/>
      <c r="P38" s="196"/>
      <c r="Q38" s="196"/>
      <c r="R38" s="196"/>
      <c r="S38" s="196"/>
      <c r="T38" s="196"/>
      <c r="U38" s="196"/>
      <c r="V38" s="196"/>
      <c r="W38" s="196"/>
      <c r="X38" s="196"/>
      <c r="Y38" s="196"/>
      <c r="Z38" s="196"/>
      <c r="AA38" s="196"/>
      <c r="AB38" s="196"/>
      <c r="AC38" s="196"/>
      <c r="AD38" s="196"/>
      <c r="AE38" s="196"/>
      <c r="AF38" s="196"/>
      <c r="AG38" s="196"/>
      <c r="AH38" s="196"/>
      <c r="AI38" s="196"/>
      <c r="AJ38" s="196"/>
      <c r="AK38" s="196"/>
      <c r="AL38" s="196"/>
      <c r="AM38" s="196"/>
      <c r="AN38" s="196"/>
      <c r="AO38" s="196"/>
      <c r="AP38" s="196"/>
      <c r="AQ38" s="196"/>
      <c r="AR38" s="196"/>
      <c r="AS38" s="196"/>
      <c r="AT38" s="196"/>
      <c r="AU38" s="196"/>
      <c r="AV38" s="196"/>
      <c r="AW38" s="196"/>
      <c r="AX38" s="196"/>
      <c r="AY38" s="196"/>
      <c r="AZ38" s="196"/>
      <c r="BA38" s="196"/>
      <c r="BB38" s="196"/>
      <c r="BC38" s="196"/>
      <c r="BD38" s="196"/>
      <c r="BE38" s="196"/>
      <c r="BF38" s="196"/>
      <c r="BG38" s="196"/>
      <c r="BH38" s="196"/>
      <c r="BI38" s="196"/>
      <c r="BJ38" s="196"/>
      <c r="BK38" s="196"/>
      <c r="BL38" s="196"/>
      <c r="BM38" s="196"/>
      <c r="BN38" s="196"/>
      <c r="BO38" s="196"/>
      <c r="BP38" s="196"/>
      <c r="BQ38" s="196"/>
      <c r="BR38" s="196"/>
      <c r="BS38" s="196"/>
      <c r="BT38" s="196"/>
      <c r="BU38" s="196"/>
      <c r="BV38" s="196"/>
      <c r="BW38" s="196"/>
      <c r="BX38" s="196"/>
      <c r="BY38" s="196"/>
      <c r="BZ38" s="196"/>
      <c r="CA38" s="196"/>
      <c r="CB38" s="196"/>
      <c r="CC38" s="196"/>
      <c r="CD38" s="196"/>
      <c r="CE38" s="196"/>
      <c r="CF38" s="196"/>
      <c r="CG38" s="196">
        <f t="shared" ref="CG38:CL38" si="46">AVERAGE(CE26:CG26)</f>
        <v>0.02</v>
      </c>
      <c r="CH38" s="196">
        <f t="shared" si="46"/>
        <v>0.02</v>
      </c>
      <c r="CI38" s="196">
        <f t="shared" si="46"/>
        <v>2.6666666666666668E-2</v>
      </c>
      <c r="CJ38" s="196">
        <f t="shared" si="46"/>
        <v>0.03</v>
      </c>
      <c r="CK38" s="196">
        <f t="shared" si="46"/>
        <v>5.000000000000001E-2</v>
      </c>
      <c r="CL38" s="196">
        <f t="shared" si="46"/>
        <v>5.6666666666666664E-2</v>
      </c>
      <c r="CM38" s="196"/>
      <c r="CN38" s="196"/>
      <c r="CO38" s="196"/>
      <c r="CP38" s="196"/>
      <c r="CQ38" s="196"/>
      <c r="CR38" s="196"/>
      <c r="CS38" s="196"/>
      <c r="CT38" s="196"/>
      <c r="CU38" s="196"/>
      <c r="CV38" s="196"/>
      <c r="CW38" s="196"/>
      <c r="CX38" s="196"/>
      <c r="CY38" s="196"/>
      <c r="CZ38" s="196"/>
      <c r="DA38" s="196"/>
      <c r="DB38" s="196"/>
      <c r="DC38" s="196"/>
      <c r="DD38" s="196"/>
      <c r="DE38" s="27" t="e">
        <f t="shared" ref="DE38:EJ38" si="47">AVERAGE(DC25:DE26)</f>
        <v>#DIV/0!</v>
      </c>
      <c r="DF38" s="27" t="e">
        <f t="shared" si="47"/>
        <v>#DIV/0!</v>
      </c>
      <c r="DG38" s="27" t="e">
        <f t="shared" si="47"/>
        <v>#DIV/0!</v>
      </c>
      <c r="DH38" s="27" t="e">
        <f t="shared" si="47"/>
        <v>#DIV/0!</v>
      </c>
      <c r="DI38" s="27" t="e">
        <f t="shared" si="47"/>
        <v>#DIV/0!</v>
      </c>
      <c r="DJ38" s="27" t="e">
        <f t="shared" si="47"/>
        <v>#DIV/0!</v>
      </c>
      <c r="DK38" s="27" t="e">
        <f t="shared" si="47"/>
        <v>#DIV/0!</v>
      </c>
      <c r="DL38" s="27" t="e">
        <f t="shared" si="47"/>
        <v>#DIV/0!</v>
      </c>
      <c r="DM38" s="27" t="e">
        <f t="shared" si="47"/>
        <v>#DIV/0!</v>
      </c>
      <c r="DN38" s="27" t="e">
        <f t="shared" si="47"/>
        <v>#DIV/0!</v>
      </c>
      <c r="DO38" s="27" t="e">
        <f t="shared" si="47"/>
        <v>#DIV/0!</v>
      </c>
      <c r="DP38" s="27" t="e">
        <f t="shared" si="47"/>
        <v>#DIV/0!</v>
      </c>
      <c r="DQ38" s="27" t="e">
        <f t="shared" si="47"/>
        <v>#DIV/0!</v>
      </c>
      <c r="DR38" s="27" t="e">
        <f t="shared" si="47"/>
        <v>#DIV/0!</v>
      </c>
      <c r="DS38" s="27" t="e">
        <f t="shared" si="47"/>
        <v>#DIV/0!</v>
      </c>
      <c r="DT38" s="27" t="e">
        <f t="shared" si="47"/>
        <v>#DIV/0!</v>
      </c>
      <c r="DU38" s="27" t="e">
        <f t="shared" si="47"/>
        <v>#DIV/0!</v>
      </c>
      <c r="DV38" s="27" t="e">
        <f t="shared" si="47"/>
        <v>#DIV/0!</v>
      </c>
      <c r="DW38" s="27" t="e">
        <f t="shared" si="47"/>
        <v>#DIV/0!</v>
      </c>
      <c r="DX38" s="27" t="e">
        <f t="shared" si="47"/>
        <v>#DIV/0!</v>
      </c>
      <c r="DY38" s="27" t="e">
        <f t="shared" si="47"/>
        <v>#DIV/0!</v>
      </c>
      <c r="DZ38" s="27" t="e">
        <f t="shared" si="47"/>
        <v>#DIV/0!</v>
      </c>
      <c r="EA38" s="27" t="e">
        <f t="shared" si="47"/>
        <v>#DIV/0!</v>
      </c>
      <c r="EB38" s="27" t="e">
        <f t="shared" si="47"/>
        <v>#DIV/0!</v>
      </c>
      <c r="EC38" s="27" t="e">
        <f t="shared" si="47"/>
        <v>#DIV/0!</v>
      </c>
      <c r="ED38" s="27" t="e">
        <f t="shared" si="47"/>
        <v>#DIV/0!</v>
      </c>
      <c r="EE38" s="27" t="e">
        <f t="shared" si="47"/>
        <v>#DIV/0!</v>
      </c>
      <c r="EF38" s="27" t="e">
        <f t="shared" si="47"/>
        <v>#DIV/0!</v>
      </c>
      <c r="EG38" s="27" t="e">
        <f t="shared" si="47"/>
        <v>#DIV/0!</v>
      </c>
      <c r="EH38" s="27" t="e">
        <f t="shared" si="47"/>
        <v>#DIV/0!</v>
      </c>
      <c r="EI38" s="27" t="e">
        <f t="shared" si="47"/>
        <v>#DIV/0!</v>
      </c>
      <c r="EJ38" s="27" t="e">
        <f t="shared" si="47"/>
        <v>#DIV/0!</v>
      </c>
      <c r="EK38" s="27" t="e">
        <f t="shared" ref="EK38:FP38" si="48">AVERAGE(EI25:EK26)</f>
        <v>#DIV/0!</v>
      </c>
      <c r="EL38" s="27" t="e">
        <f t="shared" si="48"/>
        <v>#DIV/0!</v>
      </c>
      <c r="EM38" s="27" t="e">
        <f t="shared" si="48"/>
        <v>#DIV/0!</v>
      </c>
      <c r="EN38" s="27" t="e">
        <f t="shared" si="48"/>
        <v>#DIV/0!</v>
      </c>
      <c r="EO38" s="27" t="e">
        <f t="shared" si="48"/>
        <v>#DIV/0!</v>
      </c>
      <c r="EP38" s="27" t="e">
        <f t="shared" si="48"/>
        <v>#DIV/0!</v>
      </c>
      <c r="EQ38" s="27" t="e">
        <f t="shared" si="48"/>
        <v>#DIV/0!</v>
      </c>
      <c r="ER38" s="27" t="e">
        <f t="shared" si="48"/>
        <v>#DIV/0!</v>
      </c>
      <c r="ES38" s="27" t="e">
        <f t="shared" si="48"/>
        <v>#DIV/0!</v>
      </c>
      <c r="ET38" s="27" t="e">
        <f t="shared" si="48"/>
        <v>#DIV/0!</v>
      </c>
      <c r="EU38" s="27" t="e">
        <f t="shared" si="48"/>
        <v>#DIV/0!</v>
      </c>
      <c r="EV38" s="27" t="e">
        <f t="shared" si="48"/>
        <v>#DIV/0!</v>
      </c>
      <c r="EW38" s="27" t="e">
        <f t="shared" si="48"/>
        <v>#DIV/0!</v>
      </c>
      <c r="EX38" s="27" t="e">
        <f t="shared" si="48"/>
        <v>#DIV/0!</v>
      </c>
      <c r="EY38" s="27" t="e">
        <f t="shared" si="48"/>
        <v>#DIV/0!</v>
      </c>
      <c r="EZ38" s="27" t="e">
        <f t="shared" si="48"/>
        <v>#DIV/0!</v>
      </c>
      <c r="FA38" s="27" t="e">
        <f t="shared" si="48"/>
        <v>#DIV/0!</v>
      </c>
      <c r="FB38" s="27" t="e">
        <f t="shared" si="48"/>
        <v>#DIV/0!</v>
      </c>
      <c r="FC38" s="27" t="e">
        <f t="shared" si="48"/>
        <v>#DIV/0!</v>
      </c>
      <c r="FD38" s="27" t="e">
        <f t="shared" si="48"/>
        <v>#DIV/0!</v>
      </c>
      <c r="FE38" s="27" t="e">
        <f t="shared" si="48"/>
        <v>#DIV/0!</v>
      </c>
      <c r="FF38" s="27" t="e">
        <f t="shared" si="48"/>
        <v>#DIV/0!</v>
      </c>
      <c r="FG38" s="27" t="e">
        <f t="shared" si="48"/>
        <v>#DIV/0!</v>
      </c>
      <c r="FH38" s="27" t="e">
        <f t="shared" si="48"/>
        <v>#DIV/0!</v>
      </c>
      <c r="FI38" s="27" t="e">
        <f t="shared" si="48"/>
        <v>#DIV/0!</v>
      </c>
      <c r="FJ38" s="27" t="e">
        <f t="shared" si="48"/>
        <v>#DIV/0!</v>
      </c>
      <c r="FK38" s="27" t="e">
        <f t="shared" si="48"/>
        <v>#DIV/0!</v>
      </c>
      <c r="FL38" s="27" t="e">
        <f t="shared" si="48"/>
        <v>#DIV/0!</v>
      </c>
      <c r="FM38" s="27" t="e">
        <f t="shared" si="48"/>
        <v>#DIV/0!</v>
      </c>
      <c r="FN38" s="27" t="e">
        <f t="shared" si="48"/>
        <v>#DIV/0!</v>
      </c>
      <c r="FO38" s="27" t="e">
        <f t="shared" si="48"/>
        <v>#DIV/0!</v>
      </c>
      <c r="FP38" s="27" t="e">
        <f t="shared" si="48"/>
        <v>#DIV/0!</v>
      </c>
      <c r="FQ38" s="27" t="e">
        <f t="shared" ref="FQ38:GV38" si="49">AVERAGE(FO25:FQ26)</f>
        <v>#DIV/0!</v>
      </c>
      <c r="FR38" s="27" t="e">
        <f t="shared" si="49"/>
        <v>#DIV/0!</v>
      </c>
      <c r="FS38" s="27" t="e">
        <f t="shared" si="49"/>
        <v>#DIV/0!</v>
      </c>
      <c r="FT38" s="27" t="e">
        <f t="shared" si="49"/>
        <v>#DIV/0!</v>
      </c>
      <c r="FU38" s="27" t="e">
        <f t="shared" si="49"/>
        <v>#DIV/0!</v>
      </c>
      <c r="FV38" s="27" t="e">
        <f t="shared" si="49"/>
        <v>#DIV/0!</v>
      </c>
      <c r="FW38" s="27" t="e">
        <f t="shared" si="49"/>
        <v>#DIV/0!</v>
      </c>
      <c r="FX38" s="27" t="e">
        <f t="shared" si="49"/>
        <v>#DIV/0!</v>
      </c>
      <c r="FY38" s="27" t="e">
        <f t="shared" si="49"/>
        <v>#DIV/0!</v>
      </c>
      <c r="FZ38" s="27" t="e">
        <f t="shared" si="49"/>
        <v>#DIV/0!</v>
      </c>
      <c r="GA38" s="27" t="e">
        <f t="shared" si="49"/>
        <v>#DIV/0!</v>
      </c>
      <c r="GB38" s="27" t="e">
        <f t="shared" si="49"/>
        <v>#DIV/0!</v>
      </c>
      <c r="GC38" s="27" t="e">
        <f t="shared" si="49"/>
        <v>#DIV/0!</v>
      </c>
      <c r="GD38" s="27" t="e">
        <f t="shared" si="49"/>
        <v>#DIV/0!</v>
      </c>
      <c r="GE38" s="27" t="e">
        <f t="shared" si="49"/>
        <v>#DIV/0!</v>
      </c>
      <c r="GF38" s="27" t="e">
        <f t="shared" si="49"/>
        <v>#DIV/0!</v>
      </c>
      <c r="GG38" s="27" t="e">
        <f t="shared" si="49"/>
        <v>#DIV/0!</v>
      </c>
      <c r="GH38" s="27" t="e">
        <f t="shared" si="49"/>
        <v>#DIV/0!</v>
      </c>
      <c r="GI38" s="27" t="e">
        <f t="shared" si="49"/>
        <v>#DIV/0!</v>
      </c>
      <c r="GJ38" s="27" t="e">
        <f t="shared" si="49"/>
        <v>#DIV/0!</v>
      </c>
      <c r="GK38" s="27" t="e">
        <f t="shared" si="49"/>
        <v>#DIV/0!</v>
      </c>
      <c r="GL38" s="27" t="e">
        <f t="shared" si="49"/>
        <v>#DIV/0!</v>
      </c>
      <c r="GM38" s="27" t="e">
        <f t="shared" si="49"/>
        <v>#DIV/0!</v>
      </c>
      <c r="GN38" s="27" t="e">
        <f t="shared" si="49"/>
        <v>#DIV/0!</v>
      </c>
      <c r="GO38" s="27" t="e">
        <f t="shared" si="49"/>
        <v>#DIV/0!</v>
      </c>
      <c r="GP38" s="27" t="e">
        <f t="shared" si="49"/>
        <v>#DIV/0!</v>
      </c>
      <c r="GQ38" s="27" t="e">
        <f t="shared" si="49"/>
        <v>#DIV/0!</v>
      </c>
      <c r="GR38" s="27" t="e">
        <f t="shared" si="49"/>
        <v>#DIV/0!</v>
      </c>
      <c r="GS38" s="27" t="e">
        <f t="shared" si="49"/>
        <v>#DIV/0!</v>
      </c>
      <c r="GT38" s="27" t="e">
        <f t="shared" si="49"/>
        <v>#DIV/0!</v>
      </c>
      <c r="GU38" s="27" t="e">
        <f t="shared" si="49"/>
        <v>#DIV/0!</v>
      </c>
      <c r="GV38" s="27" t="e">
        <f t="shared" si="49"/>
        <v>#DIV/0!</v>
      </c>
      <c r="GW38" s="27" t="e">
        <f t="shared" ref="GW38:IB38" si="50">AVERAGE(GU25:GW26)</f>
        <v>#DIV/0!</v>
      </c>
      <c r="GX38" s="27" t="e">
        <f t="shared" si="50"/>
        <v>#DIV/0!</v>
      </c>
      <c r="GY38" s="27" t="e">
        <f t="shared" si="50"/>
        <v>#DIV/0!</v>
      </c>
      <c r="GZ38" s="27" t="e">
        <f t="shared" si="50"/>
        <v>#DIV/0!</v>
      </c>
      <c r="HA38" s="27" t="e">
        <f t="shared" si="50"/>
        <v>#DIV/0!</v>
      </c>
      <c r="HB38" s="27" t="e">
        <f t="shared" si="50"/>
        <v>#DIV/0!</v>
      </c>
      <c r="HC38" s="27" t="e">
        <f t="shared" si="50"/>
        <v>#DIV/0!</v>
      </c>
      <c r="HD38" s="27" t="e">
        <f t="shared" si="50"/>
        <v>#DIV/0!</v>
      </c>
      <c r="HE38" s="27" t="e">
        <f t="shared" si="50"/>
        <v>#DIV/0!</v>
      </c>
      <c r="HF38" s="27" t="e">
        <f t="shared" si="50"/>
        <v>#DIV/0!</v>
      </c>
      <c r="HG38" s="27" t="e">
        <f t="shared" si="50"/>
        <v>#DIV/0!</v>
      </c>
      <c r="HH38" s="27" t="e">
        <f t="shared" si="50"/>
        <v>#DIV/0!</v>
      </c>
      <c r="HI38" s="27" t="e">
        <f t="shared" si="50"/>
        <v>#DIV/0!</v>
      </c>
      <c r="HJ38" s="27" t="e">
        <f t="shared" si="50"/>
        <v>#DIV/0!</v>
      </c>
      <c r="HK38" s="27" t="e">
        <f t="shared" si="50"/>
        <v>#DIV/0!</v>
      </c>
      <c r="HL38" s="27" t="e">
        <f t="shared" si="50"/>
        <v>#DIV/0!</v>
      </c>
      <c r="HM38" s="27" t="e">
        <f t="shared" si="50"/>
        <v>#DIV/0!</v>
      </c>
      <c r="HN38" s="27" t="e">
        <f t="shared" si="50"/>
        <v>#DIV/0!</v>
      </c>
      <c r="HO38" s="27" t="e">
        <f t="shared" si="50"/>
        <v>#DIV/0!</v>
      </c>
      <c r="HP38" s="27" t="e">
        <f t="shared" si="50"/>
        <v>#DIV/0!</v>
      </c>
      <c r="HQ38" s="27" t="e">
        <f t="shared" si="50"/>
        <v>#DIV/0!</v>
      </c>
      <c r="HR38" s="27" t="e">
        <f t="shared" si="50"/>
        <v>#DIV/0!</v>
      </c>
      <c r="HS38" s="27" t="e">
        <f t="shared" si="50"/>
        <v>#DIV/0!</v>
      </c>
      <c r="HT38" s="27" t="e">
        <f t="shared" si="50"/>
        <v>#DIV/0!</v>
      </c>
      <c r="HU38" s="27" t="e">
        <f t="shared" si="50"/>
        <v>#DIV/0!</v>
      </c>
      <c r="HV38" s="27" t="e">
        <f t="shared" si="50"/>
        <v>#DIV/0!</v>
      </c>
      <c r="HW38" s="27" t="e">
        <f t="shared" si="50"/>
        <v>#DIV/0!</v>
      </c>
      <c r="HX38" s="27" t="e">
        <f t="shared" si="50"/>
        <v>#DIV/0!</v>
      </c>
      <c r="HY38" s="27" t="e">
        <f t="shared" si="50"/>
        <v>#DIV/0!</v>
      </c>
      <c r="HZ38" s="27" t="e">
        <f t="shared" si="50"/>
        <v>#DIV/0!</v>
      </c>
      <c r="IA38" s="27" t="e">
        <f t="shared" si="50"/>
        <v>#DIV/0!</v>
      </c>
      <c r="IB38" s="27" t="e">
        <f t="shared" si="50"/>
        <v>#DIV/0!</v>
      </c>
      <c r="IC38" s="27" t="e">
        <f t="shared" ref="IC38:IX38" si="51">AVERAGE(IA25:IC26)</f>
        <v>#DIV/0!</v>
      </c>
      <c r="ID38" s="27" t="e">
        <f t="shared" si="51"/>
        <v>#DIV/0!</v>
      </c>
      <c r="IE38" s="27" t="e">
        <f t="shared" si="51"/>
        <v>#DIV/0!</v>
      </c>
      <c r="IF38" s="27" t="e">
        <f t="shared" si="51"/>
        <v>#DIV/0!</v>
      </c>
      <c r="IG38" s="27" t="e">
        <f t="shared" si="51"/>
        <v>#DIV/0!</v>
      </c>
      <c r="IH38" s="27" t="e">
        <f t="shared" si="51"/>
        <v>#DIV/0!</v>
      </c>
      <c r="II38" s="27" t="e">
        <f t="shared" si="51"/>
        <v>#DIV/0!</v>
      </c>
      <c r="IJ38" s="27" t="e">
        <f t="shared" si="51"/>
        <v>#DIV/0!</v>
      </c>
      <c r="IK38" s="27" t="e">
        <f t="shared" si="51"/>
        <v>#DIV/0!</v>
      </c>
      <c r="IL38" s="27" t="e">
        <f t="shared" si="51"/>
        <v>#DIV/0!</v>
      </c>
      <c r="IM38" s="27" t="e">
        <f t="shared" si="51"/>
        <v>#DIV/0!</v>
      </c>
      <c r="IN38" s="27" t="e">
        <f t="shared" si="51"/>
        <v>#DIV/0!</v>
      </c>
      <c r="IO38" s="27" t="e">
        <f t="shared" si="51"/>
        <v>#DIV/0!</v>
      </c>
      <c r="IP38" s="27" t="e">
        <f t="shared" si="51"/>
        <v>#DIV/0!</v>
      </c>
      <c r="IQ38" s="27" t="e">
        <f t="shared" si="51"/>
        <v>#DIV/0!</v>
      </c>
      <c r="IR38" s="27" t="e">
        <f t="shared" si="51"/>
        <v>#DIV/0!</v>
      </c>
      <c r="IS38" s="27" t="e">
        <f t="shared" si="51"/>
        <v>#DIV/0!</v>
      </c>
      <c r="IT38" s="27" t="e">
        <f t="shared" si="51"/>
        <v>#DIV/0!</v>
      </c>
      <c r="IU38" s="27" t="e">
        <f t="shared" si="51"/>
        <v>#DIV/0!</v>
      </c>
      <c r="IV38" s="27" t="e">
        <f t="shared" si="51"/>
        <v>#DIV/0!</v>
      </c>
      <c r="IW38" s="27" t="e">
        <f t="shared" si="51"/>
        <v>#DIV/0!</v>
      </c>
      <c r="IX38" s="27" t="e">
        <f t="shared" si="51"/>
        <v>#DIV/0!</v>
      </c>
    </row>
    <row r="39" spans="1:258" x14ac:dyDescent="0.25">
      <c r="A39" s="195"/>
      <c r="C39" s="199" t="s">
        <v>47</v>
      </c>
      <c r="D39" s="196"/>
      <c r="E39" s="196"/>
      <c r="F39" s="196"/>
      <c r="G39" s="196"/>
      <c r="H39" s="196"/>
      <c r="I39" s="196"/>
      <c r="J39" s="196"/>
      <c r="K39" s="196"/>
      <c r="L39" s="196"/>
      <c r="M39" s="196"/>
      <c r="N39" s="196"/>
      <c r="O39" s="196"/>
      <c r="P39" s="196"/>
      <c r="Q39" s="196"/>
      <c r="R39" s="196"/>
      <c r="S39" s="196"/>
      <c r="T39" s="196"/>
      <c r="U39" s="196"/>
      <c r="V39" s="196"/>
      <c r="W39" s="196"/>
      <c r="X39" s="196"/>
      <c r="Y39" s="196"/>
      <c r="Z39" s="196"/>
      <c r="AA39" s="196"/>
      <c r="AB39" s="196"/>
      <c r="AC39" s="196"/>
      <c r="AD39" s="196"/>
      <c r="AE39" s="196"/>
      <c r="AF39" s="196"/>
      <c r="AG39" s="196"/>
      <c r="AH39" s="196"/>
      <c r="AI39" s="196"/>
      <c r="AJ39" s="196"/>
      <c r="AK39" s="196"/>
      <c r="AL39" s="196"/>
      <c r="AM39" s="196"/>
      <c r="AN39" s="196"/>
      <c r="AO39" s="196"/>
      <c r="AP39" s="196"/>
      <c r="AQ39" s="196"/>
      <c r="AR39" s="196"/>
      <c r="AS39" s="196"/>
      <c r="AT39" s="196"/>
      <c r="AU39" s="196"/>
      <c r="AV39" s="196"/>
      <c r="AW39" s="196"/>
      <c r="AX39" s="196"/>
      <c r="AY39" s="196"/>
      <c r="AZ39" s="196"/>
      <c r="BA39" s="196"/>
      <c r="BB39" s="196"/>
      <c r="BC39" s="196"/>
      <c r="BD39" s="196"/>
      <c r="BE39" s="196"/>
      <c r="BF39" s="196"/>
      <c r="BG39" s="196"/>
      <c r="BH39" s="196"/>
      <c r="BI39" s="196"/>
      <c r="BJ39" s="196"/>
      <c r="BK39" s="196"/>
      <c r="BL39" s="196"/>
      <c r="BM39" s="196"/>
      <c r="BN39" s="196"/>
      <c r="BO39" s="196"/>
      <c r="BP39" s="196"/>
      <c r="BQ39" s="196"/>
      <c r="BR39" s="196"/>
      <c r="BS39" s="196"/>
      <c r="BT39" s="196"/>
      <c r="BU39" s="196"/>
      <c r="BV39" s="196"/>
      <c r="BW39" s="196"/>
      <c r="BX39" s="196"/>
      <c r="BY39" s="196"/>
      <c r="BZ39" s="196"/>
      <c r="CA39" s="196"/>
      <c r="CB39" s="196"/>
      <c r="CC39" s="196"/>
      <c r="CD39" s="196"/>
      <c r="CE39" s="196"/>
      <c r="CF39" s="196"/>
      <c r="CG39" s="196">
        <f t="shared" ref="CG39:CL39" si="52">AVERAGE(CE27:CG27)</f>
        <v>0.01</v>
      </c>
      <c r="CH39" s="196">
        <f t="shared" si="52"/>
        <v>2.5000000000000001E-2</v>
      </c>
      <c r="CI39" s="196">
        <f t="shared" si="52"/>
        <v>2.3333333333333334E-2</v>
      </c>
      <c r="CJ39" s="196">
        <f t="shared" si="52"/>
        <v>0.02</v>
      </c>
      <c r="CK39" s="196">
        <f t="shared" si="52"/>
        <v>6.6666666666666671E-3</v>
      </c>
      <c r="CL39" s="196">
        <f t="shared" si="52"/>
        <v>0</v>
      </c>
      <c r="CM39" s="196"/>
      <c r="CN39" s="196"/>
      <c r="CO39" s="196"/>
      <c r="CP39" s="196"/>
      <c r="CQ39" s="196"/>
      <c r="CR39" s="196"/>
      <c r="CS39" s="196"/>
      <c r="CT39" s="196"/>
      <c r="CU39" s="196"/>
      <c r="CV39" s="196"/>
      <c r="CW39" s="196"/>
      <c r="CX39" s="196"/>
      <c r="CY39" s="196"/>
      <c r="CZ39" s="196"/>
      <c r="DA39" s="196"/>
      <c r="DB39" s="196"/>
      <c r="DC39" s="196"/>
      <c r="DD39" s="196"/>
      <c r="DE39" s="27" t="e">
        <f t="shared" ref="DE39:EJ39" si="53">AVERAGE(DC27:DE27)</f>
        <v>#DIV/0!</v>
      </c>
      <c r="DF39" s="27" t="e">
        <f t="shared" si="53"/>
        <v>#DIV/0!</v>
      </c>
      <c r="DG39" s="27" t="e">
        <f t="shared" si="53"/>
        <v>#DIV/0!</v>
      </c>
      <c r="DH39" s="27" t="e">
        <f t="shared" si="53"/>
        <v>#DIV/0!</v>
      </c>
      <c r="DI39" s="27" t="e">
        <f t="shared" si="53"/>
        <v>#DIV/0!</v>
      </c>
      <c r="DJ39" s="27" t="e">
        <f t="shared" si="53"/>
        <v>#DIV/0!</v>
      </c>
      <c r="DK39" s="27" t="e">
        <f t="shared" si="53"/>
        <v>#DIV/0!</v>
      </c>
      <c r="DL39" s="27" t="e">
        <f t="shared" si="53"/>
        <v>#DIV/0!</v>
      </c>
      <c r="DM39" s="27" t="e">
        <f t="shared" si="53"/>
        <v>#DIV/0!</v>
      </c>
      <c r="DN39" s="27" t="e">
        <f t="shared" si="53"/>
        <v>#DIV/0!</v>
      </c>
      <c r="DO39" s="27" t="e">
        <f t="shared" si="53"/>
        <v>#DIV/0!</v>
      </c>
      <c r="DP39" s="27" t="e">
        <f t="shared" si="53"/>
        <v>#DIV/0!</v>
      </c>
      <c r="DQ39" s="27" t="e">
        <f t="shared" si="53"/>
        <v>#DIV/0!</v>
      </c>
      <c r="DR39" s="27" t="e">
        <f t="shared" si="53"/>
        <v>#DIV/0!</v>
      </c>
      <c r="DS39" s="27" t="e">
        <f t="shared" si="53"/>
        <v>#DIV/0!</v>
      </c>
      <c r="DT39" s="27" t="e">
        <f t="shared" si="53"/>
        <v>#DIV/0!</v>
      </c>
      <c r="DU39" s="27" t="e">
        <f t="shared" si="53"/>
        <v>#DIV/0!</v>
      </c>
      <c r="DV39" s="27" t="e">
        <f t="shared" si="53"/>
        <v>#DIV/0!</v>
      </c>
      <c r="DW39" s="27" t="e">
        <f t="shared" si="53"/>
        <v>#DIV/0!</v>
      </c>
      <c r="DX39" s="27" t="e">
        <f t="shared" si="53"/>
        <v>#DIV/0!</v>
      </c>
      <c r="DY39" s="27" t="e">
        <f t="shared" si="53"/>
        <v>#DIV/0!</v>
      </c>
      <c r="DZ39" s="27" t="e">
        <f t="shared" si="53"/>
        <v>#DIV/0!</v>
      </c>
      <c r="EA39" s="27" t="e">
        <f t="shared" si="53"/>
        <v>#DIV/0!</v>
      </c>
      <c r="EB39" s="27" t="e">
        <f t="shared" si="53"/>
        <v>#DIV/0!</v>
      </c>
      <c r="EC39" s="27" t="e">
        <f t="shared" si="53"/>
        <v>#DIV/0!</v>
      </c>
      <c r="ED39" s="27" t="e">
        <f t="shared" si="53"/>
        <v>#DIV/0!</v>
      </c>
      <c r="EE39" s="27" t="e">
        <f t="shared" si="53"/>
        <v>#DIV/0!</v>
      </c>
      <c r="EF39" s="27" t="e">
        <f t="shared" si="53"/>
        <v>#DIV/0!</v>
      </c>
      <c r="EG39" s="27" t="e">
        <f t="shared" si="53"/>
        <v>#DIV/0!</v>
      </c>
      <c r="EH39" s="27" t="e">
        <f t="shared" si="53"/>
        <v>#DIV/0!</v>
      </c>
      <c r="EI39" s="27" t="e">
        <f t="shared" si="53"/>
        <v>#DIV/0!</v>
      </c>
      <c r="EJ39" s="27" t="e">
        <f t="shared" si="53"/>
        <v>#DIV/0!</v>
      </c>
      <c r="EK39" s="27" t="e">
        <f t="shared" ref="EK39:FP39" si="54">AVERAGE(EI27:EK27)</f>
        <v>#DIV/0!</v>
      </c>
      <c r="EL39" s="27" t="e">
        <f t="shared" si="54"/>
        <v>#DIV/0!</v>
      </c>
      <c r="EM39" s="27" t="e">
        <f t="shared" si="54"/>
        <v>#DIV/0!</v>
      </c>
      <c r="EN39" s="27" t="e">
        <f t="shared" si="54"/>
        <v>#DIV/0!</v>
      </c>
      <c r="EO39" s="27" t="e">
        <f t="shared" si="54"/>
        <v>#DIV/0!</v>
      </c>
      <c r="EP39" s="27" t="e">
        <f t="shared" si="54"/>
        <v>#DIV/0!</v>
      </c>
      <c r="EQ39" s="27" t="e">
        <f t="shared" si="54"/>
        <v>#DIV/0!</v>
      </c>
      <c r="ER39" s="27" t="e">
        <f t="shared" si="54"/>
        <v>#DIV/0!</v>
      </c>
      <c r="ES39" s="27" t="e">
        <f t="shared" si="54"/>
        <v>#DIV/0!</v>
      </c>
      <c r="ET39" s="27" t="e">
        <f t="shared" si="54"/>
        <v>#DIV/0!</v>
      </c>
      <c r="EU39" s="27" t="e">
        <f t="shared" si="54"/>
        <v>#DIV/0!</v>
      </c>
      <c r="EV39" s="27" t="e">
        <f t="shared" si="54"/>
        <v>#DIV/0!</v>
      </c>
      <c r="EW39" s="27" t="e">
        <f t="shared" si="54"/>
        <v>#DIV/0!</v>
      </c>
      <c r="EX39" s="27" t="e">
        <f t="shared" si="54"/>
        <v>#DIV/0!</v>
      </c>
      <c r="EY39" s="27" t="e">
        <f t="shared" si="54"/>
        <v>#DIV/0!</v>
      </c>
      <c r="EZ39" s="27" t="e">
        <f t="shared" si="54"/>
        <v>#DIV/0!</v>
      </c>
      <c r="FA39" s="27" t="e">
        <f t="shared" si="54"/>
        <v>#DIV/0!</v>
      </c>
      <c r="FB39" s="27" t="e">
        <f t="shared" si="54"/>
        <v>#DIV/0!</v>
      </c>
      <c r="FC39" s="27" t="e">
        <f t="shared" si="54"/>
        <v>#DIV/0!</v>
      </c>
      <c r="FD39" s="27" t="e">
        <f t="shared" si="54"/>
        <v>#DIV/0!</v>
      </c>
      <c r="FE39" s="27" t="e">
        <f t="shared" si="54"/>
        <v>#DIV/0!</v>
      </c>
      <c r="FF39" s="27" t="e">
        <f t="shared" si="54"/>
        <v>#DIV/0!</v>
      </c>
      <c r="FG39" s="27" t="e">
        <f t="shared" si="54"/>
        <v>#DIV/0!</v>
      </c>
      <c r="FH39" s="27" t="e">
        <f t="shared" si="54"/>
        <v>#DIV/0!</v>
      </c>
      <c r="FI39" s="27" t="e">
        <f t="shared" si="54"/>
        <v>#DIV/0!</v>
      </c>
      <c r="FJ39" s="27" t="e">
        <f t="shared" si="54"/>
        <v>#DIV/0!</v>
      </c>
      <c r="FK39" s="27" t="e">
        <f t="shared" si="54"/>
        <v>#DIV/0!</v>
      </c>
      <c r="FL39" s="27" t="e">
        <f t="shared" si="54"/>
        <v>#DIV/0!</v>
      </c>
      <c r="FM39" s="27" t="e">
        <f t="shared" si="54"/>
        <v>#DIV/0!</v>
      </c>
      <c r="FN39" s="27" t="e">
        <f t="shared" si="54"/>
        <v>#DIV/0!</v>
      </c>
      <c r="FO39" s="27" t="e">
        <f t="shared" si="54"/>
        <v>#DIV/0!</v>
      </c>
      <c r="FP39" s="27" t="e">
        <f t="shared" si="54"/>
        <v>#DIV/0!</v>
      </c>
      <c r="FQ39" s="27" t="e">
        <f t="shared" ref="FQ39:GV39" si="55">AVERAGE(FO27:FQ27)</f>
        <v>#DIV/0!</v>
      </c>
      <c r="FR39" s="27" t="e">
        <f t="shared" si="55"/>
        <v>#DIV/0!</v>
      </c>
      <c r="FS39" s="27" t="e">
        <f t="shared" si="55"/>
        <v>#DIV/0!</v>
      </c>
      <c r="FT39" s="27" t="e">
        <f t="shared" si="55"/>
        <v>#DIV/0!</v>
      </c>
      <c r="FU39" s="27" t="e">
        <f t="shared" si="55"/>
        <v>#DIV/0!</v>
      </c>
      <c r="FV39" s="27" t="e">
        <f t="shared" si="55"/>
        <v>#DIV/0!</v>
      </c>
      <c r="FW39" s="27" t="e">
        <f t="shared" si="55"/>
        <v>#DIV/0!</v>
      </c>
      <c r="FX39" s="27" t="e">
        <f t="shared" si="55"/>
        <v>#DIV/0!</v>
      </c>
      <c r="FY39" s="27" t="e">
        <f t="shared" si="55"/>
        <v>#DIV/0!</v>
      </c>
      <c r="FZ39" s="27" t="e">
        <f t="shared" si="55"/>
        <v>#DIV/0!</v>
      </c>
      <c r="GA39" s="27" t="e">
        <f t="shared" si="55"/>
        <v>#DIV/0!</v>
      </c>
      <c r="GB39" s="27" t="e">
        <f t="shared" si="55"/>
        <v>#DIV/0!</v>
      </c>
      <c r="GC39" s="27" t="e">
        <f t="shared" si="55"/>
        <v>#DIV/0!</v>
      </c>
      <c r="GD39" s="27" t="e">
        <f t="shared" si="55"/>
        <v>#DIV/0!</v>
      </c>
      <c r="GE39" s="27" t="e">
        <f t="shared" si="55"/>
        <v>#DIV/0!</v>
      </c>
      <c r="GF39" s="27" t="e">
        <f t="shared" si="55"/>
        <v>#DIV/0!</v>
      </c>
      <c r="GG39" s="27" t="e">
        <f t="shared" si="55"/>
        <v>#DIV/0!</v>
      </c>
      <c r="GH39" s="27" t="e">
        <f t="shared" si="55"/>
        <v>#DIV/0!</v>
      </c>
      <c r="GI39" s="27" t="e">
        <f t="shared" si="55"/>
        <v>#DIV/0!</v>
      </c>
      <c r="GJ39" s="27" t="e">
        <f t="shared" si="55"/>
        <v>#DIV/0!</v>
      </c>
      <c r="GK39" s="27" t="e">
        <f t="shared" si="55"/>
        <v>#DIV/0!</v>
      </c>
      <c r="GL39" s="27" t="e">
        <f t="shared" si="55"/>
        <v>#DIV/0!</v>
      </c>
      <c r="GM39" s="27" t="e">
        <f t="shared" si="55"/>
        <v>#DIV/0!</v>
      </c>
      <c r="GN39" s="27" t="e">
        <f t="shared" si="55"/>
        <v>#DIV/0!</v>
      </c>
      <c r="GO39" s="27" t="e">
        <f t="shared" si="55"/>
        <v>#DIV/0!</v>
      </c>
      <c r="GP39" s="27" t="e">
        <f t="shared" si="55"/>
        <v>#DIV/0!</v>
      </c>
      <c r="GQ39" s="27" t="e">
        <f t="shared" si="55"/>
        <v>#DIV/0!</v>
      </c>
      <c r="GR39" s="27" t="e">
        <f t="shared" si="55"/>
        <v>#DIV/0!</v>
      </c>
      <c r="GS39" s="27" t="e">
        <f t="shared" si="55"/>
        <v>#DIV/0!</v>
      </c>
      <c r="GT39" s="27" t="e">
        <f t="shared" si="55"/>
        <v>#DIV/0!</v>
      </c>
      <c r="GU39" s="27" t="e">
        <f t="shared" si="55"/>
        <v>#DIV/0!</v>
      </c>
      <c r="GV39" s="27" t="e">
        <f t="shared" si="55"/>
        <v>#DIV/0!</v>
      </c>
      <c r="GW39" s="27" t="e">
        <f t="shared" ref="GW39:IB39" si="56">AVERAGE(GU27:GW27)</f>
        <v>#DIV/0!</v>
      </c>
      <c r="GX39" s="27" t="e">
        <f t="shared" si="56"/>
        <v>#DIV/0!</v>
      </c>
      <c r="GY39" s="27" t="e">
        <f t="shared" si="56"/>
        <v>#DIV/0!</v>
      </c>
      <c r="GZ39" s="27" t="e">
        <f t="shared" si="56"/>
        <v>#DIV/0!</v>
      </c>
      <c r="HA39" s="27" t="e">
        <f t="shared" si="56"/>
        <v>#DIV/0!</v>
      </c>
      <c r="HB39" s="27" t="e">
        <f t="shared" si="56"/>
        <v>#DIV/0!</v>
      </c>
      <c r="HC39" s="27" t="e">
        <f t="shared" si="56"/>
        <v>#DIV/0!</v>
      </c>
      <c r="HD39" s="27" t="e">
        <f t="shared" si="56"/>
        <v>#DIV/0!</v>
      </c>
      <c r="HE39" s="27" t="e">
        <f t="shared" si="56"/>
        <v>#DIV/0!</v>
      </c>
      <c r="HF39" s="27" t="e">
        <f t="shared" si="56"/>
        <v>#DIV/0!</v>
      </c>
      <c r="HG39" s="27" t="e">
        <f t="shared" si="56"/>
        <v>#DIV/0!</v>
      </c>
      <c r="HH39" s="27" t="e">
        <f t="shared" si="56"/>
        <v>#DIV/0!</v>
      </c>
      <c r="HI39" s="27" t="e">
        <f t="shared" si="56"/>
        <v>#DIV/0!</v>
      </c>
      <c r="HJ39" s="27" t="e">
        <f t="shared" si="56"/>
        <v>#DIV/0!</v>
      </c>
      <c r="HK39" s="27" t="e">
        <f t="shared" si="56"/>
        <v>#DIV/0!</v>
      </c>
      <c r="HL39" s="27" t="e">
        <f t="shared" si="56"/>
        <v>#DIV/0!</v>
      </c>
      <c r="HM39" s="27" t="e">
        <f t="shared" si="56"/>
        <v>#DIV/0!</v>
      </c>
      <c r="HN39" s="27" t="e">
        <f t="shared" si="56"/>
        <v>#DIV/0!</v>
      </c>
      <c r="HO39" s="27" t="e">
        <f t="shared" si="56"/>
        <v>#DIV/0!</v>
      </c>
      <c r="HP39" s="27" t="e">
        <f t="shared" si="56"/>
        <v>#DIV/0!</v>
      </c>
      <c r="HQ39" s="27" t="e">
        <f t="shared" si="56"/>
        <v>#DIV/0!</v>
      </c>
      <c r="HR39" s="27" t="e">
        <f t="shared" si="56"/>
        <v>#DIV/0!</v>
      </c>
      <c r="HS39" s="27" t="e">
        <f t="shared" si="56"/>
        <v>#DIV/0!</v>
      </c>
      <c r="HT39" s="27" t="e">
        <f t="shared" si="56"/>
        <v>#DIV/0!</v>
      </c>
      <c r="HU39" s="27" t="e">
        <f t="shared" si="56"/>
        <v>#DIV/0!</v>
      </c>
      <c r="HV39" s="27" t="e">
        <f t="shared" si="56"/>
        <v>#DIV/0!</v>
      </c>
      <c r="HW39" s="27" t="e">
        <f t="shared" si="56"/>
        <v>#DIV/0!</v>
      </c>
      <c r="HX39" s="27" t="e">
        <f t="shared" si="56"/>
        <v>#DIV/0!</v>
      </c>
      <c r="HY39" s="27" t="e">
        <f t="shared" si="56"/>
        <v>#DIV/0!</v>
      </c>
      <c r="HZ39" s="27" t="e">
        <f t="shared" si="56"/>
        <v>#DIV/0!</v>
      </c>
      <c r="IA39" s="27" t="e">
        <f t="shared" si="56"/>
        <v>#DIV/0!</v>
      </c>
      <c r="IB39" s="27" t="e">
        <f t="shared" si="56"/>
        <v>#DIV/0!</v>
      </c>
      <c r="IC39" s="27" t="e">
        <f t="shared" ref="IC39:IX39" si="57">AVERAGE(IA27:IC27)</f>
        <v>#DIV/0!</v>
      </c>
      <c r="ID39" s="27" t="e">
        <f t="shared" si="57"/>
        <v>#DIV/0!</v>
      </c>
      <c r="IE39" s="27" t="e">
        <f t="shared" si="57"/>
        <v>#DIV/0!</v>
      </c>
      <c r="IF39" s="27" t="e">
        <f t="shared" si="57"/>
        <v>#DIV/0!</v>
      </c>
      <c r="IG39" s="27" t="e">
        <f t="shared" si="57"/>
        <v>#DIV/0!</v>
      </c>
      <c r="IH39" s="27" t="e">
        <f t="shared" si="57"/>
        <v>#DIV/0!</v>
      </c>
      <c r="II39" s="27" t="e">
        <f t="shared" si="57"/>
        <v>#DIV/0!</v>
      </c>
      <c r="IJ39" s="27" t="e">
        <f t="shared" si="57"/>
        <v>#DIV/0!</v>
      </c>
      <c r="IK39" s="27" t="e">
        <f t="shared" si="57"/>
        <v>#DIV/0!</v>
      </c>
      <c r="IL39" s="27" t="e">
        <f t="shared" si="57"/>
        <v>#DIV/0!</v>
      </c>
      <c r="IM39" s="27" t="e">
        <f t="shared" si="57"/>
        <v>#DIV/0!</v>
      </c>
      <c r="IN39" s="27" t="e">
        <f t="shared" si="57"/>
        <v>#DIV/0!</v>
      </c>
      <c r="IO39" s="27" t="e">
        <f t="shared" si="57"/>
        <v>#DIV/0!</v>
      </c>
      <c r="IP39" s="27" t="e">
        <f t="shared" si="57"/>
        <v>#DIV/0!</v>
      </c>
      <c r="IQ39" s="27" t="e">
        <f t="shared" si="57"/>
        <v>#DIV/0!</v>
      </c>
      <c r="IR39" s="27" t="e">
        <f t="shared" si="57"/>
        <v>#DIV/0!</v>
      </c>
      <c r="IS39" s="27" t="e">
        <f t="shared" si="57"/>
        <v>#DIV/0!</v>
      </c>
      <c r="IT39" s="27" t="e">
        <f t="shared" si="57"/>
        <v>#DIV/0!</v>
      </c>
      <c r="IU39" s="27" t="e">
        <f t="shared" si="57"/>
        <v>#DIV/0!</v>
      </c>
      <c r="IV39" s="27" t="e">
        <f t="shared" si="57"/>
        <v>#DIV/0!</v>
      </c>
      <c r="IW39" s="27" t="e">
        <f t="shared" si="57"/>
        <v>#DIV/0!</v>
      </c>
      <c r="IX39" s="27" t="e">
        <f t="shared" si="57"/>
        <v>#DIV/0!</v>
      </c>
    </row>
    <row r="40" spans="1:258" x14ac:dyDescent="0.25">
      <c r="C40" s="199" t="s">
        <v>49</v>
      </c>
      <c r="D40" s="196"/>
      <c r="E40" s="196"/>
      <c r="F40" s="196"/>
      <c r="G40" s="196"/>
      <c r="H40" s="196"/>
      <c r="I40" s="196"/>
      <c r="J40" s="196"/>
      <c r="K40" s="196"/>
      <c r="L40" s="196"/>
      <c r="M40" s="196"/>
      <c r="N40" s="196"/>
      <c r="O40" s="196"/>
      <c r="P40" s="196"/>
      <c r="Q40" s="196"/>
      <c r="R40" s="196"/>
      <c r="S40" s="196"/>
      <c r="T40" s="196"/>
      <c r="U40" s="196"/>
      <c r="V40" s="196"/>
      <c r="W40" s="196"/>
      <c r="X40" s="196"/>
      <c r="Y40" s="196"/>
      <c r="Z40" s="196"/>
      <c r="AA40" s="196"/>
      <c r="AB40" s="196"/>
      <c r="AC40" s="196"/>
      <c r="AD40" s="196"/>
      <c r="AE40" s="196"/>
      <c r="AF40" s="196"/>
      <c r="AG40" s="196"/>
      <c r="AH40" s="196"/>
      <c r="AI40" s="196"/>
      <c r="AJ40" s="196"/>
      <c r="AK40" s="196"/>
      <c r="AL40" s="196"/>
      <c r="AM40" s="196"/>
      <c r="AN40" s="196"/>
      <c r="AO40" s="196"/>
      <c r="AP40" s="196"/>
      <c r="AQ40" s="196"/>
      <c r="AR40" s="196"/>
      <c r="AS40" s="196"/>
      <c r="AT40" s="196"/>
      <c r="AU40" s="196"/>
      <c r="AV40" s="196"/>
      <c r="AW40" s="196"/>
      <c r="AX40" s="196"/>
      <c r="AY40" s="196"/>
      <c r="AZ40" s="196"/>
      <c r="BA40" s="196"/>
      <c r="BB40" s="196"/>
      <c r="BC40" s="196"/>
      <c r="BD40" s="196"/>
      <c r="BE40" s="196"/>
      <c r="BF40" s="196"/>
      <c r="BG40" s="196"/>
      <c r="BH40" s="196"/>
      <c r="BI40" s="196"/>
      <c r="BJ40" s="196"/>
      <c r="BK40" s="196"/>
      <c r="BL40" s="196"/>
      <c r="BM40" s="196"/>
      <c r="BN40" s="196"/>
      <c r="BO40" s="196"/>
      <c r="BP40" s="196"/>
      <c r="BQ40" s="196"/>
      <c r="BR40" s="196"/>
      <c r="BS40" s="196"/>
      <c r="BT40" s="196"/>
      <c r="BU40" s="196"/>
      <c r="BV40" s="196"/>
      <c r="BW40" s="196"/>
      <c r="BX40" s="196"/>
      <c r="BY40" s="196"/>
      <c r="BZ40" s="196"/>
      <c r="CA40" s="196"/>
      <c r="CB40" s="196"/>
      <c r="CC40" s="196"/>
      <c r="CD40" s="196"/>
      <c r="CE40" s="196"/>
      <c r="CF40" s="196"/>
      <c r="CG40" s="196">
        <f t="shared" ref="CG40:ED40" si="58">AVERAGE(CE28:CG28)</f>
        <v>0.31</v>
      </c>
      <c r="CH40" s="196">
        <f t="shared" si="58"/>
        <v>0.41000000000000003</v>
      </c>
      <c r="CI40" s="196">
        <f t="shared" si="58"/>
        <v>0.41666666666666669</v>
      </c>
      <c r="CJ40" s="196">
        <f t="shared" si="58"/>
        <v>0.44999999999999996</v>
      </c>
      <c r="CK40" s="196">
        <f t="shared" si="58"/>
        <v>0.45333333333333331</v>
      </c>
      <c r="CL40" s="196">
        <f t="shared" si="58"/>
        <v>0.51333333333333331</v>
      </c>
      <c r="CM40" s="196"/>
      <c r="CN40" s="196"/>
      <c r="CO40" s="196"/>
      <c r="CP40" s="196"/>
      <c r="CQ40" s="196"/>
      <c r="CR40" s="196"/>
      <c r="CS40" s="196"/>
      <c r="CT40" s="196"/>
      <c r="CU40" s="196"/>
      <c r="CV40" s="196"/>
      <c r="CW40" s="196"/>
      <c r="CX40" s="196"/>
      <c r="CY40" s="196"/>
      <c r="CZ40" s="196"/>
      <c r="DA40" s="196"/>
      <c r="DB40" s="196"/>
      <c r="DC40" s="196"/>
      <c r="DD40" s="196"/>
      <c r="DE40" s="27" t="e">
        <f t="shared" si="58"/>
        <v>#DIV/0!</v>
      </c>
      <c r="DF40" s="27" t="e">
        <f t="shared" si="58"/>
        <v>#DIV/0!</v>
      </c>
      <c r="DG40" s="27" t="e">
        <f t="shared" si="58"/>
        <v>#DIV/0!</v>
      </c>
      <c r="DH40" s="27" t="e">
        <f t="shared" si="58"/>
        <v>#DIV/0!</v>
      </c>
      <c r="DI40" s="27" t="e">
        <f t="shared" si="58"/>
        <v>#DIV/0!</v>
      </c>
      <c r="DJ40" s="27" t="e">
        <f t="shared" si="58"/>
        <v>#DIV/0!</v>
      </c>
      <c r="DK40" s="27" t="e">
        <f t="shared" si="58"/>
        <v>#DIV/0!</v>
      </c>
      <c r="DL40" s="27" t="e">
        <f t="shared" si="58"/>
        <v>#DIV/0!</v>
      </c>
      <c r="DM40" s="27" t="e">
        <f t="shared" si="58"/>
        <v>#DIV/0!</v>
      </c>
      <c r="DN40" s="27" t="e">
        <f t="shared" si="58"/>
        <v>#DIV/0!</v>
      </c>
      <c r="DO40" s="27" t="e">
        <f t="shared" si="58"/>
        <v>#DIV/0!</v>
      </c>
      <c r="DP40" s="27" t="e">
        <f t="shared" si="58"/>
        <v>#DIV/0!</v>
      </c>
      <c r="DQ40" s="27" t="e">
        <f t="shared" si="58"/>
        <v>#DIV/0!</v>
      </c>
      <c r="DR40" s="27" t="e">
        <f t="shared" si="58"/>
        <v>#DIV/0!</v>
      </c>
      <c r="DS40" s="27" t="e">
        <f t="shared" si="58"/>
        <v>#DIV/0!</v>
      </c>
      <c r="DT40" s="27" t="e">
        <f t="shared" si="58"/>
        <v>#DIV/0!</v>
      </c>
      <c r="DU40" s="27" t="e">
        <f t="shared" si="58"/>
        <v>#DIV/0!</v>
      </c>
      <c r="DV40" s="27" t="e">
        <f t="shared" si="58"/>
        <v>#DIV/0!</v>
      </c>
      <c r="DW40" s="27" t="e">
        <f t="shared" si="58"/>
        <v>#DIV/0!</v>
      </c>
      <c r="DX40" s="27" t="e">
        <f t="shared" si="58"/>
        <v>#DIV/0!</v>
      </c>
      <c r="DY40" s="27" t="e">
        <f t="shared" si="58"/>
        <v>#DIV/0!</v>
      </c>
      <c r="DZ40" s="27" t="e">
        <f t="shared" si="58"/>
        <v>#DIV/0!</v>
      </c>
      <c r="EA40" s="27" t="e">
        <f t="shared" si="58"/>
        <v>#DIV/0!</v>
      </c>
      <c r="EB40" s="27" t="e">
        <f t="shared" si="58"/>
        <v>#DIV/0!</v>
      </c>
      <c r="EC40" s="27" t="e">
        <f t="shared" si="58"/>
        <v>#DIV/0!</v>
      </c>
      <c r="ED40" s="27" t="e">
        <f t="shared" si="58"/>
        <v>#DIV/0!</v>
      </c>
      <c r="EE40" s="27" t="e">
        <f t="shared" ref="EE40:GP40" si="59">AVERAGE(EC28:EE28)</f>
        <v>#DIV/0!</v>
      </c>
      <c r="EF40" s="27" t="e">
        <f t="shared" si="59"/>
        <v>#DIV/0!</v>
      </c>
      <c r="EG40" s="27" t="e">
        <f t="shared" si="59"/>
        <v>#DIV/0!</v>
      </c>
      <c r="EH40" s="27" t="e">
        <f t="shared" si="59"/>
        <v>#DIV/0!</v>
      </c>
      <c r="EI40" s="27" t="e">
        <f t="shared" si="59"/>
        <v>#DIV/0!</v>
      </c>
      <c r="EJ40" s="27" t="e">
        <f t="shared" si="59"/>
        <v>#DIV/0!</v>
      </c>
      <c r="EK40" s="27" t="e">
        <f t="shared" si="59"/>
        <v>#DIV/0!</v>
      </c>
      <c r="EL40" s="27" t="e">
        <f t="shared" si="59"/>
        <v>#DIV/0!</v>
      </c>
      <c r="EM40" s="27" t="e">
        <f t="shared" si="59"/>
        <v>#DIV/0!</v>
      </c>
      <c r="EN40" s="27" t="e">
        <f t="shared" si="59"/>
        <v>#DIV/0!</v>
      </c>
      <c r="EO40" s="27" t="e">
        <f t="shared" si="59"/>
        <v>#DIV/0!</v>
      </c>
      <c r="EP40" s="27" t="e">
        <f t="shared" si="59"/>
        <v>#DIV/0!</v>
      </c>
      <c r="EQ40" s="27" t="e">
        <f t="shared" si="59"/>
        <v>#DIV/0!</v>
      </c>
      <c r="ER40" s="27" t="e">
        <f t="shared" si="59"/>
        <v>#DIV/0!</v>
      </c>
      <c r="ES40" s="27" t="e">
        <f t="shared" si="59"/>
        <v>#DIV/0!</v>
      </c>
      <c r="ET40" s="27" t="e">
        <f t="shared" si="59"/>
        <v>#DIV/0!</v>
      </c>
      <c r="EU40" s="27" t="e">
        <f t="shared" si="59"/>
        <v>#DIV/0!</v>
      </c>
      <c r="EV40" s="27" t="e">
        <f t="shared" si="59"/>
        <v>#DIV/0!</v>
      </c>
      <c r="EW40" s="27" t="e">
        <f t="shared" si="59"/>
        <v>#DIV/0!</v>
      </c>
      <c r="EX40" s="27" t="e">
        <f t="shared" si="59"/>
        <v>#DIV/0!</v>
      </c>
      <c r="EY40" s="27" t="e">
        <f t="shared" si="59"/>
        <v>#DIV/0!</v>
      </c>
      <c r="EZ40" s="27" t="e">
        <f t="shared" si="59"/>
        <v>#DIV/0!</v>
      </c>
      <c r="FA40" s="27" t="e">
        <f t="shared" si="59"/>
        <v>#DIV/0!</v>
      </c>
      <c r="FB40" s="27" t="e">
        <f t="shared" si="59"/>
        <v>#DIV/0!</v>
      </c>
      <c r="FC40" s="27" t="e">
        <f t="shared" si="59"/>
        <v>#DIV/0!</v>
      </c>
      <c r="FD40" s="27" t="e">
        <f t="shared" si="59"/>
        <v>#DIV/0!</v>
      </c>
      <c r="FE40" s="27" t="e">
        <f t="shared" si="59"/>
        <v>#DIV/0!</v>
      </c>
      <c r="FF40" s="27" t="e">
        <f t="shared" si="59"/>
        <v>#DIV/0!</v>
      </c>
      <c r="FG40" s="27" t="e">
        <f t="shared" si="59"/>
        <v>#DIV/0!</v>
      </c>
      <c r="FH40" s="27" t="e">
        <f t="shared" si="59"/>
        <v>#DIV/0!</v>
      </c>
      <c r="FI40" s="27" t="e">
        <f t="shared" si="59"/>
        <v>#DIV/0!</v>
      </c>
      <c r="FJ40" s="27" t="e">
        <f t="shared" si="59"/>
        <v>#DIV/0!</v>
      </c>
      <c r="FK40" s="27" t="e">
        <f t="shared" si="59"/>
        <v>#DIV/0!</v>
      </c>
      <c r="FL40" s="27" t="e">
        <f t="shared" si="59"/>
        <v>#DIV/0!</v>
      </c>
      <c r="FM40" s="27" t="e">
        <f t="shared" si="59"/>
        <v>#DIV/0!</v>
      </c>
      <c r="FN40" s="27" t="e">
        <f t="shared" si="59"/>
        <v>#DIV/0!</v>
      </c>
      <c r="FO40" s="27" t="e">
        <f t="shared" si="59"/>
        <v>#DIV/0!</v>
      </c>
      <c r="FP40" s="27" t="e">
        <f t="shared" si="59"/>
        <v>#DIV/0!</v>
      </c>
      <c r="FQ40" s="27" t="e">
        <f t="shared" si="59"/>
        <v>#DIV/0!</v>
      </c>
      <c r="FR40" s="27" t="e">
        <f t="shared" si="59"/>
        <v>#DIV/0!</v>
      </c>
      <c r="FS40" s="27" t="e">
        <f t="shared" si="59"/>
        <v>#DIV/0!</v>
      </c>
      <c r="FT40" s="27" t="e">
        <f t="shared" si="59"/>
        <v>#DIV/0!</v>
      </c>
      <c r="FU40" s="27" t="e">
        <f t="shared" si="59"/>
        <v>#DIV/0!</v>
      </c>
      <c r="FV40" s="27" t="e">
        <f t="shared" si="59"/>
        <v>#DIV/0!</v>
      </c>
      <c r="FW40" s="27" t="e">
        <f t="shared" si="59"/>
        <v>#DIV/0!</v>
      </c>
      <c r="FX40" s="27" t="e">
        <f t="shared" si="59"/>
        <v>#DIV/0!</v>
      </c>
      <c r="FY40" s="27" t="e">
        <f t="shared" si="59"/>
        <v>#DIV/0!</v>
      </c>
      <c r="FZ40" s="27" t="e">
        <f t="shared" si="59"/>
        <v>#DIV/0!</v>
      </c>
      <c r="GA40" s="27" t="e">
        <f t="shared" si="59"/>
        <v>#DIV/0!</v>
      </c>
      <c r="GB40" s="27" t="e">
        <f t="shared" si="59"/>
        <v>#DIV/0!</v>
      </c>
      <c r="GC40" s="27" t="e">
        <f t="shared" si="59"/>
        <v>#DIV/0!</v>
      </c>
      <c r="GD40" s="27" t="e">
        <f t="shared" si="59"/>
        <v>#DIV/0!</v>
      </c>
      <c r="GE40" s="27" t="e">
        <f t="shared" si="59"/>
        <v>#DIV/0!</v>
      </c>
      <c r="GF40" s="27" t="e">
        <f t="shared" si="59"/>
        <v>#DIV/0!</v>
      </c>
      <c r="GG40" s="27" t="e">
        <f t="shared" si="59"/>
        <v>#DIV/0!</v>
      </c>
      <c r="GH40" s="27" t="e">
        <f t="shared" si="59"/>
        <v>#DIV/0!</v>
      </c>
      <c r="GI40" s="27" t="e">
        <f t="shared" si="59"/>
        <v>#DIV/0!</v>
      </c>
      <c r="GJ40" s="27" t="e">
        <f t="shared" si="59"/>
        <v>#DIV/0!</v>
      </c>
      <c r="GK40" s="27" t="e">
        <f t="shared" si="59"/>
        <v>#DIV/0!</v>
      </c>
      <c r="GL40" s="27" t="e">
        <f t="shared" si="59"/>
        <v>#DIV/0!</v>
      </c>
      <c r="GM40" s="27" t="e">
        <f t="shared" si="59"/>
        <v>#DIV/0!</v>
      </c>
      <c r="GN40" s="27" t="e">
        <f t="shared" si="59"/>
        <v>#DIV/0!</v>
      </c>
      <c r="GO40" s="27" t="e">
        <f t="shared" si="59"/>
        <v>#DIV/0!</v>
      </c>
      <c r="GP40" s="27" t="e">
        <f t="shared" si="59"/>
        <v>#DIV/0!</v>
      </c>
      <c r="GQ40" s="27" t="e">
        <f t="shared" ref="GQ40:IX40" si="60">AVERAGE(GO28:GQ28)</f>
        <v>#DIV/0!</v>
      </c>
      <c r="GR40" s="27" t="e">
        <f t="shared" si="60"/>
        <v>#DIV/0!</v>
      </c>
      <c r="GS40" s="27" t="e">
        <f t="shared" si="60"/>
        <v>#DIV/0!</v>
      </c>
      <c r="GT40" s="27" t="e">
        <f t="shared" si="60"/>
        <v>#DIV/0!</v>
      </c>
      <c r="GU40" s="27" t="e">
        <f t="shared" si="60"/>
        <v>#DIV/0!</v>
      </c>
      <c r="GV40" s="27" t="e">
        <f t="shared" si="60"/>
        <v>#DIV/0!</v>
      </c>
      <c r="GW40" s="27" t="e">
        <f t="shared" si="60"/>
        <v>#DIV/0!</v>
      </c>
      <c r="GX40" s="27" t="e">
        <f t="shared" si="60"/>
        <v>#DIV/0!</v>
      </c>
      <c r="GY40" s="27" t="e">
        <f t="shared" si="60"/>
        <v>#DIV/0!</v>
      </c>
      <c r="GZ40" s="27" t="e">
        <f t="shared" si="60"/>
        <v>#DIV/0!</v>
      </c>
      <c r="HA40" s="27" t="e">
        <f t="shared" si="60"/>
        <v>#DIV/0!</v>
      </c>
      <c r="HB40" s="27" t="e">
        <f t="shared" si="60"/>
        <v>#DIV/0!</v>
      </c>
      <c r="HC40" s="27" t="e">
        <f t="shared" si="60"/>
        <v>#DIV/0!</v>
      </c>
      <c r="HD40" s="27" t="e">
        <f t="shared" si="60"/>
        <v>#DIV/0!</v>
      </c>
      <c r="HE40" s="27" t="e">
        <f t="shared" si="60"/>
        <v>#DIV/0!</v>
      </c>
      <c r="HF40" s="27" t="e">
        <f t="shared" si="60"/>
        <v>#DIV/0!</v>
      </c>
      <c r="HG40" s="27" t="e">
        <f t="shared" si="60"/>
        <v>#DIV/0!</v>
      </c>
      <c r="HH40" s="27" t="e">
        <f t="shared" si="60"/>
        <v>#DIV/0!</v>
      </c>
      <c r="HI40" s="27" t="e">
        <f t="shared" si="60"/>
        <v>#DIV/0!</v>
      </c>
      <c r="HJ40" s="27" t="e">
        <f t="shared" si="60"/>
        <v>#DIV/0!</v>
      </c>
      <c r="HK40" s="27" t="e">
        <f t="shared" si="60"/>
        <v>#DIV/0!</v>
      </c>
      <c r="HL40" s="27" t="e">
        <f t="shared" si="60"/>
        <v>#DIV/0!</v>
      </c>
      <c r="HM40" s="27" t="e">
        <f t="shared" si="60"/>
        <v>#DIV/0!</v>
      </c>
      <c r="HN40" s="27" t="e">
        <f t="shared" si="60"/>
        <v>#DIV/0!</v>
      </c>
      <c r="HO40" s="27" t="e">
        <f t="shared" si="60"/>
        <v>#DIV/0!</v>
      </c>
      <c r="HP40" s="27" t="e">
        <f t="shared" si="60"/>
        <v>#DIV/0!</v>
      </c>
      <c r="HQ40" s="27" t="e">
        <f t="shared" si="60"/>
        <v>#DIV/0!</v>
      </c>
      <c r="HR40" s="27" t="e">
        <f t="shared" si="60"/>
        <v>#DIV/0!</v>
      </c>
      <c r="HS40" s="27" t="e">
        <f t="shared" si="60"/>
        <v>#DIV/0!</v>
      </c>
      <c r="HT40" s="27" t="e">
        <f t="shared" si="60"/>
        <v>#DIV/0!</v>
      </c>
      <c r="HU40" s="27" t="e">
        <f t="shared" si="60"/>
        <v>#DIV/0!</v>
      </c>
      <c r="HV40" s="27" t="e">
        <f t="shared" si="60"/>
        <v>#DIV/0!</v>
      </c>
      <c r="HW40" s="27" t="e">
        <f t="shared" si="60"/>
        <v>#DIV/0!</v>
      </c>
      <c r="HX40" s="27" t="e">
        <f t="shared" si="60"/>
        <v>#DIV/0!</v>
      </c>
      <c r="HY40" s="27" t="e">
        <f t="shared" si="60"/>
        <v>#DIV/0!</v>
      </c>
      <c r="HZ40" s="27" t="e">
        <f t="shared" si="60"/>
        <v>#DIV/0!</v>
      </c>
      <c r="IA40" s="27" t="e">
        <f t="shared" si="60"/>
        <v>#DIV/0!</v>
      </c>
      <c r="IB40" s="27" t="e">
        <f t="shared" si="60"/>
        <v>#DIV/0!</v>
      </c>
      <c r="IC40" s="27" t="e">
        <f t="shared" si="60"/>
        <v>#DIV/0!</v>
      </c>
      <c r="ID40" s="27" t="e">
        <f t="shared" si="60"/>
        <v>#DIV/0!</v>
      </c>
      <c r="IE40" s="27" t="e">
        <f t="shared" si="60"/>
        <v>#DIV/0!</v>
      </c>
      <c r="IF40" s="27" t="e">
        <f t="shared" si="60"/>
        <v>#DIV/0!</v>
      </c>
      <c r="IG40" s="27" t="e">
        <f t="shared" si="60"/>
        <v>#DIV/0!</v>
      </c>
      <c r="IH40" s="27" t="e">
        <f t="shared" si="60"/>
        <v>#DIV/0!</v>
      </c>
      <c r="II40" s="27" t="e">
        <f t="shared" si="60"/>
        <v>#DIV/0!</v>
      </c>
      <c r="IJ40" s="27" t="e">
        <f t="shared" si="60"/>
        <v>#DIV/0!</v>
      </c>
      <c r="IK40" s="27" t="e">
        <f t="shared" si="60"/>
        <v>#DIV/0!</v>
      </c>
      <c r="IL40" s="27" t="e">
        <f t="shared" si="60"/>
        <v>#DIV/0!</v>
      </c>
      <c r="IM40" s="27" t="e">
        <f t="shared" si="60"/>
        <v>#DIV/0!</v>
      </c>
      <c r="IN40" s="27" t="e">
        <f t="shared" si="60"/>
        <v>#DIV/0!</v>
      </c>
      <c r="IO40" s="27" t="e">
        <f t="shared" si="60"/>
        <v>#DIV/0!</v>
      </c>
      <c r="IP40" s="27" t="e">
        <f t="shared" si="60"/>
        <v>#DIV/0!</v>
      </c>
      <c r="IQ40" s="27" t="e">
        <f t="shared" si="60"/>
        <v>#DIV/0!</v>
      </c>
      <c r="IR40" s="27" t="e">
        <f t="shared" si="60"/>
        <v>#DIV/0!</v>
      </c>
      <c r="IS40" s="27" t="e">
        <f t="shared" si="60"/>
        <v>#DIV/0!</v>
      </c>
      <c r="IT40" s="27" t="e">
        <f t="shared" si="60"/>
        <v>#DIV/0!</v>
      </c>
      <c r="IU40" s="27" t="e">
        <f t="shared" si="60"/>
        <v>#DIV/0!</v>
      </c>
      <c r="IV40" s="27" t="e">
        <f t="shared" si="60"/>
        <v>#DIV/0!</v>
      </c>
      <c r="IW40" s="27" t="e">
        <f t="shared" si="60"/>
        <v>#DIV/0!</v>
      </c>
      <c r="IX40" s="27" t="e">
        <f t="shared" si="60"/>
        <v>#DIV/0!</v>
      </c>
    </row>
    <row r="41" spans="1:258" x14ac:dyDescent="0.25">
      <c r="C41" s="199" t="s">
        <v>46</v>
      </c>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c r="BI41" s="15"/>
      <c r="BJ41" s="15"/>
      <c r="BK41" s="15"/>
      <c r="BL41" s="15"/>
      <c r="BM41" s="15"/>
      <c r="BN41" s="15"/>
      <c r="BO41" s="15"/>
      <c r="BP41" s="15"/>
      <c r="BQ41" s="15"/>
      <c r="BR41" s="15"/>
      <c r="BS41" s="15"/>
      <c r="BT41" s="15"/>
      <c r="BU41" s="15"/>
      <c r="BV41" s="15"/>
      <c r="BW41" s="15"/>
      <c r="BX41" s="15"/>
      <c r="BY41" s="15"/>
      <c r="BZ41" s="15"/>
      <c r="CA41" s="15"/>
      <c r="CB41" s="15"/>
      <c r="CC41" s="15"/>
      <c r="CD41" s="15"/>
      <c r="CE41" s="15"/>
      <c r="CF41" s="15"/>
      <c r="CG41" s="15">
        <f t="shared" ref="CG41:ED41" si="61">AVERAGE(CE29:CG29)</f>
        <v>0.3</v>
      </c>
      <c r="CH41" s="15">
        <f t="shared" si="61"/>
        <v>0.36</v>
      </c>
      <c r="CI41" s="15">
        <f t="shared" si="61"/>
        <v>0.35666666666666663</v>
      </c>
      <c r="CJ41" s="15">
        <f t="shared" si="61"/>
        <v>0.41333333333333333</v>
      </c>
      <c r="CK41" s="15">
        <f t="shared" si="61"/>
        <v>0.46666666666666662</v>
      </c>
      <c r="CL41" s="15">
        <f t="shared" si="61"/>
        <v>0.53999999999999992</v>
      </c>
      <c r="CM41" s="15"/>
      <c r="CN41" s="15"/>
      <c r="CO41" s="15"/>
      <c r="CP41" s="15"/>
      <c r="CQ41" s="15"/>
      <c r="CR41" s="15"/>
      <c r="CS41" s="15"/>
      <c r="CT41" s="15"/>
      <c r="CU41" s="15"/>
      <c r="CV41" s="15"/>
      <c r="CW41" s="15"/>
      <c r="CX41" s="15"/>
      <c r="CY41" s="15"/>
      <c r="CZ41" s="15"/>
      <c r="DA41" s="15"/>
      <c r="DB41" s="15"/>
      <c r="DC41" s="15"/>
      <c r="DD41" s="15"/>
      <c r="DE41" t="e">
        <f t="shared" si="61"/>
        <v>#DIV/0!</v>
      </c>
      <c r="DF41" t="e">
        <f t="shared" si="61"/>
        <v>#DIV/0!</v>
      </c>
      <c r="DG41" t="e">
        <f t="shared" si="61"/>
        <v>#DIV/0!</v>
      </c>
      <c r="DH41" t="e">
        <f t="shared" si="61"/>
        <v>#DIV/0!</v>
      </c>
      <c r="DI41" t="e">
        <f t="shared" si="61"/>
        <v>#DIV/0!</v>
      </c>
      <c r="DJ41" t="e">
        <f t="shared" si="61"/>
        <v>#DIV/0!</v>
      </c>
      <c r="DK41" t="e">
        <f t="shared" si="61"/>
        <v>#DIV/0!</v>
      </c>
      <c r="DL41" t="e">
        <f t="shared" si="61"/>
        <v>#DIV/0!</v>
      </c>
      <c r="DM41" t="e">
        <f t="shared" si="61"/>
        <v>#DIV/0!</v>
      </c>
      <c r="DN41" t="e">
        <f t="shared" si="61"/>
        <v>#DIV/0!</v>
      </c>
      <c r="DO41" t="e">
        <f t="shared" si="61"/>
        <v>#DIV/0!</v>
      </c>
      <c r="DP41" t="e">
        <f t="shared" si="61"/>
        <v>#DIV/0!</v>
      </c>
      <c r="DQ41" t="e">
        <f t="shared" si="61"/>
        <v>#DIV/0!</v>
      </c>
      <c r="DR41" t="e">
        <f t="shared" si="61"/>
        <v>#DIV/0!</v>
      </c>
      <c r="DS41" t="e">
        <f t="shared" si="61"/>
        <v>#DIV/0!</v>
      </c>
      <c r="DT41" t="e">
        <f t="shared" si="61"/>
        <v>#DIV/0!</v>
      </c>
      <c r="DU41" t="e">
        <f t="shared" si="61"/>
        <v>#DIV/0!</v>
      </c>
      <c r="DV41" t="e">
        <f t="shared" si="61"/>
        <v>#DIV/0!</v>
      </c>
      <c r="DW41" t="e">
        <f t="shared" si="61"/>
        <v>#DIV/0!</v>
      </c>
      <c r="DX41" t="e">
        <f t="shared" si="61"/>
        <v>#DIV/0!</v>
      </c>
      <c r="DY41" t="e">
        <f t="shared" si="61"/>
        <v>#DIV/0!</v>
      </c>
      <c r="DZ41" t="e">
        <f t="shared" si="61"/>
        <v>#DIV/0!</v>
      </c>
      <c r="EA41" t="e">
        <f t="shared" si="61"/>
        <v>#DIV/0!</v>
      </c>
      <c r="EB41" t="e">
        <f t="shared" si="61"/>
        <v>#DIV/0!</v>
      </c>
      <c r="EC41" t="e">
        <f t="shared" si="61"/>
        <v>#DIV/0!</v>
      </c>
      <c r="ED41" t="e">
        <f t="shared" si="61"/>
        <v>#DIV/0!</v>
      </c>
      <c r="EE41" t="e">
        <f t="shared" ref="EE41:GP41" si="62">AVERAGE(EC29:EE29)</f>
        <v>#DIV/0!</v>
      </c>
      <c r="EF41" t="e">
        <f t="shared" si="62"/>
        <v>#DIV/0!</v>
      </c>
      <c r="EG41" t="e">
        <f t="shared" si="62"/>
        <v>#DIV/0!</v>
      </c>
      <c r="EH41" t="e">
        <f t="shared" si="62"/>
        <v>#DIV/0!</v>
      </c>
      <c r="EI41" t="e">
        <f t="shared" si="62"/>
        <v>#DIV/0!</v>
      </c>
      <c r="EJ41" t="e">
        <f t="shared" si="62"/>
        <v>#DIV/0!</v>
      </c>
      <c r="EK41" t="e">
        <f t="shared" si="62"/>
        <v>#DIV/0!</v>
      </c>
      <c r="EL41" t="e">
        <f t="shared" si="62"/>
        <v>#DIV/0!</v>
      </c>
      <c r="EM41" t="e">
        <f t="shared" si="62"/>
        <v>#DIV/0!</v>
      </c>
      <c r="EN41" t="e">
        <f t="shared" si="62"/>
        <v>#DIV/0!</v>
      </c>
      <c r="EO41" t="e">
        <f t="shared" si="62"/>
        <v>#DIV/0!</v>
      </c>
      <c r="EP41" t="e">
        <f t="shared" si="62"/>
        <v>#DIV/0!</v>
      </c>
      <c r="EQ41" t="e">
        <f t="shared" si="62"/>
        <v>#DIV/0!</v>
      </c>
      <c r="ER41" t="e">
        <f t="shared" si="62"/>
        <v>#DIV/0!</v>
      </c>
      <c r="ES41" t="e">
        <f t="shared" si="62"/>
        <v>#DIV/0!</v>
      </c>
      <c r="ET41" t="e">
        <f t="shared" si="62"/>
        <v>#DIV/0!</v>
      </c>
      <c r="EU41" t="e">
        <f t="shared" si="62"/>
        <v>#DIV/0!</v>
      </c>
      <c r="EV41" t="e">
        <f t="shared" si="62"/>
        <v>#DIV/0!</v>
      </c>
      <c r="EW41" t="e">
        <f t="shared" si="62"/>
        <v>#DIV/0!</v>
      </c>
      <c r="EX41" t="e">
        <f t="shared" si="62"/>
        <v>#DIV/0!</v>
      </c>
      <c r="EY41" t="e">
        <f t="shared" si="62"/>
        <v>#DIV/0!</v>
      </c>
      <c r="EZ41" t="e">
        <f t="shared" si="62"/>
        <v>#DIV/0!</v>
      </c>
      <c r="FA41" t="e">
        <f t="shared" si="62"/>
        <v>#DIV/0!</v>
      </c>
      <c r="FB41" t="e">
        <f t="shared" si="62"/>
        <v>#DIV/0!</v>
      </c>
      <c r="FC41" t="e">
        <f t="shared" si="62"/>
        <v>#DIV/0!</v>
      </c>
      <c r="FD41" t="e">
        <f t="shared" si="62"/>
        <v>#DIV/0!</v>
      </c>
      <c r="FE41" t="e">
        <f t="shared" si="62"/>
        <v>#DIV/0!</v>
      </c>
      <c r="FF41" t="e">
        <f t="shared" si="62"/>
        <v>#DIV/0!</v>
      </c>
      <c r="FG41" t="e">
        <f t="shared" si="62"/>
        <v>#DIV/0!</v>
      </c>
      <c r="FH41" t="e">
        <f t="shared" si="62"/>
        <v>#DIV/0!</v>
      </c>
      <c r="FI41" t="e">
        <f t="shared" si="62"/>
        <v>#DIV/0!</v>
      </c>
      <c r="FJ41" t="e">
        <f t="shared" si="62"/>
        <v>#DIV/0!</v>
      </c>
      <c r="FK41" t="e">
        <f t="shared" si="62"/>
        <v>#DIV/0!</v>
      </c>
      <c r="FL41" t="e">
        <f t="shared" si="62"/>
        <v>#DIV/0!</v>
      </c>
      <c r="FM41" t="e">
        <f t="shared" si="62"/>
        <v>#DIV/0!</v>
      </c>
      <c r="FN41" t="e">
        <f t="shared" si="62"/>
        <v>#DIV/0!</v>
      </c>
      <c r="FO41" t="e">
        <f t="shared" si="62"/>
        <v>#DIV/0!</v>
      </c>
      <c r="FP41" t="e">
        <f t="shared" si="62"/>
        <v>#DIV/0!</v>
      </c>
      <c r="FQ41" t="e">
        <f t="shared" si="62"/>
        <v>#DIV/0!</v>
      </c>
      <c r="FR41" t="e">
        <f t="shared" si="62"/>
        <v>#DIV/0!</v>
      </c>
      <c r="FS41" t="e">
        <f t="shared" si="62"/>
        <v>#DIV/0!</v>
      </c>
      <c r="FT41" t="e">
        <f t="shared" si="62"/>
        <v>#DIV/0!</v>
      </c>
      <c r="FU41" t="e">
        <f t="shared" si="62"/>
        <v>#DIV/0!</v>
      </c>
      <c r="FV41" t="e">
        <f t="shared" si="62"/>
        <v>#DIV/0!</v>
      </c>
      <c r="FW41" t="e">
        <f t="shared" si="62"/>
        <v>#DIV/0!</v>
      </c>
      <c r="FX41" t="e">
        <f t="shared" si="62"/>
        <v>#DIV/0!</v>
      </c>
      <c r="FY41" t="e">
        <f t="shared" si="62"/>
        <v>#DIV/0!</v>
      </c>
      <c r="FZ41" t="e">
        <f t="shared" si="62"/>
        <v>#DIV/0!</v>
      </c>
      <c r="GA41" t="e">
        <f t="shared" si="62"/>
        <v>#DIV/0!</v>
      </c>
      <c r="GB41" t="e">
        <f t="shared" si="62"/>
        <v>#DIV/0!</v>
      </c>
      <c r="GC41" t="e">
        <f t="shared" si="62"/>
        <v>#DIV/0!</v>
      </c>
      <c r="GD41" t="e">
        <f t="shared" si="62"/>
        <v>#DIV/0!</v>
      </c>
      <c r="GE41" t="e">
        <f t="shared" si="62"/>
        <v>#DIV/0!</v>
      </c>
      <c r="GF41" t="e">
        <f t="shared" si="62"/>
        <v>#DIV/0!</v>
      </c>
      <c r="GG41" t="e">
        <f t="shared" si="62"/>
        <v>#DIV/0!</v>
      </c>
      <c r="GH41" t="e">
        <f t="shared" si="62"/>
        <v>#DIV/0!</v>
      </c>
      <c r="GI41" t="e">
        <f t="shared" si="62"/>
        <v>#DIV/0!</v>
      </c>
      <c r="GJ41" t="e">
        <f t="shared" si="62"/>
        <v>#DIV/0!</v>
      </c>
      <c r="GK41" t="e">
        <f t="shared" si="62"/>
        <v>#DIV/0!</v>
      </c>
      <c r="GL41" t="e">
        <f t="shared" si="62"/>
        <v>#DIV/0!</v>
      </c>
      <c r="GM41" t="e">
        <f t="shared" si="62"/>
        <v>#DIV/0!</v>
      </c>
      <c r="GN41" t="e">
        <f t="shared" si="62"/>
        <v>#DIV/0!</v>
      </c>
      <c r="GO41" t="e">
        <f t="shared" si="62"/>
        <v>#DIV/0!</v>
      </c>
      <c r="GP41" t="e">
        <f t="shared" si="62"/>
        <v>#DIV/0!</v>
      </c>
      <c r="GQ41" t="e">
        <f t="shared" ref="GQ41:IX41" si="63">AVERAGE(GO29:GQ29)</f>
        <v>#DIV/0!</v>
      </c>
      <c r="GR41" t="e">
        <f t="shared" si="63"/>
        <v>#DIV/0!</v>
      </c>
      <c r="GS41" t="e">
        <f t="shared" si="63"/>
        <v>#DIV/0!</v>
      </c>
      <c r="GT41" t="e">
        <f t="shared" si="63"/>
        <v>#DIV/0!</v>
      </c>
      <c r="GU41" t="e">
        <f t="shared" si="63"/>
        <v>#DIV/0!</v>
      </c>
      <c r="GV41" t="e">
        <f t="shared" si="63"/>
        <v>#DIV/0!</v>
      </c>
      <c r="GW41" t="e">
        <f t="shared" si="63"/>
        <v>#DIV/0!</v>
      </c>
      <c r="GX41" t="e">
        <f t="shared" si="63"/>
        <v>#DIV/0!</v>
      </c>
      <c r="GY41" t="e">
        <f t="shared" si="63"/>
        <v>#DIV/0!</v>
      </c>
      <c r="GZ41" t="e">
        <f t="shared" si="63"/>
        <v>#DIV/0!</v>
      </c>
      <c r="HA41" t="e">
        <f t="shared" si="63"/>
        <v>#DIV/0!</v>
      </c>
      <c r="HB41" t="e">
        <f t="shared" si="63"/>
        <v>#DIV/0!</v>
      </c>
      <c r="HC41" t="e">
        <f t="shared" si="63"/>
        <v>#DIV/0!</v>
      </c>
      <c r="HD41" t="e">
        <f t="shared" si="63"/>
        <v>#DIV/0!</v>
      </c>
      <c r="HE41" t="e">
        <f t="shared" si="63"/>
        <v>#DIV/0!</v>
      </c>
      <c r="HF41" t="e">
        <f t="shared" si="63"/>
        <v>#DIV/0!</v>
      </c>
      <c r="HG41" t="e">
        <f t="shared" si="63"/>
        <v>#DIV/0!</v>
      </c>
      <c r="HH41" t="e">
        <f t="shared" si="63"/>
        <v>#DIV/0!</v>
      </c>
      <c r="HI41" t="e">
        <f t="shared" si="63"/>
        <v>#DIV/0!</v>
      </c>
      <c r="HJ41" t="e">
        <f t="shared" si="63"/>
        <v>#DIV/0!</v>
      </c>
      <c r="HK41" t="e">
        <f t="shared" si="63"/>
        <v>#DIV/0!</v>
      </c>
      <c r="HL41" t="e">
        <f t="shared" si="63"/>
        <v>#DIV/0!</v>
      </c>
      <c r="HM41" t="e">
        <f t="shared" si="63"/>
        <v>#DIV/0!</v>
      </c>
      <c r="HN41" t="e">
        <f t="shared" si="63"/>
        <v>#DIV/0!</v>
      </c>
      <c r="HO41" t="e">
        <f t="shared" si="63"/>
        <v>#DIV/0!</v>
      </c>
      <c r="HP41" t="e">
        <f t="shared" si="63"/>
        <v>#DIV/0!</v>
      </c>
      <c r="HQ41" t="e">
        <f t="shared" si="63"/>
        <v>#DIV/0!</v>
      </c>
      <c r="HR41" t="e">
        <f t="shared" si="63"/>
        <v>#DIV/0!</v>
      </c>
      <c r="HS41" t="e">
        <f t="shared" si="63"/>
        <v>#DIV/0!</v>
      </c>
      <c r="HT41" t="e">
        <f t="shared" si="63"/>
        <v>#DIV/0!</v>
      </c>
      <c r="HU41" t="e">
        <f t="shared" si="63"/>
        <v>#DIV/0!</v>
      </c>
      <c r="HV41" t="e">
        <f t="shared" si="63"/>
        <v>#DIV/0!</v>
      </c>
      <c r="HW41" t="e">
        <f t="shared" si="63"/>
        <v>#DIV/0!</v>
      </c>
      <c r="HX41" t="e">
        <f t="shared" si="63"/>
        <v>#DIV/0!</v>
      </c>
      <c r="HY41" t="e">
        <f t="shared" si="63"/>
        <v>#DIV/0!</v>
      </c>
      <c r="HZ41" t="e">
        <f t="shared" si="63"/>
        <v>#DIV/0!</v>
      </c>
      <c r="IA41" t="e">
        <f t="shared" si="63"/>
        <v>#DIV/0!</v>
      </c>
      <c r="IB41" t="e">
        <f t="shared" si="63"/>
        <v>#DIV/0!</v>
      </c>
      <c r="IC41" t="e">
        <f t="shared" si="63"/>
        <v>#DIV/0!</v>
      </c>
      <c r="ID41" t="e">
        <f t="shared" si="63"/>
        <v>#DIV/0!</v>
      </c>
      <c r="IE41" t="e">
        <f t="shared" si="63"/>
        <v>#DIV/0!</v>
      </c>
      <c r="IF41" t="e">
        <f t="shared" si="63"/>
        <v>#DIV/0!</v>
      </c>
      <c r="IG41" t="e">
        <f t="shared" si="63"/>
        <v>#DIV/0!</v>
      </c>
      <c r="IH41" t="e">
        <f t="shared" si="63"/>
        <v>#DIV/0!</v>
      </c>
      <c r="II41" t="e">
        <f t="shared" si="63"/>
        <v>#DIV/0!</v>
      </c>
      <c r="IJ41" t="e">
        <f t="shared" si="63"/>
        <v>#DIV/0!</v>
      </c>
      <c r="IK41" t="e">
        <f t="shared" si="63"/>
        <v>#DIV/0!</v>
      </c>
      <c r="IL41" t="e">
        <f t="shared" si="63"/>
        <v>#DIV/0!</v>
      </c>
      <c r="IM41" t="e">
        <f t="shared" si="63"/>
        <v>#DIV/0!</v>
      </c>
      <c r="IN41" t="e">
        <f t="shared" si="63"/>
        <v>#DIV/0!</v>
      </c>
      <c r="IO41" t="e">
        <f t="shared" si="63"/>
        <v>#DIV/0!</v>
      </c>
      <c r="IP41" t="e">
        <f t="shared" si="63"/>
        <v>#DIV/0!</v>
      </c>
      <c r="IQ41" t="e">
        <f t="shared" si="63"/>
        <v>#DIV/0!</v>
      </c>
      <c r="IR41" t="e">
        <f t="shared" si="63"/>
        <v>#DIV/0!</v>
      </c>
      <c r="IS41" t="e">
        <f t="shared" si="63"/>
        <v>#DIV/0!</v>
      </c>
      <c r="IT41" t="e">
        <f t="shared" si="63"/>
        <v>#DIV/0!</v>
      </c>
      <c r="IU41" t="e">
        <f t="shared" si="63"/>
        <v>#DIV/0!</v>
      </c>
      <c r="IV41" t="e">
        <f t="shared" si="63"/>
        <v>#DIV/0!</v>
      </c>
      <c r="IW41" t="e">
        <f t="shared" si="63"/>
        <v>#DIV/0!</v>
      </c>
      <c r="IX41" t="e">
        <f t="shared" si="63"/>
        <v>#DIV/0!</v>
      </c>
    </row>
    <row r="46" spans="1:258" x14ac:dyDescent="0.25">
      <c r="A46" s="518" t="s">
        <v>143</v>
      </c>
      <c r="C46" s="17" t="s">
        <v>144</v>
      </c>
    </row>
    <row r="69" spans="260:298" x14ac:dyDescent="0.25">
      <c r="IZ69" s="523" t="s">
        <v>163</v>
      </c>
      <c r="JA69" s="524"/>
      <c r="JB69" s="524"/>
      <c r="JC69" s="524"/>
      <c r="JD69" s="524"/>
      <c r="JE69" s="524"/>
      <c r="JF69" s="524"/>
      <c r="JG69" s="524"/>
      <c r="JH69" s="524"/>
      <c r="JI69" s="524"/>
      <c r="JJ69" s="524"/>
      <c r="JK69" s="524"/>
      <c r="JL69" s="524"/>
      <c r="JM69" s="524"/>
      <c r="JN69" s="524"/>
      <c r="JO69" s="524"/>
      <c r="JP69" s="524"/>
      <c r="JQ69" s="524"/>
      <c r="JR69" s="524"/>
      <c r="JS69" s="524"/>
      <c r="JT69" s="524"/>
      <c r="JU69" s="524"/>
      <c r="JV69" s="524"/>
      <c r="JW69" s="524"/>
      <c r="JX69" s="524"/>
      <c r="JY69" s="524"/>
      <c r="JZ69" s="524"/>
      <c r="KA69" s="524"/>
      <c r="KB69" s="524"/>
      <c r="KC69" s="524"/>
      <c r="KD69" s="524"/>
      <c r="KE69" s="524"/>
      <c r="KF69" s="524"/>
      <c r="KG69" s="524"/>
      <c r="KH69" s="524"/>
      <c r="KI69" s="524"/>
      <c r="KJ69" s="524"/>
      <c r="KK69" s="524"/>
      <c r="KL69" s="523" t="s">
        <v>164</v>
      </c>
    </row>
    <row r="70" spans="260:298" x14ac:dyDescent="0.25">
      <c r="IZ70" s="524"/>
      <c r="JA70" s="524"/>
      <c r="JB70" s="524"/>
      <c r="JC70" s="524"/>
      <c r="JD70" s="524"/>
      <c r="JE70" s="524"/>
      <c r="JF70" s="524"/>
      <c r="JG70" s="524"/>
      <c r="JH70" s="524"/>
      <c r="JI70" s="524"/>
      <c r="JJ70" s="524"/>
      <c r="JK70" s="524"/>
      <c r="JL70" s="524"/>
      <c r="JM70" s="524"/>
      <c r="JN70" s="524"/>
      <c r="JO70" s="524"/>
      <c r="JP70" s="524"/>
      <c r="JQ70" s="524"/>
      <c r="JR70" s="524"/>
      <c r="JS70" s="524"/>
      <c r="JT70" s="524"/>
      <c r="JU70" s="524"/>
      <c r="JV70" s="524"/>
      <c r="JW70" s="524"/>
      <c r="JX70" s="524"/>
      <c r="JY70" s="524"/>
      <c r="JZ70" s="524"/>
      <c r="KA70" s="524"/>
      <c r="KB70" s="524"/>
      <c r="KC70" s="524"/>
      <c r="KD70" s="524"/>
      <c r="KE70" s="524"/>
      <c r="KF70" s="524"/>
      <c r="KG70" s="524"/>
      <c r="KH70" s="524"/>
      <c r="KI70" s="524"/>
      <c r="KJ70" s="524"/>
      <c r="KK70" s="524"/>
      <c r="KL70" s="524"/>
    </row>
    <row r="71" spans="260:298" x14ac:dyDescent="0.25">
      <c r="IZ71" s="523" t="s">
        <v>165</v>
      </c>
      <c r="JA71" s="524"/>
      <c r="JB71" s="524"/>
      <c r="JC71" s="524"/>
      <c r="JD71" s="524"/>
      <c r="JE71" s="524"/>
      <c r="JF71" s="524"/>
      <c r="JG71" s="524"/>
      <c r="JH71" s="524"/>
      <c r="JI71" s="524"/>
      <c r="JJ71" s="524"/>
      <c r="JK71" s="524"/>
      <c r="JL71" s="524"/>
      <c r="JM71" s="524"/>
      <c r="JN71" s="524"/>
      <c r="JO71" s="524"/>
      <c r="JP71" s="524"/>
      <c r="JQ71" s="524"/>
      <c r="JR71" s="524"/>
      <c r="JS71" s="524"/>
      <c r="JT71" s="524"/>
      <c r="JU71" s="524"/>
      <c r="JV71" s="524"/>
      <c r="JW71" s="524"/>
      <c r="JX71" s="524"/>
      <c r="JY71" s="524"/>
      <c r="JZ71" s="524"/>
      <c r="KA71" s="524"/>
      <c r="KB71" s="524"/>
      <c r="KC71" s="524"/>
      <c r="KD71" s="524"/>
      <c r="KE71" s="524"/>
      <c r="KF71" s="524"/>
      <c r="KG71" s="524"/>
      <c r="KH71" s="524"/>
      <c r="KI71" s="524"/>
      <c r="KJ71" s="524"/>
      <c r="KK71" s="524"/>
      <c r="KL71" s="523" t="s">
        <v>166</v>
      </c>
    </row>
    <row r="72" spans="260:298" x14ac:dyDescent="0.25">
      <c r="IZ72" s="524"/>
      <c r="JA72" s="524"/>
      <c r="JB72" s="524"/>
      <c r="JC72" s="524"/>
      <c r="JD72" s="524"/>
      <c r="JE72" s="524"/>
      <c r="JF72" s="524"/>
      <c r="JG72" s="524"/>
      <c r="JH72" s="524"/>
      <c r="JI72" s="524"/>
      <c r="JJ72" s="524"/>
      <c r="JK72" s="524"/>
      <c r="JL72" s="524"/>
      <c r="JM72" s="524"/>
      <c r="JN72" s="524"/>
      <c r="JO72" s="524"/>
      <c r="JP72" s="524"/>
      <c r="JQ72" s="524"/>
      <c r="JR72" s="524"/>
      <c r="JS72" s="524"/>
      <c r="JT72" s="524"/>
      <c r="JU72" s="524"/>
      <c r="JV72" s="524"/>
      <c r="JW72" s="524"/>
      <c r="JX72" s="524"/>
      <c r="JY72" s="524"/>
      <c r="JZ72" s="524"/>
      <c r="KA72" s="524"/>
      <c r="KB72" s="524"/>
      <c r="KC72" s="524"/>
      <c r="KD72" s="524"/>
      <c r="KE72" s="524"/>
      <c r="KF72" s="524"/>
      <c r="KG72" s="524"/>
      <c r="KH72" s="524"/>
      <c r="KI72" s="524"/>
      <c r="KJ72" s="524"/>
      <c r="KK72" s="524"/>
      <c r="KL72" s="524"/>
    </row>
    <row r="73" spans="260:298" x14ac:dyDescent="0.25">
      <c r="IZ73" s="523" t="s">
        <v>167</v>
      </c>
      <c r="JA73" s="524"/>
      <c r="JB73" s="524"/>
      <c r="JC73" s="524"/>
      <c r="JD73" s="524"/>
      <c r="JE73" s="524"/>
      <c r="JF73" s="524"/>
      <c r="JG73" s="524"/>
      <c r="JH73" s="524"/>
      <c r="JI73" s="524"/>
      <c r="JJ73" s="524"/>
      <c r="JK73" s="524"/>
      <c r="JL73" s="524"/>
      <c r="JM73" s="524"/>
      <c r="JN73" s="524"/>
      <c r="JO73" s="524"/>
      <c r="JP73" s="524"/>
      <c r="JQ73" s="524"/>
      <c r="JR73" s="524"/>
      <c r="JS73" s="524"/>
      <c r="JT73" s="524"/>
      <c r="JU73" s="524"/>
      <c r="JV73" s="524"/>
      <c r="JW73" s="524"/>
      <c r="JX73" s="524"/>
      <c r="JY73" s="524"/>
      <c r="JZ73" s="524"/>
      <c r="KA73" s="524"/>
      <c r="KB73" s="524"/>
      <c r="KC73" s="524"/>
      <c r="KD73" s="524"/>
      <c r="KE73" s="524"/>
      <c r="KF73" s="524"/>
      <c r="KG73" s="524"/>
      <c r="KH73" s="524"/>
      <c r="KI73" s="524"/>
      <c r="KJ73" s="524"/>
      <c r="KK73" s="524"/>
      <c r="KL73" s="523" t="s">
        <v>168</v>
      </c>
    </row>
    <row r="74" spans="260:298" x14ac:dyDescent="0.25">
      <c r="IZ74" s="524"/>
      <c r="JA74" s="524"/>
      <c r="JB74" s="524"/>
      <c r="JC74" s="524"/>
      <c r="JD74" s="524"/>
      <c r="JE74" s="524"/>
      <c r="JF74" s="524"/>
      <c r="JG74" s="524"/>
      <c r="JH74" s="524"/>
      <c r="JI74" s="524"/>
      <c r="JJ74" s="524"/>
      <c r="JK74" s="524"/>
      <c r="JL74" s="524"/>
      <c r="JM74" s="524"/>
      <c r="JN74" s="524"/>
      <c r="JO74" s="524"/>
      <c r="JP74" s="524"/>
      <c r="JQ74" s="524"/>
      <c r="JR74" s="524"/>
      <c r="JS74" s="524"/>
      <c r="JT74" s="524"/>
      <c r="JU74" s="524"/>
      <c r="JV74" s="524"/>
      <c r="JW74" s="524"/>
      <c r="JX74" s="524"/>
      <c r="JY74" s="524"/>
      <c r="JZ74" s="524"/>
      <c r="KA74" s="524"/>
      <c r="KB74" s="524"/>
      <c r="KC74" s="524"/>
      <c r="KD74" s="524"/>
      <c r="KE74" s="524"/>
      <c r="KF74" s="524"/>
      <c r="KG74" s="524"/>
      <c r="KH74" s="524"/>
      <c r="KI74" s="524"/>
      <c r="KJ74" s="524"/>
      <c r="KK74" s="524"/>
      <c r="KL74" s="525"/>
    </row>
    <row r="75" spans="260:298" x14ac:dyDescent="0.25">
      <c r="IZ75" s="523" t="s">
        <v>169</v>
      </c>
      <c r="JA75" s="524"/>
      <c r="JB75" s="524"/>
      <c r="JC75" s="524"/>
      <c r="JD75" s="524"/>
      <c r="JE75" s="524"/>
      <c r="JF75" s="524"/>
      <c r="JG75" s="524"/>
      <c r="JH75" s="524"/>
      <c r="JI75" s="524"/>
      <c r="JJ75" s="524"/>
      <c r="JK75" s="524"/>
      <c r="JL75" s="524"/>
      <c r="JM75" s="524"/>
      <c r="JN75" s="524"/>
      <c r="JO75" s="524"/>
      <c r="JP75" s="524"/>
      <c r="JQ75" s="524"/>
      <c r="JR75" s="524"/>
      <c r="JS75" s="524"/>
      <c r="JT75" s="524"/>
      <c r="JU75" s="524"/>
      <c r="JV75" s="524"/>
      <c r="JW75" s="524"/>
      <c r="JX75" s="524"/>
      <c r="JY75" s="524"/>
      <c r="JZ75" s="524"/>
      <c r="KA75" s="524"/>
      <c r="KB75" s="524"/>
      <c r="KC75" s="524"/>
      <c r="KD75" s="524"/>
      <c r="KE75" s="524"/>
      <c r="KF75" s="524"/>
      <c r="KG75" s="524"/>
      <c r="KH75" s="524"/>
      <c r="KI75" s="524"/>
      <c r="KJ75" s="524"/>
      <c r="KK75" s="524"/>
      <c r="KL75" s="526" t="s">
        <v>149</v>
      </c>
    </row>
    <row r="76" spans="260:298" x14ac:dyDescent="0.25">
      <c r="IZ76" s="524"/>
      <c r="JA76" s="524"/>
      <c r="JB76" s="524"/>
      <c r="JC76" s="524"/>
      <c r="JD76" s="524"/>
      <c r="JE76" s="524"/>
      <c r="JF76" s="524"/>
      <c r="JG76" s="524"/>
      <c r="JH76" s="524"/>
      <c r="JI76" s="524"/>
      <c r="JJ76" s="524"/>
      <c r="JK76" s="524"/>
      <c r="JL76" s="524"/>
      <c r="JM76" s="524"/>
      <c r="JN76" s="524"/>
      <c r="JO76" s="524"/>
      <c r="JP76" s="524"/>
      <c r="JQ76" s="524"/>
      <c r="JR76" s="524"/>
      <c r="JS76" s="524"/>
      <c r="JT76" s="524"/>
      <c r="JU76" s="524"/>
      <c r="JV76" s="524"/>
      <c r="JW76" s="524"/>
      <c r="JX76" s="524"/>
      <c r="JY76" s="524"/>
      <c r="JZ76" s="524"/>
      <c r="KA76" s="524"/>
      <c r="KB76" s="524"/>
      <c r="KC76" s="524"/>
      <c r="KD76" s="524"/>
      <c r="KE76" s="524"/>
      <c r="KF76" s="524"/>
      <c r="KG76" s="524"/>
      <c r="KH76" s="524"/>
      <c r="KI76" s="524"/>
      <c r="KJ76" s="524"/>
      <c r="KK76" s="524"/>
      <c r="KL76" s="526" t="s">
        <v>150</v>
      </c>
    </row>
    <row r="77" spans="260:298" x14ac:dyDescent="0.25">
      <c r="IZ77" s="523" t="s">
        <v>170</v>
      </c>
      <c r="JA77" s="524"/>
      <c r="JB77" s="524"/>
      <c r="JC77" s="524"/>
      <c r="JD77" s="524"/>
      <c r="JE77" s="524"/>
      <c r="JF77" s="524"/>
      <c r="JG77" s="524"/>
      <c r="JH77" s="524"/>
      <c r="JI77" s="524"/>
      <c r="JJ77" s="524"/>
      <c r="JK77" s="524"/>
      <c r="JL77" s="524"/>
      <c r="JM77" s="524"/>
      <c r="JN77" s="524"/>
      <c r="JO77" s="524"/>
      <c r="JP77" s="524"/>
      <c r="JQ77" s="524"/>
      <c r="JR77" s="524"/>
      <c r="JS77" s="524"/>
      <c r="JT77" s="524"/>
      <c r="JU77" s="524"/>
      <c r="JV77" s="524"/>
      <c r="JW77" s="524"/>
      <c r="JX77" s="524"/>
      <c r="JY77" s="524"/>
      <c r="JZ77" s="524"/>
      <c r="KA77" s="524"/>
      <c r="KB77" s="524"/>
      <c r="KC77" s="524"/>
      <c r="KD77" s="524"/>
      <c r="KE77" s="524"/>
      <c r="KF77" s="524"/>
      <c r="KG77" s="524"/>
      <c r="KH77" s="524"/>
      <c r="KI77" s="524"/>
      <c r="KJ77" s="524"/>
      <c r="KK77" s="524"/>
      <c r="KL77" s="524"/>
    </row>
    <row r="78" spans="260:298" x14ac:dyDescent="0.25">
      <c r="IZ78" s="524"/>
      <c r="JA78" s="524"/>
      <c r="JB78" s="524"/>
      <c r="JC78" s="524"/>
      <c r="JD78" s="524"/>
      <c r="JE78" s="524"/>
      <c r="JF78" s="524"/>
      <c r="JG78" s="524"/>
      <c r="JH78" s="524"/>
      <c r="JI78" s="524"/>
      <c r="JJ78" s="524"/>
      <c r="JK78" s="524"/>
      <c r="JL78" s="524"/>
      <c r="JM78" s="524"/>
      <c r="JN78" s="524"/>
      <c r="JO78" s="524"/>
      <c r="JP78" s="524"/>
      <c r="JQ78" s="524"/>
      <c r="JR78" s="524"/>
      <c r="JS78" s="524"/>
      <c r="JT78" s="524"/>
      <c r="JU78" s="524"/>
      <c r="JV78" s="524"/>
      <c r="JW78" s="524"/>
      <c r="JX78" s="524"/>
      <c r="JY78" s="524"/>
      <c r="JZ78" s="524"/>
      <c r="KA78" s="524"/>
      <c r="KB78" s="524"/>
      <c r="KC78" s="524"/>
      <c r="KD78" s="524"/>
      <c r="KE78" s="524"/>
      <c r="KF78" s="524"/>
      <c r="KG78" s="524"/>
      <c r="KH78" s="524"/>
      <c r="KI78" s="524"/>
      <c r="KJ78" s="524"/>
      <c r="KK78" s="524"/>
      <c r="KL78" s="523" t="s">
        <v>171</v>
      </c>
    </row>
    <row r="79" spans="260:298" x14ac:dyDescent="0.25">
      <c r="IZ79" s="523" t="s">
        <v>172</v>
      </c>
      <c r="JA79" s="524"/>
      <c r="JB79" s="524"/>
      <c r="JC79" s="524"/>
      <c r="JD79" s="524"/>
      <c r="JE79" s="524"/>
      <c r="JF79" s="524"/>
      <c r="JG79" s="524"/>
      <c r="JH79" s="524"/>
      <c r="JI79" s="524"/>
      <c r="JJ79" s="524"/>
      <c r="JK79" s="524"/>
      <c r="JL79" s="524"/>
      <c r="JM79" s="524"/>
      <c r="JN79" s="524"/>
      <c r="JO79" s="524"/>
      <c r="JP79" s="524"/>
      <c r="JQ79" s="524"/>
      <c r="JR79" s="524"/>
      <c r="JS79" s="524"/>
      <c r="JT79" s="524"/>
      <c r="JU79" s="524"/>
      <c r="JV79" s="524"/>
      <c r="JW79" s="524"/>
      <c r="JX79" s="524"/>
      <c r="JY79" s="524"/>
      <c r="JZ79" s="524"/>
      <c r="KA79" s="524"/>
      <c r="KB79" s="524"/>
      <c r="KC79" s="524"/>
      <c r="KD79" s="524"/>
      <c r="KE79" s="524"/>
      <c r="KF79" s="524"/>
      <c r="KG79" s="524"/>
      <c r="KH79" s="524"/>
      <c r="KI79" s="524"/>
      <c r="KJ79" s="524"/>
      <c r="KK79" s="524"/>
      <c r="KL79" s="527"/>
    </row>
    <row r="80" spans="260:298" x14ac:dyDescent="0.25">
      <c r="IZ80" s="525"/>
      <c r="JA80" s="524"/>
      <c r="JB80" s="524"/>
      <c r="JC80" s="524"/>
      <c r="JD80" s="524"/>
      <c r="JE80" s="524"/>
      <c r="JF80" s="524"/>
      <c r="JG80" s="524"/>
      <c r="JH80" s="524"/>
      <c r="JI80" s="524"/>
      <c r="JJ80" s="524"/>
      <c r="JK80" s="524"/>
      <c r="JL80" s="524"/>
      <c r="JM80" s="524"/>
      <c r="JN80" s="524"/>
      <c r="JO80" s="524"/>
      <c r="JP80" s="524"/>
      <c r="JQ80" s="524"/>
      <c r="JR80" s="524"/>
      <c r="JS80" s="524"/>
      <c r="JT80" s="524"/>
      <c r="JU80" s="524"/>
      <c r="JV80" s="524"/>
      <c r="JW80" s="524"/>
      <c r="JX80" s="524"/>
      <c r="JY80" s="524"/>
      <c r="JZ80" s="524"/>
      <c r="KA80" s="524"/>
      <c r="KB80" s="524"/>
      <c r="KC80" s="524"/>
      <c r="KD80" s="524"/>
      <c r="KE80" s="524"/>
      <c r="KF80" s="524"/>
      <c r="KG80" s="524"/>
      <c r="KH80" s="524"/>
      <c r="KI80" s="524"/>
      <c r="KJ80" s="524"/>
      <c r="KK80" s="524"/>
      <c r="KL80" s="526" t="s">
        <v>151</v>
      </c>
    </row>
    <row r="81" spans="260:298" x14ac:dyDescent="0.25">
      <c r="IZ81" s="528" t="s">
        <v>173</v>
      </c>
      <c r="JA81" s="524"/>
      <c r="JB81" s="524"/>
      <c r="JC81" s="524"/>
      <c r="JD81" s="524"/>
      <c r="JE81" s="524"/>
      <c r="JF81" s="524"/>
      <c r="JG81" s="524"/>
      <c r="JH81" s="524"/>
      <c r="JI81" s="524"/>
      <c r="JJ81" s="524"/>
      <c r="JK81" s="524"/>
      <c r="JL81" s="524"/>
      <c r="JM81" s="524"/>
      <c r="JN81" s="524"/>
      <c r="JO81" s="524"/>
      <c r="JP81" s="524"/>
      <c r="JQ81" s="524"/>
      <c r="JR81" s="524"/>
      <c r="JS81" s="524"/>
      <c r="JT81" s="524"/>
      <c r="JU81" s="524"/>
      <c r="JV81" s="524"/>
      <c r="JW81" s="524"/>
      <c r="JX81" s="524"/>
      <c r="JY81" s="524"/>
      <c r="JZ81" s="524"/>
      <c r="KA81" s="524"/>
      <c r="KB81" s="524"/>
      <c r="KC81" s="524"/>
      <c r="KD81" s="524"/>
      <c r="KE81" s="524"/>
      <c r="KF81" s="524"/>
      <c r="KG81" s="524"/>
      <c r="KH81" s="524"/>
      <c r="KI81" s="524"/>
      <c r="KJ81" s="524"/>
      <c r="KK81" s="524"/>
      <c r="KL81" s="526" t="s">
        <v>152</v>
      </c>
    </row>
    <row r="82" spans="260:298" x14ac:dyDescent="0.25">
      <c r="IZ82" s="528" t="s">
        <v>174</v>
      </c>
      <c r="JA82" s="524"/>
      <c r="JB82" s="524"/>
      <c r="JC82" s="524"/>
      <c r="JD82" s="524"/>
      <c r="JE82" s="524"/>
      <c r="JF82" s="524"/>
      <c r="JG82" s="524"/>
      <c r="JH82" s="524"/>
      <c r="JI82" s="524"/>
      <c r="JJ82" s="524"/>
      <c r="JK82" s="524"/>
      <c r="JL82" s="524"/>
      <c r="JM82" s="524"/>
      <c r="JN82" s="524"/>
      <c r="JO82" s="524"/>
      <c r="JP82" s="524"/>
      <c r="JQ82" s="524"/>
      <c r="JR82" s="524"/>
      <c r="JS82" s="524"/>
      <c r="JT82" s="524"/>
      <c r="JU82" s="524"/>
      <c r="JV82" s="524"/>
      <c r="JW82" s="524"/>
      <c r="JX82" s="524"/>
      <c r="JY82" s="524"/>
      <c r="JZ82" s="524"/>
      <c r="KA82" s="524"/>
      <c r="KB82" s="524"/>
      <c r="KC82" s="524"/>
      <c r="KD82" s="524"/>
      <c r="KE82" s="524"/>
      <c r="KF82" s="524"/>
      <c r="KG82" s="524"/>
      <c r="KH82" s="524"/>
      <c r="KI82" s="524"/>
      <c r="KJ82" s="524"/>
      <c r="KK82" s="524"/>
      <c r="KL82" s="524"/>
    </row>
    <row r="83" spans="260:298" x14ac:dyDescent="0.25">
      <c r="IZ83" s="528" t="s">
        <v>175</v>
      </c>
      <c r="JA83" s="524"/>
      <c r="JB83" s="524"/>
      <c r="JC83" s="524"/>
      <c r="JD83" s="524"/>
      <c r="JE83" s="524"/>
      <c r="JF83" s="524"/>
      <c r="JG83" s="524"/>
      <c r="JH83" s="524"/>
      <c r="JI83" s="524"/>
      <c r="JJ83" s="524"/>
      <c r="JK83" s="524"/>
      <c r="JL83" s="524"/>
      <c r="JM83" s="524"/>
      <c r="JN83" s="524"/>
      <c r="JO83" s="524"/>
      <c r="JP83" s="524"/>
      <c r="JQ83" s="524"/>
      <c r="JR83" s="524"/>
      <c r="JS83" s="524"/>
      <c r="JT83" s="524"/>
      <c r="JU83" s="524"/>
      <c r="JV83" s="524"/>
      <c r="JW83" s="524"/>
      <c r="JX83" s="524"/>
      <c r="JY83" s="524"/>
      <c r="JZ83" s="524"/>
      <c r="KA83" s="524"/>
      <c r="KB83" s="524"/>
      <c r="KC83" s="524"/>
      <c r="KD83" s="524"/>
      <c r="KE83" s="524"/>
      <c r="KF83" s="524"/>
      <c r="KG83" s="524"/>
      <c r="KH83" s="524"/>
      <c r="KI83" s="524"/>
      <c r="KJ83" s="524"/>
      <c r="KK83" s="524"/>
      <c r="KL83" s="523" t="s">
        <v>176</v>
      </c>
    </row>
    <row r="84" spans="260:298" x14ac:dyDescent="0.25">
      <c r="IZ84" s="528" t="s">
        <v>177</v>
      </c>
      <c r="JA84" s="524"/>
      <c r="JB84" s="524"/>
      <c r="JC84" s="524"/>
      <c r="JD84" s="524"/>
      <c r="JE84" s="524"/>
      <c r="JF84" s="524"/>
      <c r="JG84" s="524"/>
      <c r="JH84" s="524"/>
      <c r="JI84" s="524"/>
      <c r="JJ84" s="524"/>
      <c r="JK84" s="524"/>
      <c r="JL84" s="524"/>
      <c r="JM84" s="524"/>
      <c r="JN84" s="524"/>
      <c r="JO84" s="524"/>
      <c r="JP84" s="524"/>
      <c r="JQ84" s="524"/>
      <c r="JR84" s="524"/>
      <c r="JS84" s="524"/>
      <c r="JT84" s="524"/>
      <c r="JU84" s="524"/>
      <c r="JV84" s="524"/>
      <c r="JW84" s="524"/>
      <c r="JX84" s="524"/>
      <c r="JY84" s="524"/>
      <c r="JZ84" s="524"/>
      <c r="KA84" s="524"/>
      <c r="KB84" s="524"/>
      <c r="KC84" s="524"/>
      <c r="KD84" s="524"/>
      <c r="KE84" s="524"/>
      <c r="KF84" s="524"/>
      <c r="KG84" s="524"/>
      <c r="KH84" s="524"/>
      <c r="KI84" s="524"/>
      <c r="KJ84" s="524"/>
      <c r="KK84" s="524"/>
      <c r="KL84" s="527"/>
    </row>
    <row r="85" spans="260:298" x14ac:dyDescent="0.25">
      <c r="IZ85" s="524"/>
      <c r="JA85" s="529"/>
      <c r="JB85" s="524"/>
      <c r="JC85" s="524"/>
      <c r="JD85" s="524"/>
      <c r="JE85" s="524"/>
      <c r="JF85" s="524"/>
      <c r="JG85" s="524"/>
      <c r="JH85" s="524"/>
      <c r="JI85" s="524"/>
      <c r="JJ85" s="524"/>
      <c r="JK85" s="524"/>
      <c r="JL85" s="524"/>
      <c r="JM85" s="524"/>
      <c r="JN85" s="524"/>
      <c r="JO85" s="524"/>
      <c r="JP85" s="524"/>
      <c r="JQ85" s="524"/>
      <c r="JR85" s="524"/>
      <c r="JS85" s="524"/>
      <c r="JT85" s="524"/>
      <c r="JU85" s="524"/>
      <c r="JV85" s="524"/>
      <c r="JW85" s="524"/>
      <c r="JX85" s="524"/>
      <c r="JY85" s="524"/>
      <c r="JZ85" s="524"/>
      <c r="KA85" s="524"/>
      <c r="KB85" s="524"/>
      <c r="KC85" s="524"/>
      <c r="KD85" s="524"/>
      <c r="KE85" s="524"/>
      <c r="KF85" s="524"/>
      <c r="KG85" s="524"/>
      <c r="KH85" s="524"/>
      <c r="KI85" s="524"/>
      <c r="KJ85" s="524"/>
      <c r="KK85" s="524"/>
      <c r="KL85" s="526" t="s">
        <v>153</v>
      </c>
    </row>
    <row r="86" spans="260:298" x14ac:dyDescent="0.25">
      <c r="IZ86" s="524"/>
      <c r="JA86" s="529"/>
      <c r="JB86" s="524"/>
      <c r="JC86" s="524"/>
      <c r="JD86" s="524"/>
      <c r="JE86" s="524"/>
      <c r="JF86" s="524"/>
      <c r="JG86" s="524"/>
      <c r="JH86" s="524"/>
      <c r="JI86" s="524"/>
      <c r="JJ86" s="524"/>
      <c r="JK86" s="524"/>
      <c r="JL86" s="524"/>
      <c r="JM86" s="524"/>
      <c r="JN86" s="524"/>
      <c r="JO86" s="524"/>
      <c r="JP86" s="524"/>
      <c r="JQ86" s="524"/>
      <c r="JR86" s="524"/>
      <c r="JS86" s="524"/>
      <c r="JT86" s="524"/>
      <c r="JU86" s="524"/>
      <c r="JV86" s="524"/>
      <c r="JW86" s="524"/>
      <c r="JX86" s="524"/>
      <c r="JY86" s="524"/>
      <c r="JZ86" s="524"/>
      <c r="KA86" s="524"/>
      <c r="KB86" s="524"/>
      <c r="KC86" s="524"/>
      <c r="KD86" s="524"/>
      <c r="KE86" s="524"/>
      <c r="KF86" s="524"/>
      <c r="KG86" s="524"/>
      <c r="KH86" s="524"/>
      <c r="KI86" s="524"/>
      <c r="KJ86" s="524"/>
      <c r="KK86" s="524"/>
      <c r="KL86" s="526" t="s">
        <v>154</v>
      </c>
    </row>
    <row r="87" spans="260:298" x14ac:dyDescent="0.25">
      <c r="JA87" s="517"/>
    </row>
    <row r="88" spans="260:298" x14ac:dyDescent="0.25">
      <c r="JA88" s="517"/>
      <c r="KL88" s="517"/>
    </row>
    <row r="89" spans="260:298" x14ac:dyDescent="0.25">
      <c r="JA89" s="517"/>
      <c r="KL89" s="517"/>
    </row>
  </sheetData>
  <mergeCells count="7">
    <mergeCell ref="A32:A37"/>
    <mergeCell ref="A24:A29"/>
    <mergeCell ref="B7:IX7"/>
    <mergeCell ref="B9:IX9"/>
    <mergeCell ref="D10:IX10"/>
    <mergeCell ref="A11:A23"/>
    <mergeCell ref="B12:B29"/>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14A44-B047-4912-ABAB-7D722B60C239}">
  <sheetPr codeName="Sheet1">
    <tabColor rgb="FFCC66FF"/>
  </sheetPr>
  <dimension ref="A1:KL89"/>
  <sheetViews>
    <sheetView topLeftCell="CM54" zoomScale="85" zoomScaleNormal="85" workbookViewId="0">
      <selection activeCell="IZ75" sqref="IZ75"/>
    </sheetView>
  </sheetViews>
  <sheetFormatPr defaultRowHeight="15" x14ac:dyDescent="0.25"/>
  <cols>
    <col min="2" max="2" width="2.85546875" bestFit="1" customWidth="1"/>
    <col min="3" max="3" width="48.140625" customWidth="1"/>
    <col min="4" max="4" width="8" hidden="1" customWidth="1"/>
    <col min="5" max="5" width="7.85546875" hidden="1" customWidth="1"/>
    <col min="6" max="6" width="7.5703125" hidden="1" customWidth="1"/>
    <col min="7" max="7" width="8.140625" hidden="1" customWidth="1"/>
    <col min="8" max="8" width="7.85546875" hidden="1" customWidth="1"/>
    <col min="9" max="9" width="7.5703125" hidden="1" customWidth="1"/>
    <col min="10" max="10" width="7.7109375" hidden="1" customWidth="1"/>
    <col min="11" max="11" width="8.140625" hidden="1" customWidth="1"/>
    <col min="12" max="12" width="7.7109375" hidden="1" customWidth="1"/>
    <col min="13" max="13" width="8.5703125" hidden="1" customWidth="1"/>
    <col min="14" max="14" width="7.7109375" hidden="1" customWidth="1"/>
    <col min="15" max="15" width="6.85546875" hidden="1" customWidth="1"/>
    <col min="16" max="16" width="8" hidden="1" customWidth="1"/>
    <col min="17" max="17" width="7.85546875" hidden="1" customWidth="1"/>
    <col min="18" max="18" width="7.7109375" hidden="1" customWidth="1"/>
    <col min="19" max="19" width="8.140625" hidden="1" customWidth="1"/>
    <col min="20" max="20" width="12.140625" hidden="1" customWidth="1"/>
    <col min="21" max="58" width="11.140625" hidden="1" customWidth="1"/>
    <col min="59" max="59" width="11.5703125" hidden="1" customWidth="1"/>
    <col min="60" max="60" width="11.28515625" hidden="1" customWidth="1"/>
    <col min="61" max="61" width="11" hidden="1" customWidth="1"/>
    <col min="62" max="62" width="11.85546875" hidden="1" customWidth="1"/>
    <col min="63" max="63" width="11.5703125" hidden="1" customWidth="1"/>
    <col min="64" max="64" width="11" hidden="1" customWidth="1"/>
    <col min="65" max="65" width="11.28515625" hidden="1" customWidth="1"/>
    <col min="66" max="66" width="11.5703125" hidden="1" customWidth="1"/>
    <col min="67" max="67" width="11" hidden="1" customWidth="1"/>
    <col min="68" max="68" width="11.85546875" hidden="1" customWidth="1"/>
    <col min="69" max="69" width="11" hidden="1" customWidth="1"/>
    <col min="70" max="70" width="10.28515625" hidden="1" customWidth="1"/>
    <col min="71" max="71" width="11.5703125" hidden="1" customWidth="1"/>
    <col min="72" max="72" width="11.28515625" hidden="1" customWidth="1"/>
    <col min="73" max="73" width="11" hidden="1" customWidth="1"/>
    <col min="74" max="74" width="11.85546875" hidden="1" customWidth="1"/>
    <col min="75" max="75" width="11.5703125" hidden="1" customWidth="1"/>
    <col min="76" max="76" width="11" hidden="1" customWidth="1"/>
    <col min="77" max="77" width="11.28515625" hidden="1" customWidth="1"/>
    <col min="78" max="78" width="11.5703125" bestFit="1" customWidth="1"/>
    <col min="79" max="79" width="11" bestFit="1" customWidth="1"/>
    <col min="80" max="80" width="11.85546875" bestFit="1" customWidth="1"/>
    <col min="81" max="81" width="11" bestFit="1" customWidth="1"/>
    <col min="82" max="82" width="10.28515625" bestFit="1" customWidth="1"/>
    <col min="83" max="83" width="11.5703125" bestFit="1" customWidth="1"/>
    <col min="84" max="84" width="11.28515625" bestFit="1" customWidth="1"/>
    <col min="85" max="85" width="11" bestFit="1" customWidth="1"/>
    <col min="86" max="86" width="11.85546875" bestFit="1" customWidth="1"/>
    <col min="87" max="87" width="11.5703125" bestFit="1" customWidth="1"/>
    <col min="88" max="88" width="11" bestFit="1" customWidth="1"/>
    <col min="89" max="89" width="11.28515625" customWidth="1"/>
    <col min="90" max="90" width="11.5703125" bestFit="1" customWidth="1"/>
    <col min="91" max="91" width="11" bestFit="1" customWidth="1"/>
    <col min="92" max="92" width="11.85546875" bestFit="1" customWidth="1"/>
    <col min="93" max="93" width="11" bestFit="1" customWidth="1"/>
    <col min="94" max="94" width="10.28515625" bestFit="1" customWidth="1"/>
    <col min="95" max="95" width="11.5703125" bestFit="1" customWidth="1"/>
    <col min="96" max="96" width="11.28515625" bestFit="1" customWidth="1"/>
    <col min="97" max="97" width="11" customWidth="1"/>
    <col min="98" max="98" width="11.85546875" customWidth="1"/>
    <col min="99" max="99" width="11.5703125" customWidth="1"/>
    <col min="100" max="100" width="11" customWidth="1"/>
    <col min="101" max="101" width="11.28515625" customWidth="1"/>
    <col min="102" max="102" width="11.5703125" customWidth="1"/>
    <col min="103" max="103" width="11" hidden="1" customWidth="1"/>
    <col min="104" max="104" width="11.85546875" hidden="1" customWidth="1"/>
    <col min="105" max="105" width="11" hidden="1" customWidth="1"/>
    <col min="106" max="106" width="10.28515625" hidden="1" customWidth="1"/>
    <col min="107" max="107" width="11.5703125" hidden="1" customWidth="1"/>
    <col min="108" max="108" width="11.28515625" hidden="1" customWidth="1"/>
    <col min="109" max="133" width="5.140625" hidden="1" customWidth="1"/>
    <col min="134" max="134" width="5.42578125" hidden="1" customWidth="1"/>
    <col min="135" max="248" width="5.140625" hidden="1" customWidth="1"/>
    <col min="249" max="257" width="4.5703125" hidden="1" customWidth="1"/>
    <col min="258" max="258" width="8.140625" hidden="1" customWidth="1"/>
  </cols>
  <sheetData>
    <row r="1" spans="1:259" ht="18.75" x14ac:dyDescent="0.3">
      <c r="B1" s="231" t="s">
        <v>298</v>
      </c>
    </row>
    <row r="2" spans="1:259" x14ac:dyDescent="0.25">
      <c r="C2" s="524" t="s">
        <v>302</v>
      </c>
    </row>
    <row r="3" spans="1:259" x14ac:dyDescent="0.25">
      <c r="C3" s="524" t="s">
        <v>299</v>
      </c>
    </row>
    <row r="4" spans="1:259" x14ac:dyDescent="0.25">
      <c r="C4" s="524" t="s">
        <v>300</v>
      </c>
    </row>
    <row r="5" spans="1:259" x14ac:dyDescent="0.25">
      <c r="C5" s="524" t="s">
        <v>301</v>
      </c>
    </row>
    <row r="6" spans="1:259" x14ac:dyDescent="0.25">
      <c r="C6" s="536"/>
    </row>
    <row r="7" spans="1:259" ht="21" x14ac:dyDescent="0.25">
      <c r="B7" s="552" t="s">
        <v>8</v>
      </c>
      <c r="C7" s="552" t="s">
        <v>8</v>
      </c>
      <c r="D7" s="552"/>
      <c r="E7" s="552"/>
      <c r="F7" s="552"/>
      <c r="G7" s="552"/>
      <c r="H7" s="552"/>
      <c r="I7" s="552"/>
      <c r="J7" s="552"/>
      <c r="K7" s="552"/>
      <c r="L7" s="552"/>
      <c r="M7" s="552"/>
      <c r="N7" s="552"/>
      <c r="O7" s="552"/>
      <c r="P7" s="552"/>
      <c r="Q7" s="552"/>
      <c r="R7" s="552"/>
      <c r="S7" s="552"/>
      <c r="T7" s="552"/>
      <c r="U7" s="552"/>
      <c r="V7" s="552"/>
      <c r="W7" s="552"/>
      <c r="X7" s="552"/>
      <c r="Y7" s="552"/>
      <c r="Z7" s="552"/>
      <c r="AA7" s="552"/>
      <c r="AB7" s="552"/>
      <c r="AC7" s="552"/>
      <c r="AD7" s="552"/>
      <c r="AE7" s="552"/>
      <c r="AF7" s="552"/>
      <c r="AG7" s="552"/>
      <c r="AH7" s="552"/>
      <c r="AI7" s="552"/>
      <c r="AJ7" s="552"/>
      <c r="AK7" s="552"/>
      <c r="AL7" s="552"/>
      <c r="AM7" s="552"/>
      <c r="AN7" s="552"/>
      <c r="AO7" s="552"/>
      <c r="AP7" s="552"/>
      <c r="AQ7" s="552"/>
      <c r="AR7" s="552"/>
      <c r="AS7" s="552"/>
      <c r="AT7" s="552"/>
      <c r="AU7" s="552"/>
      <c r="AV7" s="552"/>
      <c r="AW7" s="552"/>
      <c r="AX7" s="552"/>
      <c r="AY7" s="552"/>
      <c r="AZ7" s="552"/>
      <c r="BA7" s="552"/>
      <c r="BB7" s="552"/>
      <c r="BC7" s="552"/>
      <c r="BD7" s="552"/>
      <c r="BE7" s="552"/>
      <c r="BF7" s="552"/>
      <c r="BG7" s="552"/>
      <c r="BH7" s="552"/>
      <c r="BI7" s="552"/>
      <c r="BJ7" s="552"/>
      <c r="BK7" s="552"/>
      <c r="BL7" s="552"/>
      <c r="BM7" s="552"/>
      <c r="BN7" s="552"/>
      <c r="BO7" s="552"/>
      <c r="BP7" s="552"/>
      <c r="BQ7" s="552"/>
      <c r="BR7" s="552"/>
      <c r="BS7" s="552"/>
      <c r="BT7" s="552"/>
      <c r="BU7" s="552"/>
      <c r="BV7" s="552"/>
      <c r="BW7" s="552"/>
      <c r="BX7" s="552"/>
      <c r="BY7" s="552"/>
      <c r="BZ7" s="552"/>
      <c r="CA7" s="552"/>
      <c r="CB7" s="552"/>
      <c r="CC7" s="552"/>
      <c r="CD7" s="552"/>
      <c r="CE7" s="552"/>
      <c r="CF7" s="552"/>
      <c r="CG7" s="552"/>
      <c r="CH7" s="552"/>
      <c r="CI7" s="552"/>
      <c r="CJ7" s="552"/>
      <c r="CK7" s="552"/>
      <c r="CL7" s="552"/>
      <c r="CM7" s="552"/>
      <c r="CN7" s="552"/>
      <c r="CO7" s="552"/>
      <c r="CP7" s="552"/>
      <c r="CQ7" s="552"/>
      <c r="CR7" s="552"/>
      <c r="CS7" s="552"/>
      <c r="CT7" s="552"/>
      <c r="CU7" s="552"/>
      <c r="CV7" s="552"/>
      <c r="CW7" s="552"/>
      <c r="CX7" s="552"/>
      <c r="CY7" s="552"/>
      <c r="CZ7" s="552"/>
      <c r="DA7" s="552"/>
      <c r="DB7" s="552"/>
      <c r="DC7" s="552"/>
      <c r="DD7" s="552"/>
      <c r="DE7" s="552"/>
      <c r="DF7" s="552"/>
      <c r="DG7" s="552"/>
      <c r="DH7" s="552"/>
      <c r="DI7" s="552"/>
      <c r="DJ7" s="552"/>
      <c r="DK7" s="552"/>
      <c r="DL7" s="552"/>
      <c r="DM7" s="552"/>
      <c r="DN7" s="552"/>
      <c r="DO7" s="552"/>
      <c r="DP7" s="552"/>
      <c r="DQ7" s="552"/>
      <c r="DR7" s="552"/>
      <c r="DS7" s="552"/>
      <c r="DT7" s="552"/>
      <c r="DU7" s="552"/>
      <c r="DV7" s="552"/>
      <c r="DW7" s="552"/>
      <c r="DX7" s="552"/>
      <c r="DY7" s="552"/>
      <c r="DZ7" s="552"/>
      <c r="EA7" s="552"/>
      <c r="EB7" s="552"/>
      <c r="EC7" s="552"/>
      <c r="ED7" s="552"/>
      <c r="EE7" s="552"/>
      <c r="EF7" s="552"/>
      <c r="EG7" s="552"/>
      <c r="EH7" s="552"/>
      <c r="EI7" s="552"/>
      <c r="EJ7" s="552"/>
      <c r="EK7" s="552"/>
      <c r="EL7" s="552"/>
      <c r="EM7" s="552"/>
      <c r="EN7" s="552"/>
      <c r="EO7" s="552"/>
      <c r="EP7" s="552"/>
      <c r="EQ7" s="552"/>
      <c r="ER7" s="552"/>
      <c r="ES7" s="552"/>
      <c r="ET7" s="552"/>
      <c r="EU7" s="552"/>
      <c r="EV7" s="552"/>
      <c r="EW7" s="552"/>
      <c r="EX7" s="552"/>
      <c r="EY7" s="552"/>
      <c r="EZ7" s="552"/>
      <c r="FA7" s="552"/>
      <c r="FB7" s="552"/>
      <c r="FC7" s="552"/>
      <c r="FD7" s="552"/>
      <c r="FE7" s="552"/>
      <c r="FF7" s="552"/>
      <c r="FG7" s="552"/>
      <c r="FH7" s="552"/>
      <c r="FI7" s="552"/>
      <c r="FJ7" s="552"/>
      <c r="FK7" s="552"/>
      <c r="FL7" s="552"/>
      <c r="FM7" s="552"/>
      <c r="FN7" s="552"/>
      <c r="FO7" s="552"/>
      <c r="FP7" s="552"/>
      <c r="FQ7" s="552"/>
      <c r="FR7" s="552"/>
      <c r="FS7" s="552"/>
      <c r="FT7" s="552"/>
      <c r="FU7" s="552"/>
      <c r="FV7" s="552"/>
      <c r="FW7" s="552"/>
      <c r="FX7" s="552"/>
      <c r="FY7" s="552"/>
      <c r="FZ7" s="552"/>
      <c r="GA7" s="552"/>
      <c r="GB7" s="552"/>
      <c r="GC7" s="552"/>
      <c r="GD7" s="552"/>
      <c r="GE7" s="552"/>
      <c r="GF7" s="552"/>
      <c r="GG7" s="552"/>
      <c r="GH7" s="552"/>
      <c r="GI7" s="552"/>
      <c r="GJ7" s="552"/>
      <c r="GK7" s="552"/>
      <c r="GL7" s="552"/>
      <c r="GM7" s="552"/>
      <c r="GN7" s="552"/>
      <c r="GO7" s="552"/>
      <c r="GP7" s="552"/>
      <c r="GQ7" s="552"/>
      <c r="GR7" s="552"/>
      <c r="GS7" s="552"/>
      <c r="GT7" s="552"/>
      <c r="GU7" s="552"/>
      <c r="GV7" s="552"/>
      <c r="GW7" s="552"/>
      <c r="GX7" s="552"/>
      <c r="GY7" s="552"/>
      <c r="GZ7" s="552"/>
      <c r="HA7" s="552"/>
      <c r="HB7" s="552"/>
      <c r="HC7" s="552"/>
      <c r="HD7" s="552"/>
      <c r="HE7" s="552"/>
      <c r="HF7" s="552"/>
      <c r="HG7" s="552"/>
      <c r="HH7" s="552"/>
      <c r="HI7" s="552"/>
      <c r="HJ7" s="552"/>
      <c r="HK7" s="552"/>
      <c r="HL7" s="552"/>
      <c r="HM7" s="552"/>
      <c r="HN7" s="552"/>
      <c r="HO7" s="552"/>
      <c r="HP7" s="552"/>
      <c r="HQ7" s="552"/>
      <c r="HR7" s="552"/>
      <c r="HS7" s="552"/>
      <c r="HT7" s="552"/>
      <c r="HU7" s="552"/>
      <c r="HV7" s="552"/>
      <c r="HW7" s="552"/>
      <c r="HX7" s="552"/>
      <c r="HY7" s="552"/>
      <c r="HZ7" s="552"/>
      <c r="IA7" s="552"/>
      <c r="IB7" s="552"/>
      <c r="IC7" s="552"/>
      <c r="ID7" s="552"/>
      <c r="IE7" s="552"/>
      <c r="IF7" s="552"/>
      <c r="IG7" s="552"/>
      <c r="IH7" s="552"/>
      <c r="II7" s="552"/>
      <c r="IJ7" s="552"/>
      <c r="IK7" s="552"/>
      <c r="IL7" s="552"/>
      <c r="IM7" s="552"/>
      <c r="IN7" s="552"/>
      <c r="IO7" s="552" t="s">
        <v>8</v>
      </c>
      <c r="IP7" s="552" t="s">
        <v>8</v>
      </c>
      <c r="IQ7" s="552" t="s">
        <v>8</v>
      </c>
      <c r="IR7" s="552" t="s">
        <v>8</v>
      </c>
      <c r="IS7" s="552" t="s">
        <v>8</v>
      </c>
      <c r="IT7" s="552" t="s">
        <v>8</v>
      </c>
      <c r="IU7" s="552" t="s">
        <v>8</v>
      </c>
      <c r="IV7" s="552" t="s">
        <v>8</v>
      </c>
      <c r="IW7" s="552"/>
      <c r="IX7" s="552" t="s">
        <v>8</v>
      </c>
    </row>
    <row r="8" spans="1:259" ht="15.75" thickBot="1" x14ac:dyDescent="0.3"/>
    <row r="9" spans="1:259" ht="16.5" thickBot="1" x14ac:dyDescent="0.3">
      <c r="B9" s="553" t="s">
        <v>7</v>
      </c>
      <c r="C9" s="554" t="s">
        <v>7</v>
      </c>
      <c r="D9" s="554"/>
      <c r="E9" s="554"/>
      <c r="F9" s="554"/>
      <c r="G9" s="554"/>
      <c r="H9" s="554"/>
      <c r="I9" s="554"/>
      <c r="J9" s="554"/>
      <c r="K9" s="554"/>
      <c r="L9" s="554"/>
      <c r="M9" s="554"/>
      <c r="N9" s="554"/>
      <c r="O9" s="554"/>
      <c r="P9" s="554"/>
      <c r="Q9" s="554"/>
      <c r="R9" s="554"/>
      <c r="S9" s="554"/>
      <c r="T9" s="554"/>
      <c r="U9" s="554"/>
      <c r="V9" s="554"/>
      <c r="W9" s="554"/>
      <c r="X9" s="554"/>
      <c r="Y9" s="554"/>
      <c r="Z9" s="554"/>
      <c r="AA9" s="554"/>
      <c r="AB9" s="554"/>
      <c r="AC9" s="554"/>
      <c r="AD9" s="554"/>
      <c r="AE9" s="554"/>
      <c r="AF9" s="554"/>
      <c r="AG9" s="554"/>
      <c r="AH9" s="554"/>
      <c r="AI9" s="554"/>
      <c r="AJ9" s="554"/>
      <c r="AK9" s="554"/>
      <c r="AL9" s="554"/>
      <c r="AM9" s="554"/>
      <c r="AN9" s="554"/>
      <c r="AO9" s="554"/>
      <c r="AP9" s="554"/>
      <c r="AQ9" s="554"/>
      <c r="AR9" s="554"/>
      <c r="AS9" s="554"/>
      <c r="AT9" s="554"/>
      <c r="AU9" s="554"/>
      <c r="AV9" s="554"/>
      <c r="AW9" s="554"/>
      <c r="AX9" s="554"/>
      <c r="AY9" s="554"/>
      <c r="AZ9" s="554"/>
      <c r="BA9" s="554"/>
      <c r="BB9" s="554"/>
      <c r="BC9" s="554"/>
      <c r="BD9" s="554"/>
      <c r="BE9" s="554"/>
      <c r="BF9" s="554"/>
      <c r="BG9" s="554"/>
      <c r="BH9" s="554"/>
      <c r="BI9" s="554"/>
      <c r="BJ9" s="554"/>
      <c r="BK9" s="554"/>
      <c r="BL9" s="554"/>
      <c r="BM9" s="554"/>
      <c r="BN9" s="554"/>
      <c r="BO9" s="554"/>
      <c r="BP9" s="554"/>
      <c r="BQ9" s="554"/>
      <c r="BR9" s="554"/>
      <c r="BS9" s="554"/>
      <c r="BT9" s="554"/>
      <c r="BU9" s="554"/>
      <c r="BV9" s="554"/>
      <c r="BW9" s="554"/>
      <c r="BX9" s="554"/>
      <c r="BY9" s="554"/>
      <c r="BZ9" s="554"/>
      <c r="CA9" s="554"/>
      <c r="CB9" s="554"/>
      <c r="CC9" s="554"/>
      <c r="CD9" s="554"/>
      <c r="CE9" s="554"/>
      <c r="CF9" s="554"/>
      <c r="CG9" s="554"/>
      <c r="CH9" s="554"/>
      <c r="CI9" s="554"/>
      <c r="CJ9" s="554"/>
      <c r="CK9" s="554"/>
      <c r="CL9" s="554"/>
      <c r="CM9" s="554"/>
      <c r="CN9" s="554"/>
      <c r="CO9" s="554"/>
      <c r="CP9" s="554"/>
      <c r="CQ9" s="554"/>
      <c r="CR9" s="554"/>
      <c r="CS9" s="554"/>
      <c r="CT9" s="554"/>
      <c r="CU9" s="554"/>
      <c r="CV9" s="554"/>
      <c r="CW9" s="554"/>
      <c r="CX9" s="554"/>
      <c r="CY9" s="554"/>
      <c r="CZ9" s="554"/>
      <c r="DA9" s="554"/>
      <c r="DB9" s="554"/>
      <c r="DC9" s="554"/>
      <c r="DD9" s="554"/>
      <c r="DE9" s="554"/>
      <c r="DF9" s="554"/>
      <c r="DG9" s="554"/>
      <c r="DH9" s="554"/>
      <c r="DI9" s="554"/>
      <c r="DJ9" s="554"/>
      <c r="DK9" s="554"/>
      <c r="DL9" s="554"/>
      <c r="DM9" s="554"/>
      <c r="DN9" s="554"/>
      <c r="DO9" s="554"/>
      <c r="DP9" s="554"/>
      <c r="DQ9" s="554"/>
      <c r="DR9" s="554"/>
      <c r="DS9" s="554"/>
      <c r="DT9" s="554"/>
      <c r="DU9" s="554"/>
      <c r="DV9" s="554"/>
      <c r="DW9" s="554"/>
      <c r="DX9" s="554"/>
      <c r="DY9" s="554"/>
      <c r="DZ9" s="554"/>
      <c r="EA9" s="554"/>
      <c r="EB9" s="554"/>
      <c r="EC9" s="554"/>
      <c r="ED9" s="554"/>
      <c r="EE9" s="554"/>
      <c r="EF9" s="554"/>
      <c r="EG9" s="554"/>
      <c r="EH9" s="554"/>
      <c r="EI9" s="554"/>
      <c r="EJ9" s="554"/>
      <c r="EK9" s="554"/>
      <c r="EL9" s="554"/>
      <c r="EM9" s="554"/>
      <c r="EN9" s="554"/>
      <c r="EO9" s="554"/>
      <c r="EP9" s="554"/>
      <c r="EQ9" s="554"/>
      <c r="ER9" s="554"/>
      <c r="ES9" s="554"/>
      <c r="ET9" s="554"/>
      <c r="EU9" s="554"/>
      <c r="EV9" s="554"/>
      <c r="EW9" s="554"/>
      <c r="EX9" s="554"/>
      <c r="EY9" s="554"/>
      <c r="EZ9" s="554"/>
      <c r="FA9" s="554"/>
      <c r="FB9" s="554"/>
      <c r="FC9" s="554"/>
      <c r="FD9" s="554"/>
      <c r="FE9" s="554"/>
      <c r="FF9" s="554"/>
      <c r="FG9" s="554"/>
      <c r="FH9" s="554"/>
      <c r="FI9" s="554"/>
      <c r="FJ9" s="554"/>
      <c r="FK9" s="554"/>
      <c r="FL9" s="554"/>
      <c r="FM9" s="554"/>
      <c r="FN9" s="554"/>
      <c r="FO9" s="554"/>
      <c r="FP9" s="554"/>
      <c r="FQ9" s="554"/>
      <c r="FR9" s="554"/>
      <c r="FS9" s="554"/>
      <c r="FT9" s="554"/>
      <c r="FU9" s="554"/>
      <c r="FV9" s="554"/>
      <c r="FW9" s="554"/>
      <c r="FX9" s="554"/>
      <c r="FY9" s="554"/>
      <c r="FZ9" s="554"/>
      <c r="GA9" s="554"/>
      <c r="GB9" s="554"/>
      <c r="GC9" s="554"/>
      <c r="GD9" s="554"/>
      <c r="GE9" s="554"/>
      <c r="GF9" s="554"/>
      <c r="GG9" s="554"/>
      <c r="GH9" s="554"/>
      <c r="GI9" s="554"/>
      <c r="GJ9" s="554"/>
      <c r="GK9" s="554"/>
      <c r="GL9" s="554"/>
      <c r="GM9" s="554"/>
      <c r="GN9" s="554"/>
      <c r="GO9" s="554"/>
      <c r="GP9" s="554"/>
      <c r="GQ9" s="554"/>
      <c r="GR9" s="554"/>
      <c r="GS9" s="554"/>
      <c r="GT9" s="554"/>
      <c r="GU9" s="554"/>
      <c r="GV9" s="554"/>
      <c r="GW9" s="554"/>
      <c r="GX9" s="554"/>
      <c r="GY9" s="554"/>
      <c r="GZ9" s="554"/>
      <c r="HA9" s="554"/>
      <c r="HB9" s="554"/>
      <c r="HC9" s="554"/>
      <c r="HD9" s="554"/>
      <c r="HE9" s="554"/>
      <c r="HF9" s="554"/>
      <c r="HG9" s="554"/>
      <c r="HH9" s="554"/>
      <c r="HI9" s="554"/>
      <c r="HJ9" s="554"/>
      <c r="HK9" s="554"/>
      <c r="HL9" s="554"/>
      <c r="HM9" s="554"/>
      <c r="HN9" s="554"/>
      <c r="HO9" s="554"/>
      <c r="HP9" s="554"/>
      <c r="HQ9" s="554"/>
      <c r="HR9" s="554"/>
      <c r="HS9" s="554"/>
      <c r="HT9" s="554"/>
      <c r="HU9" s="554"/>
      <c r="HV9" s="554"/>
      <c r="HW9" s="554"/>
      <c r="HX9" s="554"/>
      <c r="HY9" s="554"/>
      <c r="HZ9" s="554"/>
      <c r="IA9" s="554"/>
      <c r="IB9" s="554"/>
      <c r="IC9" s="554"/>
      <c r="ID9" s="554"/>
      <c r="IE9" s="554"/>
      <c r="IF9" s="554"/>
      <c r="IG9" s="554"/>
      <c r="IH9" s="554"/>
      <c r="II9" s="554"/>
      <c r="IJ9" s="554"/>
      <c r="IK9" s="554"/>
      <c r="IL9" s="554"/>
      <c r="IM9" s="554"/>
      <c r="IN9" s="554"/>
      <c r="IO9" s="554" t="s">
        <v>7</v>
      </c>
      <c r="IP9" s="554" t="s">
        <v>7</v>
      </c>
      <c r="IQ9" s="554" t="s">
        <v>7</v>
      </c>
      <c r="IR9" s="554" t="s">
        <v>7</v>
      </c>
      <c r="IS9" s="554" t="s">
        <v>7</v>
      </c>
      <c r="IT9" s="554" t="s">
        <v>7</v>
      </c>
      <c r="IU9" s="554" t="s">
        <v>7</v>
      </c>
      <c r="IV9" s="554" t="s">
        <v>7</v>
      </c>
      <c r="IW9" s="554"/>
      <c r="IX9" s="554" t="s">
        <v>7</v>
      </c>
    </row>
    <row r="10" spans="1:259" ht="16.5" thickBot="1" x14ac:dyDescent="0.3">
      <c r="B10" s="7"/>
      <c r="C10" s="41"/>
      <c r="D10" s="563"/>
      <c r="E10" s="563"/>
      <c r="F10" s="563"/>
      <c r="G10" s="563"/>
      <c r="H10" s="563"/>
      <c r="I10" s="563"/>
      <c r="J10" s="563"/>
      <c r="K10" s="563"/>
      <c r="L10" s="563"/>
      <c r="M10" s="563"/>
      <c r="N10" s="563"/>
      <c r="O10" s="563"/>
      <c r="P10" s="563"/>
      <c r="Q10" s="563"/>
      <c r="R10" s="563"/>
      <c r="S10" s="563"/>
      <c r="T10" s="563"/>
      <c r="U10" s="563"/>
      <c r="V10" s="563"/>
      <c r="W10" s="563"/>
      <c r="X10" s="563"/>
      <c r="Y10" s="563"/>
      <c r="Z10" s="563"/>
      <c r="AA10" s="563"/>
      <c r="AB10" s="563"/>
      <c r="AC10" s="563"/>
      <c r="AD10" s="563"/>
      <c r="AE10" s="563"/>
      <c r="AF10" s="563"/>
      <c r="AG10" s="563"/>
      <c r="AH10" s="563"/>
      <c r="AI10" s="563"/>
      <c r="AJ10" s="563"/>
      <c r="AK10" s="563"/>
      <c r="AL10" s="563"/>
      <c r="AM10" s="563"/>
      <c r="AN10" s="563"/>
      <c r="AO10" s="563"/>
      <c r="AP10" s="563"/>
      <c r="AQ10" s="563"/>
      <c r="AR10" s="563"/>
      <c r="AS10" s="563"/>
      <c r="AT10" s="563"/>
      <c r="AU10" s="563"/>
      <c r="AV10" s="563"/>
      <c r="AW10" s="563"/>
      <c r="AX10" s="563"/>
      <c r="AY10" s="563"/>
      <c r="AZ10" s="563"/>
      <c r="BA10" s="563"/>
      <c r="BB10" s="563"/>
      <c r="BC10" s="563"/>
      <c r="BD10" s="563"/>
      <c r="BE10" s="563"/>
      <c r="BF10" s="563"/>
      <c r="BG10" s="563"/>
      <c r="BH10" s="563"/>
      <c r="BI10" s="563"/>
      <c r="BJ10" s="563"/>
      <c r="BK10" s="563"/>
      <c r="BL10" s="563"/>
      <c r="BM10" s="563"/>
      <c r="BN10" s="563"/>
      <c r="BO10" s="563"/>
      <c r="BP10" s="563"/>
      <c r="BQ10" s="563"/>
      <c r="BR10" s="563"/>
      <c r="BS10" s="563"/>
      <c r="BT10" s="563"/>
      <c r="BU10" s="563"/>
      <c r="BV10" s="563"/>
      <c r="BW10" s="563"/>
      <c r="BX10" s="563"/>
      <c r="BY10" s="563"/>
      <c r="BZ10" s="563"/>
      <c r="CA10" s="563"/>
      <c r="CB10" s="563"/>
      <c r="CC10" s="563"/>
      <c r="CD10" s="563"/>
      <c r="CE10" s="563"/>
      <c r="CF10" s="563"/>
      <c r="CG10" s="563"/>
      <c r="CH10" s="563"/>
      <c r="CI10" s="563"/>
      <c r="CJ10" s="563"/>
      <c r="CK10" s="563"/>
      <c r="CL10" s="563"/>
      <c r="CM10" s="563"/>
      <c r="CN10" s="563"/>
      <c r="CO10" s="563"/>
      <c r="CP10" s="563"/>
      <c r="CQ10" s="563"/>
      <c r="CR10" s="563"/>
      <c r="CS10" s="563"/>
      <c r="CT10" s="563"/>
      <c r="CU10" s="563"/>
      <c r="CV10" s="563"/>
      <c r="CW10" s="563"/>
      <c r="CX10" s="563"/>
      <c r="CY10" s="563"/>
      <c r="CZ10" s="563"/>
      <c r="DA10" s="563"/>
      <c r="DB10" s="563"/>
      <c r="DC10" s="563"/>
      <c r="DD10" s="563"/>
      <c r="DE10" s="563"/>
      <c r="DF10" s="563"/>
      <c r="DG10" s="563"/>
      <c r="DH10" s="563"/>
      <c r="DI10" s="563"/>
      <c r="DJ10" s="563"/>
      <c r="DK10" s="563"/>
      <c r="DL10" s="563"/>
      <c r="DM10" s="563"/>
      <c r="DN10" s="563"/>
      <c r="DO10" s="563"/>
      <c r="DP10" s="563"/>
      <c r="DQ10" s="563"/>
      <c r="DR10" s="563"/>
      <c r="DS10" s="563"/>
      <c r="DT10" s="563"/>
      <c r="DU10" s="563"/>
      <c r="DV10" s="563"/>
      <c r="DW10" s="563"/>
      <c r="DX10" s="563"/>
      <c r="DY10" s="563"/>
      <c r="DZ10" s="563"/>
      <c r="EA10" s="563"/>
      <c r="EB10" s="563"/>
      <c r="EC10" s="563"/>
      <c r="ED10" s="563"/>
      <c r="EE10" s="563"/>
      <c r="EF10" s="563"/>
      <c r="EG10" s="563"/>
      <c r="EH10" s="563"/>
      <c r="EI10" s="563"/>
      <c r="EJ10" s="563"/>
      <c r="EK10" s="563"/>
      <c r="EL10" s="563"/>
      <c r="EM10" s="563"/>
      <c r="EN10" s="563"/>
      <c r="EO10" s="563"/>
      <c r="EP10" s="563"/>
      <c r="EQ10" s="563"/>
      <c r="ER10" s="563"/>
      <c r="ES10" s="563"/>
      <c r="ET10" s="563"/>
      <c r="EU10" s="563"/>
      <c r="EV10" s="563"/>
      <c r="EW10" s="563"/>
      <c r="EX10" s="563"/>
      <c r="EY10" s="563"/>
      <c r="EZ10" s="563"/>
      <c r="FA10" s="563"/>
      <c r="FB10" s="563"/>
      <c r="FC10" s="563"/>
      <c r="FD10" s="563"/>
      <c r="FE10" s="563"/>
      <c r="FF10" s="563"/>
      <c r="FG10" s="563"/>
      <c r="FH10" s="563"/>
      <c r="FI10" s="563"/>
      <c r="FJ10" s="563"/>
      <c r="FK10" s="563"/>
      <c r="FL10" s="563"/>
      <c r="FM10" s="563"/>
      <c r="FN10" s="563"/>
      <c r="FO10" s="563"/>
      <c r="FP10" s="563"/>
      <c r="FQ10" s="563"/>
      <c r="FR10" s="563"/>
      <c r="FS10" s="563"/>
      <c r="FT10" s="563"/>
      <c r="FU10" s="563"/>
      <c r="FV10" s="563"/>
      <c r="FW10" s="563"/>
      <c r="FX10" s="563"/>
      <c r="FY10" s="563"/>
      <c r="FZ10" s="563"/>
      <c r="GA10" s="563"/>
      <c r="GB10" s="563"/>
      <c r="GC10" s="563"/>
      <c r="GD10" s="563"/>
      <c r="GE10" s="563"/>
      <c r="GF10" s="563"/>
      <c r="GG10" s="563"/>
      <c r="GH10" s="563"/>
      <c r="GI10" s="563"/>
      <c r="GJ10" s="563"/>
      <c r="GK10" s="563"/>
      <c r="GL10" s="563"/>
      <c r="GM10" s="563"/>
      <c r="GN10" s="563"/>
      <c r="GO10" s="563"/>
      <c r="GP10" s="563"/>
      <c r="GQ10" s="563"/>
      <c r="GR10" s="563"/>
      <c r="GS10" s="563"/>
      <c r="GT10" s="563"/>
      <c r="GU10" s="563"/>
      <c r="GV10" s="563"/>
      <c r="GW10" s="563"/>
      <c r="GX10" s="563"/>
      <c r="GY10" s="563"/>
      <c r="GZ10" s="563"/>
      <c r="HA10" s="563"/>
      <c r="HB10" s="563"/>
      <c r="HC10" s="563"/>
      <c r="HD10" s="563"/>
      <c r="HE10" s="563"/>
      <c r="HF10" s="563"/>
      <c r="HG10" s="563"/>
      <c r="HH10" s="563"/>
      <c r="HI10" s="563"/>
      <c r="HJ10" s="563"/>
      <c r="HK10" s="563"/>
      <c r="HL10" s="563"/>
      <c r="HM10" s="563"/>
      <c r="HN10" s="563"/>
      <c r="HO10" s="563"/>
      <c r="HP10" s="563"/>
      <c r="HQ10" s="563"/>
      <c r="HR10" s="563"/>
      <c r="HS10" s="563"/>
      <c r="HT10" s="563"/>
      <c r="HU10" s="563"/>
      <c r="HV10" s="563"/>
      <c r="HW10" s="563"/>
      <c r="HX10" s="563"/>
      <c r="HY10" s="563"/>
      <c r="HZ10" s="563"/>
      <c r="IA10" s="563"/>
      <c r="IB10" s="563"/>
      <c r="IC10" s="563"/>
      <c r="ID10" s="563"/>
      <c r="IE10" s="563"/>
      <c r="IF10" s="563"/>
      <c r="IG10" s="563"/>
      <c r="IH10" s="563"/>
      <c r="II10" s="563"/>
      <c r="IJ10" s="563"/>
      <c r="IK10" s="563"/>
      <c r="IL10" s="563"/>
      <c r="IM10" s="563"/>
      <c r="IN10" s="563"/>
      <c r="IO10" s="563" t="s">
        <v>3</v>
      </c>
      <c r="IP10" s="563" t="s">
        <v>3</v>
      </c>
      <c r="IQ10" s="563" t="s">
        <v>3</v>
      </c>
      <c r="IR10" s="563" t="s">
        <v>3</v>
      </c>
      <c r="IS10" s="563" t="s">
        <v>3</v>
      </c>
      <c r="IT10" s="563" t="s">
        <v>3</v>
      </c>
      <c r="IU10" s="563" t="s">
        <v>3</v>
      </c>
      <c r="IV10" s="563" t="s">
        <v>3</v>
      </c>
      <c r="IW10" s="563"/>
      <c r="IX10" s="563" t="s">
        <v>3</v>
      </c>
      <c r="IY10">
        <f>MAX(IY12:IY23)</f>
        <v>107</v>
      </c>
    </row>
    <row r="11" spans="1:259" ht="16.5" customHeight="1" thickBot="1" x14ac:dyDescent="0.3">
      <c r="A11" s="560" t="s">
        <v>19</v>
      </c>
      <c r="B11" s="34"/>
      <c r="C11" s="14">
        <v>45536</v>
      </c>
      <c r="D11" s="50">
        <v>43101</v>
      </c>
      <c r="E11" s="2">
        <v>43132</v>
      </c>
      <c r="F11" s="2">
        <v>43160</v>
      </c>
      <c r="G11" s="2">
        <v>43191</v>
      </c>
      <c r="H11" s="2">
        <v>43221</v>
      </c>
      <c r="I11" s="2">
        <v>43252</v>
      </c>
      <c r="J11" s="2">
        <v>43282</v>
      </c>
      <c r="K11" s="2">
        <v>43313</v>
      </c>
      <c r="L11" s="2">
        <v>43344</v>
      </c>
      <c r="M11" s="2">
        <v>43374</v>
      </c>
      <c r="N11" s="2">
        <v>43405</v>
      </c>
      <c r="O11" s="2">
        <v>43435</v>
      </c>
      <c r="P11" s="2">
        <v>43466</v>
      </c>
      <c r="Q11" s="2">
        <v>43497</v>
      </c>
      <c r="R11" s="2">
        <v>43525</v>
      </c>
      <c r="S11" s="2">
        <v>43556</v>
      </c>
      <c r="T11" s="2">
        <v>43586</v>
      </c>
      <c r="U11" s="2">
        <v>43617</v>
      </c>
      <c r="V11" s="2">
        <v>43647</v>
      </c>
      <c r="W11" s="2">
        <v>43678</v>
      </c>
      <c r="X11" s="2">
        <v>43709</v>
      </c>
      <c r="Y11" s="2">
        <v>43739</v>
      </c>
      <c r="Z11" s="2">
        <v>43770</v>
      </c>
      <c r="AA11" s="2">
        <v>43800</v>
      </c>
      <c r="AB11" s="2">
        <v>43831</v>
      </c>
      <c r="AC11" s="2">
        <v>43862</v>
      </c>
      <c r="AD11" s="2">
        <v>43891</v>
      </c>
      <c r="AE11" s="2">
        <v>43922</v>
      </c>
      <c r="AF11" s="2">
        <v>43952</v>
      </c>
      <c r="AG11" s="2">
        <v>43983</v>
      </c>
      <c r="AH11" s="2">
        <v>44013</v>
      </c>
      <c r="AI11" s="2">
        <v>44044</v>
      </c>
      <c r="AJ11" s="2">
        <v>44075</v>
      </c>
      <c r="AK11" s="2">
        <v>44105</v>
      </c>
      <c r="AL11" s="2">
        <v>44136</v>
      </c>
      <c r="AM11" s="2">
        <v>44166</v>
      </c>
      <c r="AN11" s="2">
        <v>44197</v>
      </c>
      <c r="AO11" s="2">
        <v>44228</v>
      </c>
      <c r="AP11" s="2">
        <v>44256</v>
      </c>
      <c r="AQ11" s="2">
        <v>44287</v>
      </c>
      <c r="AR11" s="2">
        <v>44317</v>
      </c>
      <c r="AS11" s="2">
        <v>44348</v>
      </c>
      <c r="AT11" s="2">
        <v>44378</v>
      </c>
      <c r="AU11" s="2">
        <v>44409</v>
      </c>
      <c r="AV11" s="2">
        <v>44440</v>
      </c>
      <c r="AW11" s="2">
        <v>44470</v>
      </c>
      <c r="AX11" s="2">
        <v>44501</v>
      </c>
      <c r="AY11" s="2">
        <v>44531</v>
      </c>
      <c r="AZ11" s="2">
        <v>44562</v>
      </c>
      <c r="BA11" s="2">
        <v>44593</v>
      </c>
      <c r="BB11" s="2">
        <v>44621</v>
      </c>
      <c r="BC11" s="2">
        <v>44652</v>
      </c>
      <c r="BD11" s="2">
        <v>44682</v>
      </c>
      <c r="BE11" s="2">
        <v>44713</v>
      </c>
      <c r="BF11" s="2">
        <v>44743</v>
      </c>
      <c r="BG11" s="2">
        <v>44774</v>
      </c>
      <c r="BH11" s="2">
        <v>44805</v>
      </c>
      <c r="BI11" s="2">
        <v>44835</v>
      </c>
      <c r="BJ11" s="2">
        <v>44866</v>
      </c>
      <c r="BK11" s="2">
        <v>44896</v>
      </c>
      <c r="BL11" s="2">
        <v>44927</v>
      </c>
      <c r="BM11" s="2">
        <v>44958</v>
      </c>
      <c r="BN11" s="2">
        <v>44986</v>
      </c>
      <c r="BO11" s="2">
        <v>45017</v>
      </c>
      <c r="BP11" s="2">
        <v>45047</v>
      </c>
      <c r="BQ11" s="2">
        <v>45078</v>
      </c>
      <c r="BR11" s="2">
        <v>45108</v>
      </c>
      <c r="BS11" s="2">
        <v>45139</v>
      </c>
      <c r="BT11" s="2">
        <v>45170</v>
      </c>
      <c r="BU11" s="2">
        <v>45200</v>
      </c>
      <c r="BV11" s="2">
        <v>45231</v>
      </c>
      <c r="BW11" s="2">
        <v>45261</v>
      </c>
      <c r="BX11" s="2">
        <v>45292</v>
      </c>
      <c r="BY11" s="2">
        <v>45323</v>
      </c>
      <c r="BZ11" s="2">
        <v>45352</v>
      </c>
      <c r="CA11" s="2">
        <v>45383</v>
      </c>
      <c r="CB11" s="2">
        <v>45413</v>
      </c>
      <c r="CC11" s="2">
        <v>45444</v>
      </c>
      <c r="CD11" s="2">
        <v>45474</v>
      </c>
      <c r="CE11" s="2">
        <v>45505</v>
      </c>
      <c r="CF11" s="2">
        <v>45536</v>
      </c>
      <c r="CG11" s="2">
        <v>45566</v>
      </c>
      <c r="CH11" s="2">
        <v>45597</v>
      </c>
      <c r="CI11" s="2">
        <v>45627</v>
      </c>
      <c r="CJ11" s="2">
        <v>45658</v>
      </c>
      <c r="CK11" s="2">
        <v>45689</v>
      </c>
      <c r="CL11" s="2">
        <v>45717</v>
      </c>
      <c r="CM11" s="2">
        <v>45748</v>
      </c>
      <c r="CN11" s="2">
        <v>45778</v>
      </c>
      <c r="CO11" s="2">
        <v>45809</v>
      </c>
      <c r="CP11" s="2">
        <v>45839</v>
      </c>
      <c r="CQ11" s="2">
        <v>45870</v>
      </c>
      <c r="CR11" s="2">
        <v>45901</v>
      </c>
      <c r="CS11" s="2">
        <v>45931</v>
      </c>
      <c r="CT11" s="2">
        <v>45962</v>
      </c>
      <c r="CU11" s="2">
        <v>45992</v>
      </c>
      <c r="CV11" s="2">
        <v>46023</v>
      </c>
      <c r="CW11" s="2">
        <v>46054</v>
      </c>
      <c r="CX11" s="2">
        <v>46082</v>
      </c>
      <c r="CY11" s="2">
        <v>46113</v>
      </c>
      <c r="CZ11" s="2">
        <v>46143</v>
      </c>
      <c r="DA11" s="2">
        <v>46174</v>
      </c>
      <c r="DB11" s="2">
        <v>46204</v>
      </c>
      <c r="DC11" s="2">
        <v>46235</v>
      </c>
      <c r="DD11" s="31">
        <v>46266</v>
      </c>
      <c r="DE11" s="2"/>
      <c r="DF11" s="2"/>
      <c r="DG11" s="2"/>
      <c r="DH11" s="2"/>
      <c r="DI11" s="2"/>
      <c r="DJ11" s="2"/>
      <c r="DK11" s="2"/>
      <c r="DL11" s="2"/>
      <c r="DM11" s="2"/>
      <c r="DN11" s="2"/>
      <c r="DO11" s="2"/>
      <c r="DP11" s="2"/>
      <c r="DQ11" s="2"/>
      <c r="DR11" s="2"/>
      <c r="DS11" s="2"/>
      <c r="DT11" s="2"/>
      <c r="DU11" s="2"/>
      <c r="DV11" s="2"/>
      <c r="DW11" s="2"/>
      <c r="DX11" s="2"/>
      <c r="DY11" s="2"/>
      <c r="DZ11" s="2"/>
      <c r="EA11" s="2"/>
      <c r="EB11" s="2"/>
      <c r="EC11" s="31"/>
      <c r="ED11" s="2"/>
      <c r="EE11" s="2"/>
      <c r="EF11" s="2"/>
      <c r="EG11" s="2"/>
      <c r="EH11" s="2"/>
      <c r="EI11" s="2"/>
      <c r="EJ11" s="2"/>
      <c r="EK11" s="2"/>
      <c r="EL11" s="2"/>
      <c r="EM11" s="2"/>
      <c r="EN11" s="2"/>
      <c r="EO11" s="2"/>
      <c r="EP11" s="2"/>
      <c r="EQ11" s="2"/>
      <c r="ER11" s="2"/>
      <c r="ES11" s="2"/>
      <c r="ET11" s="2"/>
      <c r="EU11" s="2"/>
      <c r="EV11" s="2"/>
      <c r="EW11" s="2"/>
      <c r="EX11" s="2"/>
      <c r="EY11" s="2"/>
      <c r="EZ11" s="2"/>
      <c r="FA11" s="2"/>
      <c r="FB11" s="2"/>
      <c r="FC11" s="2"/>
      <c r="FD11" s="2"/>
      <c r="FE11" s="2"/>
      <c r="FF11" s="2"/>
      <c r="FG11" s="2"/>
      <c r="FH11" s="2"/>
      <c r="FI11" s="2"/>
      <c r="FJ11" s="2"/>
      <c r="FK11" s="2"/>
      <c r="FL11" s="31"/>
      <c r="FM11" s="2"/>
      <c r="FN11" s="2"/>
      <c r="FO11" s="2"/>
      <c r="FP11" s="2"/>
      <c r="FQ11" s="2"/>
      <c r="FR11" s="2"/>
      <c r="FS11" s="2"/>
      <c r="FT11" s="2"/>
      <c r="FU11" s="2"/>
      <c r="FV11" s="2"/>
      <c r="FW11" s="2"/>
      <c r="FX11" s="2"/>
      <c r="FY11" s="2"/>
      <c r="FZ11" s="2"/>
      <c r="GA11" s="2"/>
      <c r="GB11" s="2"/>
      <c r="GC11" s="2"/>
      <c r="GD11" s="2"/>
      <c r="GE11" s="2"/>
      <c r="GF11" s="2"/>
      <c r="GG11" s="2"/>
      <c r="GH11" s="2"/>
      <c r="GI11" s="2"/>
      <c r="GJ11" s="2"/>
      <c r="GK11" s="2"/>
      <c r="GL11" s="2"/>
      <c r="GM11" s="2"/>
      <c r="GN11" s="2"/>
      <c r="GO11" s="2"/>
      <c r="GP11" s="2"/>
      <c r="GQ11" s="2"/>
      <c r="GR11" s="2"/>
      <c r="GS11" s="2"/>
      <c r="GT11" s="2"/>
      <c r="GU11" s="2"/>
      <c r="GV11" s="2"/>
      <c r="GW11" s="2"/>
      <c r="GX11" s="2"/>
      <c r="GY11" s="2"/>
      <c r="GZ11" s="2"/>
      <c r="HA11" s="2"/>
      <c r="HB11" s="2"/>
      <c r="HC11" s="2"/>
      <c r="HD11" s="2"/>
      <c r="HE11" s="2"/>
      <c r="HF11" s="2"/>
      <c r="HG11" s="2"/>
      <c r="HH11" s="2"/>
      <c r="HI11" s="2"/>
      <c r="HJ11" s="2"/>
      <c r="HK11" s="2"/>
      <c r="HL11" s="2"/>
      <c r="HM11" s="2"/>
      <c r="HN11" s="2"/>
      <c r="HO11" s="2"/>
      <c r="HP11" s="2"/>
      <c r="HQ11" s="2"/>
      <c r="HR11" s="2"/>
      <c r="HS11" s="2"/>
      <c r="HT11" s="2"/>
      <c r="HU11" s="2"/>
      <c r="HV11" s="2"/>
      <c r="HW11" s="2"/>
      <c r="HX11" s="2"/>
      <c r="HY11" s="2"/>
      <c r="HZ11" s="2"/>
      <c r="IA11" s="2"/>
      <c r="IB11" s="2"/>
      <c r="IC11" s="2"/>
      <c r="ID11" s="2"/>
      <c r="IE11" s="2"/>
      <c r="IF11" s="2"/>
      <c r="IG11" s="2"/>
      <c r="IH11" s="2"/>
      <c r="II11" s="2"/>
      <c r="IJ11" s="2"/>
      <c r="IK11" s="2"/>
      <c r="IL11" s="2"/>
      <c r="IM11" s="2"/>
      <c r="IN11" s="2"/>
      <c r="IO11" s="2"/>
      <c r="IP11" s="2"/>
      <c r="IQ11" s="2"/>
      <c r="IR11" s="2"/>
      <c r="IS11" s="2"/>
      <c r="IT11" s="2"/>
      <c r="IU11" s="2"/>
      <c r="IV11" s="2"/>
      <c r="IW11" s="2"/>
      <c r="IX11" s="31"/>
      <c r="IY11" t="s">
        <v>18</v>
      </c>
    </row>
    <row r="12" spans="1:259" ht="15" customHeight="1" x14ac:dyDescent="0.25">
      <c r="A12" s="561"/>
      <c r="B12" s="218"/>
      <c r="C12" s="9" t="s">
        <v>22</v>
      </c>
      <c r="D12" s="5">
        <v>1</v>
      </c>
      <c r="E12" s="5">
        <v>0</v>
      </c>
      <c r="F12" s="5">
        <v>0</v>
      </c>
      <c r="G12" s="5">
        <v>1</v>
      </c>
      <c r="H12" s="5">
        <v>0</v>
      </c>
      <c r="I12" s="5">
        <v>0</v>
      </c>
      <c r="J12" s="5">
        <v>2</v>
      </c>
      <c r="K12" s="5">
        <v>3</v>
      </c>
      <c r="L12" s="5">
        <v>2</v>
      </c>
      <c r="M12" s="5">
        <v>1</v>
      </c>
      <c r="N12" s="5">
        <v>3</v>
      </c>
      <c r="O12" s="5">
        <v>3</v>
      </c>
      <c r="P12" s="5">
        <v>2</v>
      </c>
      <c r="Q12" s="5">
        <v>2</v>
      </c>
      <c r="R12" s="5">
        <v>5</v>
      </c>
      <c r="S12" s="5">
        <v>10</v>
      </c>
      <c r="T12" s="5">
        <v>4</v>
      </c>
      <c r="U12" s="5">
        <v>2</v>
      </c>
      <c r="V12" s="5">
        <v>3</v>
      </c>
      <c r="W12" s="5">
        <v>1</v>
      </c>
      <c r="X12" s="5">
        <v>3</v>
      </c>
      <c r="Y12" s="5">
        <v>10</v>
      </c>
      <c r="Z12" s="5">
        <v>9</v>
      </c>
      <c r="AA12" s="5">
        <v>8</v>
      </c>
      <c r="AB12" s="5">
        <v>11</v>
      </c>
      <c r="AC12" s="5">
        <v>19</v>
      </c>
      <c r="AD12" s="5">
        <v>13</v>
      </c>
      <c r="AE12" s="5">
        <v>6</v>
      </c>
      <c r="AF12" s="5">
        <v>7</v>
      </c>
      <c r="AG12" s="5">
        <v>2</v>
      </c>
      <c r="AH12" s="5">
        <v>0</v>
      </c>
      <c r="AI12" s="5">
        <v>0</v>
      </c>
      <c r="AJ12" s="5">
        <v>4</v>
      </c>
      <c r="AK12" s="5">
        <v>11</v>
      </c>
      <c r="AL12" s="5">
        <v>5</v>
      </c>
      <c r="AM12" s="5">
        <v>19</v>
      </c>
      <c r="AN12" s="5">
        <v>24</v>
      </c>
      <c r="AO12" s="5">
        <v>34</v>
      </c>
      <c r="AP12" s="5">
        <v>26</v>
      </c>
      <c r="AQ12" s="5">
        <v>19</v>
      </c>
      <c r="AR12" s="5">
        <v>21</v>
      </c>
      <c r="AS12" s="5">
        <v>60</v>
      </c>
      <c r="AT12" s="5">
        <v>29</v>
      </c>
      <c r="AU12" s="5">
        <v>18</v>
      </c>
      <c r="AV12" s="5">
        <v>28</v>
      </c>
      <c r="AW12" s="5">
        <v>38</v>
      </c>
      <c r="AX12" s="5">
        <v>33</v>
      </c>
      <c r="AY12" s="5">
        <v>50</v>
      </c>
      <c r="AZ12" s="5">
        <v>34</v>
      </c>
      <c r="BA12" s="5">
        <v>30</v>
      </c>
      <c r="BB12" s="5">
        <v>74</v>
      </c>
      <c r="BC12" s="5">
        <v>65</v>
      </c>
      <c r="BD12" s="5">
        <v>59</v>
      </c>
      <c r="BE12" s="5">
        <v>57</v>
      </c>
      <c r="BF12" s="5">
        <v>47</v>
      </c>
      <c r="BG12" s="5">
        <v>58</v>
      </c>
      <c r="BH12" s="5">
        <v>63</v>
      </c>
      <c r="BI12" s="5">
        <v>69</v>
      </c>
      <c r="BJ12" s="5">
        <v>50</v>
      </c>
      <c r="BK12" s="5">
        <v>49</v>
      </c>
      <c r="BL12" s="5">
        <v>58</v>
      </c>
      <c r="BM12" s="5">
        <v>44</v>
      </c>
      <c r="BN12" s="5">
        <v>52</v>
      </c>
      <c r="BO12" s="5">
        <v>13</v>
      </c>
      <c r="BP12" s="5">
        <v>34</v>
      </c>
      <c r="BQ12" s="5">
        <v>34</v>
      </c>
      <c r="BR12" s="5">
        <v>41</v>
      </c>
      <c r="BS12" s="5">
        <v>30</v>
      </c>
      <c r="BT12" s="5">
        <v>43</v>
      </c>
      <c r="BU12" s="5">
        <v>57</v>
      </c>
      <c r="BV12" s="5">
        <v>60</v>
      </c>
      <c r="BW12" s="5">
        <v>31</v>
      </c>
      <c r="BX12" s="5">
        <v>28</v>
      </c>
      <c r="BY12" s="5">
        <v>36</v>
      </c>
      <c r="BZ12" s="5">
        <v>75</v>
      </c>
      <c r="CA12" s="5">
        <v>47</v>
      </c>
      <c r="CB12" s="5">
        <v>46</v>
      </c>
      <c r="CC12" s="5">
        <v>89</v>
      </c>
      <c r="CD12" s="5">
        <v>81</v>
      </c>
      <c r="CE12" s="5">
        <v>90</v>
      </c>
      <c r="CF12" s="5">
        <v>39</v>
      </c>
      <c r="CG12" s="5">
        <v>87</v>
      </c>
      <c r="CH12" s="5">
        <v>52</v>
      </c>
      <c r="CI12" s="5">
        <v>52</v>
      </c>
      <c r="CJ12" s="5">
        <v>35</v>
      </c>
      <c r="CK12" s="5">
        <v>10</v>
      </c>
      <c r="CL12" s="5">
        <v>30</v>
      </c>
      <c r="CM12" s="5">
        <v>26</v>
      </c>
      <c r="CN12" s="5">
        <v>8</v>
      </c>
      <c r="CO12" s="5">
        <v>7</v>
      </c>
      <c r="CP12" s="5">
        <v>1</v>
      </c>
      <c r="CQ12" s="5">
        <v>1</v>
      </c>
      <c r="CR12" s="5">
        <v>1</v>
      </c>
      <c r="CS12" s="5">
        <v>1</v>
      </c>
      <c r="CT12" s="5">
        <v>4</v>
      </c>
      <c r="CU12" s="5">
        <v>5</v>
      </c>
      <c r="CV12" s="5">
        <v>1</v>
      </c>
      <c r="CW12" s="5">
        <v>1</v>
      </c>
      <c r="CX12" s="5">
        <v>0</v>
      </c>
      <c r="CY12" s="5">
        <v>0</v>
      </c>
      <c r="CZ12" s="5">
        <v>0</v>
      </c>
      <c r="DA12" s="5">
        <v>0</v>
      </c>
      <c r="DB12" s="5">
        <v>0</v>
      </c>
      <c r="DC12" s="5">
        <v>0</v>
      </c>
      <c r="DD12" s="13">
        <v>0</v>
      </c>
      <c r="DE12" s="42"/>
      <c r="DF12" s="42"/>
      <c r="DG12" s="42"/>
      <c r="DH12" s="42"/>
      <c r="DI12" s="42"/>
      <c r="DJ12" s="42"/>
      <c r="DK12" s="42"/>
      <c r="DL12" s="42"/>
      <c r="DM12" s="42"/>
      <c r="DN12" s="42"/>
      <c r="DO12" s="42"/>
      <c r="DP12" s="42"/>
      <c r="DQ12" s="42"/>
      <c r="DR12" s="42"/>
      <c r="DS12" s="42"/>
      <c r="DT12" s="42"/>
      <c r="DU12" s="42"/>
      <c r="DV12" s="42"/>
      <c r="DW12" s="42"/>
      <c r="DX12" s="42"/>
      <c r="DY12" s="42"/>
      <c r="DZ12" s="42"/>
      <c r="EA12" s="42"/>
      <c r="EB12" s="42"/>
      <c r="EC12" s="43"/>
      <c r="ED12" s="42"/>
      <c r="EE12" s="42"/>
      <c r="EF12" s="42"/>
      <c r="EG12" s="42"/>
      <c r="EH12" s="42"/>
      <c r="EI12" s="42"/>
      <c r="EJ12" s="42"/>
      <c r="EK12" s="42"/>
      <c r="EL12" s="42"/>
      <c r="EM12" s="42"/>
      <c r="EN12" s="42"/>
      <c r="EO12" s="42"/>
      <c r="EP12" s="42"/>
      <c r="EQ12" s="42"/>
      <c r="ER12" s="42"/>
      <c r="ES12" s="42"/>
      <c r="ET12" s="42"/>
      <c r="EU12" s="42"/>
      <c r="EV12" s="42"/>
      <c r="EW12" s="42"/>
      <c r="EX12" s="42"/>
      <c r="EY12" s="42"/>
      <c r="EZ12" s="42"/>
      <c r="FA12" s="42"/>
      <c r="FB12" s="42"/>
      <c r="FC12" s="42"/>
      <c r="FD12" s="42"/>
      <c r="FE12" s="42"/>
      <c r="FF12" s="42"/>
      <c r="FG12" s="42"/>
      <c r="FH12" s="42"/>
      <c r="FI12" s="42"/>
      <c r="FJ12" s="42"/>
      <c r="FK12" s="42"/>
      <c r="FL12" s="43"/>
      <c r="FM12" s="42"/>
      <c r="FN12" s="42"/>
      <c r="FO12" s="42"/>
      <c r="FP12" s="42"/>
      <c r="FQ12" s="42"/>
      <c r="FR12" s="42"/>
      <c r="FS12" s="42"/>
      <c r="FT12" s="42"/>
      <c r="FU12" s="42"/>
      <c r="FV12" s="42"/>
      <c r="FW12" s="42"/>
      <c r="FX12" s="42"/>
      <c r="FY12" s="42"/>
      <c r="FZ12" s="42"/>
      <c r="GA12" s="42"/>
      <c r="GB12" s="42"/>
      <c r="GC12" s="42"/>
      <c r="GD12" s="42"/>
      <c r="GE12" s="42"/>
      <c r="GF12" s="42"/>
      <c r="GG12" s="42"/>
      <c r="GH12" s="42"/>
      <c r="GI12" s="42"/>
      <c r="GJ12" s="42"/>
      <c r="GK12" s="42"/>
      <c r="GL12" s="42"/>
      <c r="GM12" s="42"/>
      <c r="GN12" s="42"/>
      <c r="GO12" s="42"/>
      <c r="GP12" s="42"/>
      <c r="GQ12" s="42"/>
      <c r="GR12" s="42"/>
      <c r="GS12" s="42"/>
      <c r="GT12" s="42"/>
      <c r="GU12" s="42"/>
      <c r="GV12" s="42"/>
      <c r="GW12" s="42"/>
      <c r="GX12" s="42"/>
      <c r="GY12" s="42"/>
      <c r="GZ12" s="42"/>
      <c r="HA12" s="42"/>
      <c r="HB12" s="42"/>
      <c r="HC12" s="42"/>
      <c r="HD12" s="42"/>
      <c r="HE12" s="42"/>
      <c r="HF12" s="42"/>
      <c r="HG12" s="42"/>
      <c r="HH12" s="42"/>
      <c r="HI12" s="42"/>
      <c r="HJ12" s="42"/>
      <c r="HK12" s="42"/>
      <c r="HL12" s="42"/>
      <c r="HM12" s="42"/>
      <c r="HN12" s="42"/>
      <c r="HO12" s="42"/>
      <c r="HP12" s="42"/>
      <c r="HQ12" s="42"/>
      <c r="HR12" s="42"/>
      <c r="HS12" s="42"/>
      <c r="HT12" s="42"/>
      <c r="HU12" s="42"/>
      <c r="HV12" s="42"/>
      <c r="HW12" s="42"/>
      <c r="HX12" s="42"/>
      <c r="HY12" s="42"/>
      <c r="HZ12" s="42"/>
      <c r="IA12" s="42"/>
      <c r="IB12" s="42"/>
      <c r="IC12" s="42"/>
      <c r="ID12" s="42"/>
      <c r="IE12" s="42"/>
      <c r="IF12" s="42"/>
      <c r="IG12" s="42"/>
      <c r="IH12" s="42"/>
      <c r="II12" s="42"/>
      <c r="IJ12" s="42"/>
      <c r="IK12" s="42"/>
      <c r="IL12" s="42"/>
      <c r="IM12" s="42"/>
      <c r="IN12" s="42"/>
      <c r="IO12" s="42"/>
      <c r="IP12" s="42"/>
      <c r="IQ12" s="42"/>
      <c r="IR12" s="42"/>
      <c r="IS12" s="42"/>
      <c r="IT12" s="42"/>
      <c r="IU12" s="42"/>
      <c r="IV12" s="42"/>
      <c r="IW12" s="42"/>
      <c r="IX12" s="43"/>
      <c r="IY12">
        <f>MAX(BG12:ED12)</f>
        <v>90</v>
      </c>
    </row>
    <row r="13" spans="1:259" ht="15" customHeight="1" x14ac:dyDescent="0.25">
      <c r="A13" s="561"/>
      <c r="B13" s="219"/>
      <c r="C13" s="11" t="s">
        <v>23</v>
      </c>
      <c r="D13" s="4">
        <v>4</v>
      </c>
      <c r="E13" s="3">
        <v>0</v>
      </c>
      <c r="F13" s="3">
        <v>0</v>
      </c>
      <c r="G13" s="4">
        <v>1</v>
      </c>
      <c r="H13" s="3">
        <v>0</v>
      </c>
      <c r="I13" s="3">
        <v>0</v>
      </c>
      <c r="J13" s="4">
        <v>2</v>
      </c>
      <c r="K13" s="4">
        <v>3</v>
      </c>
      <c r="L13" s="4">
        <v>2</v>
      </c>
      <c r="M13" s="4">
        <v>1</v>
      </c>
      <c r="N13" s="4">
        <v>3</v>
      </c>
      <c r="O13" s="4">
        <v>3</v>
      </c>
      <c r="P13" s="4">
        <v>2</v>
      </c>
      <c r="Q13" s="4">
        <v>2</v>
      </c>
      <c r="R13" s="4">
        <v>4</v>
      </c>
      <c r="S13" s="4">
        <v>5</v>
      </c>
      <c r="T13" s="4">
        <v>4</v>
      </c>
      <c r="U13" s="4">
        <v>7</v>
      </c>
      <c r="V13" s="4">
        <v>3</v>
      </c>
      <c r="W13" s="4">
        <v>2</v>
      </c>
      <c r="X13" s="4">
        <v>3</v>
      </c>
      <c r="Y13" s="4">
        <v>7</v>
      </c>
      <c r="Z13" s="4">
        <v>4</v>
      </c>
      <c r="AA13" s="4">
        <v>7</v>
      </c>
      <c r="AB13" s="4">
        <v>9</v>
      </c>
      <c r="AC13" s="4">
        <v>21</v>
      </c>
      <c r="AD13" s="4">
        <v>14</v>
      </c>
      <c r="AE13" s="4">
        <v>3</v>
      </c>
      <c r="AF13" s="4">
        <v>6</v>
      </c>
      <c r="AG13" s="4">
        <v>2</v>
      </c>
      <c r="AH13" s="4">
        <v>1</v>
      </c>
      <c r="AI13" s="3">
        <v>0</v>
      </c>
      <c r="AJ13" s="4">
        <v>4</v>
      </c>
      <c r="AK13" s="4">
        <v>11</v>
      </c>
      <c r="AL13" s="4">
        <v>6</v>
      </c>
      <c r="AM13" s="4">
        <v>24</v>
      </c>
      <c r="AN13" s="4">
        <v>25</v>
      </c>
      <c r="AO13" s="4">
        <v>26</v>
      </c>
      <c r="AP13" s="4">
        <v>24</v>
      </c>
      <c r="AQ13" s="4">
        <v>29</v>
      </c>
      <c r="AR13" s="4">
        <v>24</v>
      </c>
      <c r="AS13" s="4">
        <v>52</v>
      </c>
      <c r="AT13" s="4">
        <v>31</v>
      </c>
      <c r="AU13" s="4">
        <v>18</v>
      </c>
      <c r="AV13" s="4">
        <v>14</v>
      </c>
      <c r="AW13" s="4">
        <v>17</v>
      </c>
      <c r="AX13" s="4">
        <v>29</v>
      </c>
      <c r="AY13" s="4">
        <v>37</v>
      </c>
      <c r="AZ13" s="4">
        <v>35</v>
      </c>
      <c r="BA13" s="4">
        <v>27</v>
      </c>
      <c r="BB13" s="4">
        <v>61</v>
      </c>
      <c r="BC13" s="4">
        <v>54</v>
      </c>
      <c r="BD13" s="4">
        <v>39</v>
      </c>
      <c r="BE13" s="4">
        <v>31</v>
      </c>
      <c r="BF13" s="4">
        <v>47</v>
      </c>
      <c r="BG13" s="4">
        <v>43</v>
      </c>
      <c r="BH13" s="4">
        <v>36</v>
      </c>
      <c r="BI13" s="4">
        <v>76</v>
      </c>
      <c r="BJ13" s="4">
        <v>48</v>
      </c>
      <c r="BK13" s="4">
        <v>45</v>
      </c>
      <c r="BL13" s="4">
        <v>42</v>
      </c>
      <c r="BM13" s="4">
        <v>45</v>
      </c>
      <c r="BN13" s="4">
        <v>40</v>
      </c>
      <c r="BO13" s="4">
        <v>43</v>
      </c>
      <c r="BP13" s="4">
        <v>35</v>
      </c>
      <c r="BQ13" s="4">
        <v>27</v>
      </c>
      <c r="BR13" s="4">
        <v>46</v>
      </c>
      <c r="BS13" s="4">
        <v>34</v>
      </c>
      <c r="BT13" s="4">
        <v>34</v>
      </c>
      <c r="BU13" s="4">
        <v>60</v>
      </c>
      <c r="BV13" s="4">
        <v>71</v>
      </c>
      <c r="BW13" s="4">
        <v>34</v>
      </c>
      <c r="BX13" s="4">
        <v>35</v>
      </c>
      <c r="BY13" s="4">
        <v>63</v>
      </c>
      <c r="BZ13" s="4">
        <v>61</v>
      </c>
      <c r="CA13" s="4">
        <v>59</v>
      </c>
      <c r="CB13" s="4">
        <v>40</v>
      </c>
      <c r="CC13" s="4">
        <v>49</v>
      </c>
      <c r="CD13" s="4">
        <v>46</v>
      </c>
      <c r="CE13" s="4">
        <v>35</v>
      </c>
      <c r="CF13" s="4">
        <v>25</v>
      </c>
      <c r="CG13" s="4">
        <v>70</v>
      </c>
      <c r="CH13" s="4">
        <v>63</v>
      </c>
      <c r="CI13" s="4">
        <v>71</v>
      </c>
      <c r="CJ13" s="4">
        <v>80</v>
      </c>
      <c r="CK13" s="4">
        <v>59</v>
      </c>
      <c r="CL13" s="4">
        <v>51</v>
      </c>
      <c r="CM13" s="4">
        <v>69</v>
      </c>
      <c r="CN13" s="4">
        <v>37</v>
      </c>
      <c r="CO13" s="4">
        <v>43</v>
      </c>
      <c r="CP13" s="4">
        <v>18</v>
      </c>
      <c r="CQ13" s="4">
        <v>9</v>
      </c>
      <c r="CR13" s="4">
        <v>1</v>
      </c>
      <c r="CS13" s="4">
        <v>1</v>
      </c>
      <c r="CT13" s="4">
        <v>11</v>
      </c>
      <c r="CU13" s="4">
        <v>12</v>
      </c>
      <c r="CV13" s="4">
        <v>10</v>
      </c>
      <c r="CW13" s="4">
        <v>7</v>
      </c>
      <c r="CX13" s="4">
        <v>21</v>
      </c>
      <c r="CY13" s="4">
        <v>2</v>
      </c>
      <c r="CZ13" s="4">
        <v>3</v>
      </c>
      <c r="DA13" s="4">
        <v>1</v>
      </c>
      <c r="DB13" s="3">
        <v>0</v>
      </c>
      <c r="DC13" s="4">
        <v>1</v>
      </c>
      <c r="DD13" s="51">
        <v>1</v>
      </c>
      <c r="DE13" s="44"/>
      <c r="DF13" s="44"/>
      <c r="DG13" s="44"/>
      <c r="DH13" s="44"/>
      <c r="DI13" s="44"/>
      <c r="DJ13" s="44"/>
      <c r="DK13" s="44"/>
      <c r="DL13" s="44"/>
      <c r="DM13" s="44"/>
      <c r="DN13" s="44"/>
      <c r="DO13" s="44"/>
      <c r="DP13" s="44"/>
      <c r="DQ13" s="44"/>
      <c r="DR13" s="44"/>
      <c r="DS13" s="44"/>
      <c r="DT13" s="44"/>
      <c r="DU13" s="44"/>
      <c r="DV13" s="44"/>
      <c r="DW13" s="44"/>
      <c r="DX13" s="44"/>
      <c r="DY13" s="44"/>
      <c r="DZ13" s="44"/>
      <c r="EA13" s="44"/>
      <c r="EB13" s="44"/>
      <c r="EC13" s="45"/>
      <c r="ED13" s="44"/>
      <c r="EE13" s="44"/>
      <c r="EF13" s="44"/>
      <c r="EG13" s="44"/>
      <c r="EH13" s="44"/>
      <c r="EI13" s="44"/>
      <c r="EJ13" s="44"/>
      <c r="EK13" s="44"/>
      <c r="EL13" s="44"/>
      <c r="EM13" s="44"/>
      <c r="EN13" s="44"/>
      <c r="EO13" s="44"/>
      <c r="EP13" s="44"/>
      <c r="EQ13" s="44"/>
      <c r="ER13" s="44"/>
      <c r="ES13" s="44"/>
      <c r="ET13" s="44"/>
      <c r="EU13" s="44"/>
      <c r="EV13" s="44"/>
      <c r="EW13" s="44"/>
      <c r="EX13" s="44"/>
      <c r="EY13" s="44"/>
      <c r="EZ13" s="44"/>
      <c r="FA13" s="44"/>
      <c r="FB13" s="44"/>
      <c r="FC13" s="44"/>
      <c r="FD13" s="44"/>
      <c r="FE13" s="44"/>
      <c r="FF13" s="44"/>
      <c r="FG13" s="44"/>
      <c r="FH13" s="44"/>
      <c r="FI13" s="44"/>
      <c r="FJ13" s="44"/>
      <c r="FK13" s="44"/>
      <c r="FL13" s="45"/>
      <c r="FM13" s="44"/>
      <c r="FN13" s="44"/>
      <c r="FO13" s="44"/>
      <c r="FP13" s="44"/>
      <c r="FQ13" s="44"/>
      <c r="FR13" s="44"/>
      <c r="FS13" s="44"/>
      <c r="FT13" s="44"/>
      <c r="FU13" s="44"/>
      <c r="FV13" s="44"/>
      <c r="FW13" s="44"/>
      <c r="FX13" s="44"/>
      <c r="FY13" s="44"/>
      <c r="FZ13" s="44"/>
      <c r="GA13" s="44"/>
      <c r="GB13" s="44"/>
      <c r="GC13" s="44"/>
      <c r="GD13" s="44"/>
      <c r="GE13" s="44"/>
      <c r="GF13" s="44"/>
      <c r="GG13" s="44"/>
      <c r="GH13" s="44"/>
      <c r="GI13" s="44"/>
      <c r="GJ13" s="44"/>
      <c r="GK13" s="44"/>
      <c r="GL13" s="44"/>
      <c r="GM13" s="44"/>
      <c r="GN13" s="44"/>
      <c r="GO13" s="44"/>
      <c r="GP13" s="44"/>
      <c r="GQ13" s="44"/>
      <c r="GR13" s="44"/>
      <c r="GS13" s="44"/>
      <c r="GT13" s="44"/>
      <c r="GU13" s="44"/>
      <c r="GV13" s="44"/>
      <c r="GW13" s="44"/>
      <c r="GX13" s="44"/>
      <c r="GY13" s="44"/>
      <c r="GZ13" s="44"/>
      <c r="HA13" s="44"/>
      <c r="HB13" s="44"/>
      <c r="HC13" s="44"/>
      <c r="HD13" s="44"/>
      <c r="HE13" s="44"/>
      <c r="HF13" s="44"/>
      <c r="HG13" s="44"/>
      <c r="HH13" s="44"/>
      <c r="HI13" s="44"/>
      <c r="HJ13" s="44"/>
      <c r="HK13" s="44"/>
      <c r="HL13" s="44"/>
      <c r="HM13" s="44"/>
      <c r="HN13" s="44"/>
      <c r="HO13" s="44"/>
      <c r="HP13" s="44"/>
      <c r="HQ13" s="44"/>
      <c r="HR13" s="44"/>
      <c r="HS13" s="44"/>
      <c r="HT13" s="44"/>
      <c r="HU13" s="44"/>
      <c r="HV13" s="44"/>
      <c r="HW13" s="44"/>
      <c r="HX13" s="44"/>
      <c r="HY13" s="44"/>
      <c r="HZ13" s="44"/>
      <c r="IA13" s="44"/>
      <c r="IB13" s="44"/>
      <c r="IC13" s="44"/>
      <c r="ID13" s="44"/>
      <c r="IE13" s="44"/>
      <c r="IF13" s="44"/>
      <c r="IG13" s="44"/>
      <c r="IH13" s="44"/>
      <c r="II13" s="44"/>
      <c r="IJ13" s="44"/>
      <c r="IK13" s="44"/>
      <c r="IL13" s="44"/>
      <c r="IM13" s="44"/>
      <c r="IN13" s="44"/>
      <c r="IO13" s="44"/>
      <c r="IP13" s="44"/>
      <c r="IQ13" s="44"/>
      <c r="IR13" s="44"/>
      <c r="IS13" s="44"/>
      <c r="IT13" s="44"/>
      <c r="IU13" s="44"/>
      <c r="IV13" s="44"/>
      <c r="IW13" s="44"/>
      <c r="IX13" s="45"/>
      <c r="IY13">
        <f t="shared" ref="IY13:IY23" si="0">MAX(BG13:ED13)</f>
        <v>80</v>
      </c>
    </row>
    <row r="14" spans="1:259" x14ac:dyDescent="0.25">
      <c r="A14" s="561"/>
      <c r="B14" s="219"/>
      <c r="C14" s="11" t="s">
        <v>24</v>
      </c>
      <c r="D14" s="1">
        <v>4</v>
      </c>
      <c r="E14" s="1">
        <v>0</v>
      </c>
      <c r="F14" s="1">
        <v>0</v>
      </c>
      <c r="G14" s="1">
        <v>1</v>
      </c>
      <c r="H14" s="1">
        <v>0</v>
      </c>
      <c r="I14" s="1">
        <v>0</v>
      </c>
      <c r="J14" s="1">
        <v>2</v>
      </c>
      <c r="K14" s="1">
        <v>3</v>
      </c>
      <c r="L14" s="1">
        <v>2</v>
      </c>
      <c r="M14" s="1">
        <v>1</v>
      </c>
      <c r="N14" s="1">
        <v>3</v>
      </c>
      <c r="O14" s="1">
        <v>3</v>
      </c>
      <c r="P14" s="1">
        <v>2</v>
      </c>
      <c r="Q14" s="1">
        <v>2</v>
      </c>
      <c r="R14" s="1">
        <v>4</v>
      </c>
      <c r="S14" s="1">
        <v>5</v>
      </c>
      <c r="T14" s="1">
        <v>4</v>
      </c>
      <c r="U14" s="1">
        <v>7</v>
      </c>
      <c r="V14" s="1">
        <v>3</v>
      </c>
      <c r="W14" s="1">
        <v>2</v>
      </c>
      <c r="X14" s="1">
        <v>3</v>
      </c>
      <c r="Y14" s="1">
        <v>7</v>
      </c>
      <c r="Z14" s="1">
        <v>4</v>
      </c>
      <c r="AA14" s="1">
        <v>7</v>
      </c>
      <c r="AB14" s="1">
        <v>9</v>
      </c>
      <c r="AC14" s="1">
        <v>21</v>
      </c>
      <c r="AD14" s="1">
        <v>14</v>
      </c>
      <c r="AE14" s="1">
        <v>3</v>
      </c>
      <c r="AF14" s="1">
        <v>6</v>
      </c>
      <c r="AG14" s="1">
        <v>2</v>
      </c>
      <c r="AH14" s="1">
        <v>1</v>
      </c>
      <c r="AI14" s="1">
        <v>0</v>
      </c>
      <c r="AJ14" s="1">
        <v>4</v>
      </c>
      <c r="AK14" s="1">
        <v>11</v>
      </c>
      <c r="AL14" s="1">
        <v>6</v>
      </c>
      <c r="AM14" s="1">
        <v>24</v>
      </c>
      <c r="AN14" s="1">
        <v>25</v>
      </c>
      <c r="AO14" s="1">
        <v>26</v>
      </c>
      <c r="AP14" s="1">
        <v>24</v>
      </c>
      <c r="AQ14" s="1">
        <v>29</v>
      </c>
      <c r="AR14" s="1">
        <v>24</v>
      </c>
      <c r="AS14" s="1">
        <v>52</v>
      </c>
      <c r="AT14" s="1">
        <v>31</v>
      </c>
      <c r="AU14" s="1">
        <v>18</v>
      </c>
      <c r="AV14" s="1">
        <v>14</v>
      </c>
      <c r="AW14" s="1">
        <v>17</v>
      </c>
      <c r="AX14" s="1">
        <v>29</v>
      </c>
      <c r="AY14" s="1">
        <v>37</v>
      </c>
      <c r="AZ14" s="1">
        <v>35</v>
      </c>
      <c r="BA14" s="1">
        <v>27</v>
      </c>
      <c r="BB14" s="1">
        <v>61</v>
      </c>
      <c r="BC14" s="1">
        <v>54</v>
      </c>
      <c r="BD14" s="1">
        <v>39</v>
      </c>
      <c r="BE14" s="1">
        <v>31</v>
      </c>
      <c r="BF14" s="1">
        <v>47</v>
      </c>
      <c r="BG14" s="1">
        <v>43</v>
      </c>
      <c r="BH14" s="1">
        <v>36</v>
      </c>
      <c r="BI14" s="1">
        <v>76</v>
      </c>
      <c r="BJ14" s="1">
        <v>48</v>
      </c>
      <c r="BK14" s="1">
        <v>45</v>
      </c>
      <c r="BL14" s="1">
        <v>42</v>
      </c>
      <c r="BM14" s="1">
        <v>45</v>
      </c>
      <c r="BN14" s="1">
        <v>40</v>
      </c>
      <c r="BO14" s="1">
        <v>43</v>
      </c>
      <c r="BP14" s="1">
        <v>35</v>
      </c>
      <c r="BQ14" s="1">
        <v>27</v>
      </c>
      <c r="BR14" s="1">
        <v>46</v>
      </c>
      <c r="BS14" s="1">
        <v>34</v>
      </c>
      <c r="BT14" s="1">
        <v>34</v>
      </c>
      <c r="BU14" s="1">
        <v>60</v>
      </c>
      <c r="BV14" s="1">
        <v>71</v>
      </c>
      <c r="BW14" s="1">
        <v>34</v>
      </c>
      <c r="BX14" s="1">
        <v>35</v>
      </c>
      <c r="BY14" s="1">
        <v>63</v>
      </c>
      <c r="BZ14" s="1">
        <v>61</v>
      </c>
      <c r="CA14" s="1">
        <v>59</v>
      </c>
      <c r="CB14" s="1">
        <v>40</v>
      </c>
      <c r="CC14" s="1">
        <v>49</v>
      </c>
      <c r="CD14" s="1">
        <v>46</v>
      </c>
      <c r="CE14" s="1">
        <v>35</v>
      </c>
      <c r="CF14" s="1">
        <v>18</v>
      </c>
      <c r="CG14" s="1">
        <v>0</v>
      </c>
      <c r="CH14" s="1">
        <v>0</v>
      </c>
      <c r="CI14" s="1">
        <v>0</v>
      </c>
      <c r="CJ14" s="1">
        <v>0</v>
      </c>
      <c r="CK14" s="1">
        <v>0</v>
      </c>
      <c r="CL14" s="1">
        <v>0</v>
      </c>
      <c r="CM14" s="1">
        <v>0</v>
      </c>
      <c r="CN14" s="1">
        <v>0</v>
      </c>
      <c r="CO14" s="1">
        <v>0</v>
      </c>
      <c r="CP14" s="1">
        <v>0</v>
      </c>
      <c r="CQ14" s="1">
        <v>0</v>
      </c>
      <c r="CR14" s="1">
        <v>0</v>
      </c>
      <c r="CS14" s="1">
        <v>0</v>
      </c>
      <c r="CT14" s="1">
        <v>0</v>
      </c>
      <c r="CU14" s="1">
        <v>0</v>
      </c>
      <c r="CV14" s="1">
        <v>0</v>
      </c>
      <c r="CW14" s="1">
        <v>0</v>
      </c>
      <c r="CX14" s="1">
        <v>0</v>
      </c>
      <c r="CY14" s="1">
        <v>0</v>
      </c>
      <c r="CZ14" s="1">
        <v>0</v>
      </c>
      <c r="DA14" s="1">
        <v>0</v>
      </c>
      <c r="DB14" s="1">
        <v>0</v>
      </c>
      <c r="DC14" s="1">
        <v>0</v>
      </c>
      <c r="DD14" s="8">
        <v>0</v>
      </c>
      <c r="DE14" s="46"/>
      <c r="DF14" s="46"/>
      <c r="DG14" s="46"/>
      <c r="DH14" s="46"/>
      <c r="DI14" s="46"/>
      <c r="DJ14" s="46"/>
      <c r="DK14" s="46"/>
      <c r="DL14" s="46"/>
      <c r="DM14" s="46"/>
      <c r="DN14" s="46"/>
      <c r="DO14" s="46"/>
      <c r="DP14" s="46"/>
      <c r="DQ14" s="46"/>
      <c r="DR14" s="46"/>
      <c r="DS14" s="46"/>
      <c r="DT14" s="46"/>
      <c r="DU14" s="46"/>
      <c r="DV14" s="46"/>
      <c r="DW14" s="46"/>
      <c r="DX14" s="46"/>
      <c r="DY14" s="46"/>
      <c r="DZ14" s="46"/>
      <c r="EA14" s="46"/>
      <c r="EB14" s="46"/>
      <c r="EC14" s="47"/>
      <c r="ED14" s="46"/>
      <c r="EE14" s="46"/>
      <c r="EF14" s="46"/>
      <c r="EG14" s="46"/>
      <c r="EH14" s="46"/>
      <c r="EI14" s="46"/>
      <c r="EJ14" s="46"/>
      <c r="EK14" s="46"/>
      <c r="EL14" s="46"/>
      <c r="EM14" s="46"/>
      <c r="EN14" s="46"/>
      <c r="EO14" s="46"/>
      <c r="EP14" s="46"/>
      <c r="EQ14" s="46"/>
      <c r="ER14" s="46"/>
      <c r="ES14" s="46"/>
      <c r="ET14" s="46"/>
      <c r="EU14" s="46"/>
      <c r="EV14" s="46"/>
      <c r="EW14" s="46"/>
      <c r="EX14" s="46"/>
      <c r="EY14" s="46"/>
      <c r="EZ14" s="46"/>
      <c r="FA14" s="46"/>
      <c r="FB14" s="46"/>
      <c r="FC14" s="46"/>
      <c r="FD14" s="46"/>
      <c r="FE14" s="46"/>
      <c r="FF14" s="46"/>
      <c r="FG14" s="46"/>
      <c r="FH14" s="46"/>
      <c r="FI14" s="46"/>
      <c r="FJ14" s="46"/>
      <c r="FK14" s="46"/>
      <c r="FL14" s="47"/>
      <c r="FM14" s="46"/>
      <c r="FN14" s="46"/>
      <c r="FO14" s="46"/>
      <c r="FP14" s="46"/>
      <c r="FQ14" s="46"/>
      <c r="FR14" s="46"/>
      <c r="FS14" s="46"/>
      <c r="FT14" s="46"/>
      <c r="FU14" s="46"/>
      <c r="FV14" s="46"/>
      <c r="FW14" s="46"/>
      <c r="FX14" s="46"/>
      <c r="FY14" s="46"/>
      <c r="FZ14" s="46"/>
      <c r="GA14" s="46"/>
      <c r="GB14" s="46"/>
      <c r="GC14" s="46"/>
      <c r="GD14" s="46"/>
      <c r="GE14" s="46"/>
      <c r="GF14" s="46"/>
      <c r="GG14" s="46"/>
      <c r="GH14" s="46"/>
      <c r="GI14" s="46"/>
      <c r="GJ14" s="46"/>
      <c r="GK14" s="46"/>
      <c r="GL14" s="46"/>
      <c r="GM14" s="46"/>
      <c r="GN14" s="46"/>
      <c r="GO14" s="46"/>
      <c r="GP14" s="46"/>
      <c r="GQ14" s="46"/>
      <c r="GR14" s="46"/>
      <c r="GS14" s="46"/>
      <c r="GT14" s="46"/>
      <c r="GU14" s="46"/>
      <c r="GV14" s="46"/>
      <c r="GW14" s="46"/>
      <c r="GX14" s="46"/>
      <c r="GY14" s="46"/>
      <c r="GZ14" s="46"/>
      <c r="HA14" s="46"/>
      <c r="HB14" s="46"/>
      <c r="HC14" s="46"/>
      <c r="HD14" s="46"/>
      <c r="HE14" s="46"/>
      <c r="HF14" s="46"/>
      <c r="HG14" s="46"/>
      <c r="HH14" s="46"/>
      <c r="HI14" s="46"/>
      <c r="HJ14" s="46"/>
      <c r="HK14" s="46"/>
      <c r="HL14" s="46"/>
      <c r="HM14" s="46"/>
      <c r="HN14" s="46"/>
      <c r="HO14" s="46"/>
      <c r="HP14" s="46"/>
      <c r="HQ14" s="46"/>
      <c r="HR14" s="46"/>
      <c r="HS14" s="46"/>
      <c r="HT14" s="46"/>
      <c r="HU14" s="46"/>
      <c r="HV14" s="46"/>
      <c r="HW14" s="46"/>
      <c r="HX14" s="46"/>
      <c r="HY14" s="46"/>
      <c r="HZ14" s="46"/>
      <c r="IA14" s="46"/>
      <c r="IB14" s="46"/>
      <c r="IC14" s="46"/>
      <c r="ID14" s="46"/>
      <c r="IE14" s="46"/>
      <c r="IF14" s="46"/>
      <c r="IG14" s="46"/>
      <c r="IH14" s="46"/>
      <c r="II14" s="46"/>
      <c r="IJ14" s="46"/>
      <c r="IK14" s="46"/>
      <c r="IL14" s="46"/>
      <c r="IM14" s="46"/>
      <c r="IN14" s="46"/>
      <c r="IO14" s="46"/>
      <c r="IP14" s="46"/>
      <c r="IQ14" s="46"/>
      <c r="IR14" s="46"/>
      <c r="IS14" s="46"/>
      <c r="IT14" s="46"/>
      <c r="IU14" s="46"/>
      <c r="IV14" s="46"/>
      <c r="IW14" s="46"/>
      <c r="IX14" s="47"/>
      <c r="IY14">
        <f>MAX(BG14:ED14)</f>
        <v>76</v>
      </c>
    </row>
    <row r="15" spans="1:259" ht="15" customHeight="1" x14ac:dyDescent="0.25">
      <c r="A15" s="561"/>
      <c r="B15" s="219"/>
      <c r="C15" s="11" t="s">
        <v>25</v>
      </c>
      <c r="D15" s="1">
        <v>1</v>
      </c>
      <c r="E15" s="1">
        <v>0</v>
      </c>
      <c r="F15" s="1">
        <v>0</v>
      </c>
      <c r="G15" s="1">
        <v>0</v>
      </c>
      <c r="H15" s="1">
        <v>0</v>
      </c>
      <c r="I15" s="1">
        <v>0</v>
      </c>
      <c r="J15" s="1">
        <v>2</v>
      </c>
      <c r="K15" s="1">
        <v>3</v>
      </c>
      <c r="L15" s="1">
        <v>3</v>
      </c>
      <c r="M15" s="1">
        <v>1</v>
      </c>
      <c r="N15" s="1">
        <v>3</v>
      </c>
      <c r="O15" s="1">
        <v>1</v>
      </c>
      <c r="P15" s="1">
        <v>2</v>
      </c>
      <c r="Q15" s="1">
        <v>3</v>
      </c>
      <c r="R15" s="1">
        <v>3</v>
      </c>
      <c r="S15" s="1">
        <v>10</v>
      </c>
      <c r="T15" s="1">
        <v>5</v>
      </c>
      <c r="U15" s="1">
        <v>1</v>
      </c>
      <c r="V15" s="1">
        <v>3</v>
      </c>
      <c r="W15" s="1">
        <v>1</v>
      </c>
      <c r="X15" s="1">
        <v>3</v>
      </c>
      <c r="Y15" s="1">
        <v>8</v>
      </c>
      <c r="Z15" s="1">
        <v>8</v>
      </c>
      <c r="AA15" s="1">
        <v>8</v>
      </c>
      <c r="AB15" s="1">
        <v>8</v>
      </c>
      <c r="AC15" s="1">
        <v>14</v>
      </c>
      <c r="AD15" s="1">
        <v>11</v>
      </c>
      <c r="AE15" s="1">
        <v>5</v>
      </c>
      <c r="AF15" s="1">
        <v>13</v>
      </c>
      <c r="AG15" s="1">
        <v>5</v>
      </c>
      <c r="AH15" s="1">
        <v>0</v>
      </c>
      <c r="AI15" s="1">
        <v>2</v>
      </c>
      <c r="AJ15" s="1">
        <v>3</v>
      </c>
      <c r="AK15" s="1">
        <v>8</v>
      </c>
      <c r="AL15" s="1">
        <v>5</v>
      </c>
      <c r="AM15" s="1">
        <v>12</v>
      </c>
      <c r="AN15" s="1">
        <v>25</v>
      </c>
      <c r="AO15" s="1">
        <v>29</v>
      </c>
      <c r="AP15" s="1">
        <v>26</v>
      </c>
      <c r="AQ15" s="1">
        <v>20</v>
      </c>
      <c r="AR15" s="1">
        <v>11</v>
      </c>
      <c r="AS15" s="1">
        <v>30</v>
      </c>
      <c r="AT15" s="1">
        <v>13</v>
      </c>
      <c r="AU15" s="1">
        <v>20</v>
      </c>
      <c r="AV15" s="1">
        <v>40</v>
      </c>
      <c r="AW15" s="1">
        <v>36</v>
      </c>
      <c r="AX15" s="1">
        <v>38</v>
      </c>
      <c r="AY15" s="1">
        <v>58</v>
      </c>
      <c r="AZ15" s="1">
        <v>36</v>
      </c>
      <c r="BA15" s="1">
        <v>38</v>
      </c>
      <c r="BB15" s="1">
        <v>61</v>
      </c>
      <c r="BC15" s="1">
        <v>62</v>
      </c>
      <c r="BD15" s="1">
        <v>60</v>
      </c>
      <c r="BE15" s="1">
        <v>56</v>
      </c>
      <c r="BF15" s="1">
        <v>52</v>
      </c>
      <c r="BG15" s="1">
        <v>62</v>
      </c>
      <c r="BH15" s="1">
        <v>64</v>
      </c>
      <c r="BI15" s="1">
        <v>60</v>
      </c>
      <c r="BJ15" s="1">
        <v>52</v>
      </c>
      <c r="BK15" s="1">
        <v>62</v>
      </c>
      <c r="BL15" s="1">
        <v>53</v>
      </c>
      <c r="BM15" s="1">
        <v>49</v>
      </c>
      <c r="BN15" s="1">
        <v>41</v>
      </c>
      <c r="BO15" s="1">
        <v>15</v>
      </c>
      <c r="BP15" s="1">
        <v>55</v>
      </c>
      <c r="BQ15" s="1">
        <v>27</v>
      </c>
      <c r="BR15" s="1">
        <v>19</v>
      </c>
      <c r="BS15" s="1">
        <v>33</v>
      </c>
      <c r="BT15" s="1">
        <v>43</v>
      </c>
      <c r="BU15" s="1">
        <v>46</v>
      </c>
      <c r="BV15" s="1">
        <v>51</v>
      </c>
      <c r="BW15" s="1">
        <v>46</v>
      </c>
      <c r="BX15" s="1">
        <v>46</v>
      </c>
      <c r="BY15" s="1">
        <v>39</v>
      </c>
      <c r="BZ15" s="1">
        <v>64</v>
      </c>
      <c r="CA15" s="1">
        <v>49</v>
      </c>
      <c r="CB15" s="1">
        <v>56</v>
      </c>
      <c r="CC15" s="1">
        <v>80</v>
      </c>
      <c r="CD15" s="1">
        <v>79</v>
      </c>
      <c r="CE15" s="1">
        <v>107</v>
      </c>
      <c r="CF15" s="1">
        <v>60</v>
      </c>
      <c r="CG15" s="1">
        <v>92</v>
      </c>
      <c r="CH15" s="1">
        <v>46</v>
      </c>
      <c r="CI15" s="1">
        <v>49</v>
      </c>
      <c r="CJ15" s="1">
        <v>38</v>
      </c>
      <c r="CK15" s="1">
        <v>16</v>
      </c>
      <c r="CL15" s="1">
        <v>29</v>
      </c>
      <c r="CM15" s="1">
        <v>25</v>
      </c>
      <c r="CN15" s="1">
        <v>12</v>
      </c>
      <c r="CO15" s="1">
        <v>8</v>
      </c>
      <c r="CP15" s="1">
        <v>2</v>
      </c>
      <c r="CQ15" s="1">
        <v>1</v>
      </c>
      <c r="CR15" s="1">
        <v>2</v>
      </c>
      <c r="CS15" s="1">
        <v>2</v>
      </c>
      <c r="CT15" s="1">
        <v>2</v>
      </c>
      <c r="CU15" s="1">
        <v>5</v>
      </c>
      <c r="CV15" s="1">
        <v>3</v>
      </c>
      <c r="CW15" s="1">
        <v>1</v>
      </c>
      <c r="CX15" s="1">
        <v>0</v>
      </c>
      <c r="CY15" s="1">
        <v>0</v>
      </c>
      <c r="CZ15" s="1">
        <v>0</v>
      </c>
      <c r="DA15" s="1">
        <v>0</v>
      </c>
      <c r="DB15" s="1">
        <v>0</v>
      </c>
      <c r="DC15" s="1">
        <v>0</v>
      </c>
      <c r="DD15" s="8">
        <v>0</v>
      </c>
      <c r="DE15" s="46"/>
      <c r="DF15" s="46"/>
      <c r="DG15" s="46"/>
      <c r="DH15" s="46"/>
      <c r="DI15" s="46"/>
      <c r="DJ15" s="46"/>
      <c r="DK15" s="46"/>
      <c r="DL15" s="46"/>
      <c r="DM15" s="46"/>
      <c r="DN15" s="46"/>
      <c r="DO15" s="46"/>
      <c r="DP15" s="46"/>
      <c r="DQ15" s="46"/>
      <c r="DR15" s="46"/>
      <c r="DS15" s="46"/>
      <c r="DT15" s="46"/>
      <c r="DU15" s="46"/>
      <c r="DV15" s="46"/>
      <c r="DW15" s="46"/>
      <c r="DX15" s="46"/>
      <c r="DY15" s="46"/>
      <c r="DZ15" s="46"/>
      <c r="EA15" s="46"/>
      <c r="EB15" s="46"/>
      <c r="EC15" s="47"/>
      <c r="ED15" s="46"/>
      <c r="EE15" s="46"/>
      <c r="EF15" s="46"/>
      <c r="EG15" s="46"/>
      <c r="EH15" s="46"/>
      <c r="EI15" s="46"/>
      <c r="EJ15" s="46"/>
      <c r="EK15" s="46"/>
      <c r="EL15" s="46"/>
      <c r="EM15" s="46"/>
      <c r="EN15" s="46"/>
      <c r="EO15" s="46"/>
      <c r="EP15" s="46"/>
      <c r="EQ15" s="46"/>
      <c r="ER15" s="46"/>
      <c r="ES15" s="46"/>
      <c r="ET15" s="46"/>
      <c r="EU15" s="46"/>
      <c r="EV15" s="46"/>
      <c r="EW15" s="46"/>
      <c r="EX15" s="46"/>
      <c r="EY15" s="46"/>
      <c r="EZ15" s="46"/>
      <c r="FA15" s="46"/>
      <c r="FB15" s="46"/>
      <c r="FC15" s="46"/>
      <c r="FD15" s="46"/>
      <c r="FE15" s="46"/>
      <c r="FF15" s="46"/>
      <c r="FG15" s="46"/>
      <c r="FH15" s="46"/>
      <c r="FI15" s="46"/>
      <c r="FJ15" s="46"/>
      <c r="FK15" s="46"/>
      <c r="FL15" s="47"/>
      <c r="FM15" s="46"/>
      <c r="FN15" s="46"/>
      <c r="FO15" s="46"/>
      <c r="FP15" s="46"/>
      <c r="FQ15" s="46"/>
      <c r="FR15" s="46"/>
      <c r="FS15" s="46"/>
      <c r="FT15" s="46"/>
      <c r="FU15" s="46"/>
      <c r="FV15" s="46"/>
      <c r="FW15" s="46"/>
      <c r="FX15" s="46"/>
      <c r="FY15" s="46"/>
      <c r="FZ15" s="46"/>
      <c r="GA15" s="46"/>
      <c r="GB15" s="46"/>
      <c r="GC15" s="46"/>
      <c r="GD15" s="46"/>
      <c r="GE15" s="46"/>
      <c r="GF15" s="46"/>
      <c r="GG15" s="46"/>
      <c r="GH15" s="46"/>
      <c r="GI15" s="46"/>
      <c r="GJ15" s="46"/>
      <c r="GK15" s="46"/>
      <c r="GL15" s="46"/>
      <c r="GM15" s="46"/>
      <c r="GN15" s="46"/>
      <c r="GO15" s="46"/>
      <c r="GP15" s="46"/>
      <c r="GQ15" s="46"/>
      <c r="GR15" s="46"/>
      <c r="GS15" s="46"/>
      <c r="GT15" s="46"/>
      <c r="GU15" s="46"/>
      <c r="GV15" s="46"/>
      <c r="GW15" s="46"/>
      <c r="GX15" s="46"/>
      <c r="GY15" s="46"/>
      <c r="GZ15" s="46"/>
      <c r="HA15" s="46"/>
      <c r="HB15" s="46"/>
      <c r="HC15" s="46"/>
      <c r="HD15" s="46"/>
      <c r="HE15" s="46"/>
      <c r="HF15" s="46"/>
      <c r="HG15" s="46"/>
      <c r="HH15" s="46"/>
      <c r="HI15" s="46"/>
      <c r="HJ15" s="46"/>
      <c r="HK15" s="46"/>
      <c r="HL15" s="46"/>
      <c r="HM15" s="46"/>
      <c r="HN15" s="46"/>
      <c r="HO15" s="46"/>
      <c r="HP15" s="46"/>
      <c r="HQ15" s="46"/>
      <c r="HR15" s="46"/>
      <c r="HS15" s="46"/>
      <c r="HT15" s="46"/>
      <c r="HU15" s="46"/>
      <c r="HV15" s="46"/>
      <c r="HW15" s="46"/>
      <c r="HX15" s="46"/>
      <c r="HY15" s="46"/>
      <c r="HZ15" s="46"/>
      <c r="IA15" s="46"/>
      <c r="IB15" s="46"/>
      <c r="IC15" s="46"/>
      <c r="ID15" s="46"/>
      <c r="IE15" s="46"/>
      <c r="IF15" s="46"/>
      <c r="IG15" s="46"/>
      <c r="IH15" s="46"/>
      <c r="II15" s="46"/>
      <c r="IJ15" s="46"/>
      <c r="IK15" s="46"/>
      <c r="IL15" s="46"/>
      <c r="IM15" s="46"/>
      <c r="IN15" s="46"/>
      <c r="IO15" s="46"/>
      <c r="IP15" s="46"/>
      <c r="IQ15" s="46"/>
      <c r="IR15" s="46"/>
      <c r="IS15" s="46"/>
      <c r="IT15" s="46"/>
      <c r="IU15" s="46"/>
      <c r="IV15" s="46"/>
      <c r="IW15" s="46"/>
      <c r="IX15" s="47"/>
      <c r="IY15">
        <f t="shared" si="0"/>
        <v>107</v>
      </c>
    </row>
    <row r="16" spans="1:259" ht="15" customHeight="1" x14ac:dyDescent="0.25">
      <c r="A16" s="561"/>
      <c r="B16" s="219"/>
      <c r="C16" s="11" t="s">
        <v>26</v>
      </c>
      <c r="D16" s="4">
        <v>3</v>
      </c>
      <c r="E16" s="4">
        <v>1</v>
      </c>
      <c r="F16" s="3">
        <v>0</v>
      </c>
      <c r="G16" s="3">
        <v>0</v>
      </c>
      <c r="H16" s="3">
        <v>0</v>
      </c>
      <c r="I16" s="3">
        <v>0</v>
      </c>
      <c r="J16" s="4">
        <v>2</v>
      </c>
      <c r="K16" s="4">
        <v>3</v>
      </c>
      <c r="L16" s="4">
        <v>3</v>
      </c>
      <c r="M16" s="4">
        <v>1</v>
      </c>
      <c r="N16" s="4">
        <v>3</v>
      </c>
      <c r="O16" s="4">
        <v>1</v>
      </c>
      <c r="P16" s="4">
        <v>2</v>
      </c>
      <c r="Q16" s="4">
        <v>3</v>
      </c>
      <c r="R16" s="4">
        <v>2</v>
      </c>
      <c r="S16" s="4">
        <v>6</v>
      </c>
      <c r="T16" s="4">
        <v>5</v>
      </c>
      <c r="U16" s="4">
        <v>6</v>
      </c>
      <c r="V16" s="4">
        <v>3</v>
      </c>
      <c r="W16" s="4">
        <v>1</v>
      </c>
      <c r="X16" s="4">
        <v>3</v>
      </c>
      <c r="Y16" s="4">
        <v>2</v>
      </c>
      <c r="Z16" s="4">
        <v>6</v>
      </c>
      <c r="AA16" s="4">
        <v>7</v>
      </c>
      <c r="AB16" s="4">
        <v>7</v>
      </c>
      <c r="AC16" s="4">
        <v>14</v>
      </c>
      <c r="AD16" s="4">
        <v>12</v>
      </c>
      <c r="AE16" s="4">
        <v>4</v>
      </c>
      <c r="AF16" s="4">
        <v>10</v>
      </c>
      <c r="AG16" s="4">
        <v>5</v>
      </c>
      <c r="AH16" s="4">
        <v>1</v>
      </c>
      <c r="AI16" s="4">
        <v>2</v>
      </c>
      <c r="AJ16" s="4">
        <v>3</v>
      </c>
      <c r="AK16" s="4">
        <v>8</v>
      </c>
      <c r="AL16" s="4">
        <v>6</v>
      </c>
      <c r="AM16" s="4">
        <v>17</v>
      </c>
      <c r="AN16" s="4">
        <v>26</v>
      </c>
      <c r="AO16" s="4">
        <v>28</v>
      </c>
      <c r="AP16" s="4">
        <v>21</v>
      </c>
      <c r="AQ16" s="4">
        <v>28</v>
      </c>
      <c r="AR16" s="4">
        <v>13</v>
      </c>
      <c r="AS16" s="4">
        <v>19</v>
      </c>
      <c r="AT16" s="4">
        <v>17</v>
      </c>
      <c r="AU16" s="4">
        <v>19</v>
      </c>
      <c r="AV16" s="4">
        <v>24</v>
      </c>
      <c r="AW16" s="4">
        <v>16</v>
      </c>
      <c r="AX16" s="4">
        <v>24</v>
      </c>
      <c r="AY16" s="4">
        <v>44</v>
      </c>
      <c r="AZ16" s="4">
        <v>33</v>
      </c>
      <c r="BA16" s="4">
        <v>30</v>
      </c>
      <c r="BB16" s="4">
        <v>59</v>
      </c>
      <c r="BC16" s="4">
        <v>73</v>
      </c>
      <c r="BD16" s="4">
        <v>41</v>
      </c>
      <c r="BE16" s="4">
        <v>23</v>
      </c>
      <c r="BF16" s="4">
        <v>42</v>
      </c>
      <c r="BG16" s="4">
        <v>35</v>
      </c>
      <c r="BH16" s="4">
        <v>30</v>
      </c>
      <c r="BI16" s="4">
        <v>70</v>
      </c>
      <c r="BJ16" s="4">
        <v>49</v>
      </c>
      <c r="BK16" s="4">
        <v>41</v>
      </c>
      <c r="BL16" s="4">
        <v>51</v>
      </c>
      <c r="BM16" s="4">
        <v>42</v>
      </c>
      <c r="BN16" s="4">
        <v>47</v>
      </c>
      <c r="BO16" s="4">
        <v>43</v>
      </c>
      <c r="BP16" s="4">
        <v>36</v>
      </c>
      <c r="BQ16" s="4">
        <v>27</v>
      </c>
      <c r="BR16" s="4">
        <v>29</v>
      </c>
      <c r="BS16" s="4">
        <v>27</v>
      </c>
      <c r="BT16" s="4">
        <v>39</v>
      </c>
      <c r="BU16" s="4">
        <v>60</v>
      </c>
      <c r="BV16" s="4">
        <v>59</v>
      </c>
      <c r="BW16" s="4">
        <v>37</v>
      </c>
      <c r="BX16" s="4">
        <v>49</v>
      </c>
      <c r="BY16" s="4">
        <v>77</v>
      </c>
      <c r="BZ16" s="4">
        <v>70</v>
      </c>
      <c r="CA16" s="4">
        <v>56</v>
      </c>
      <c r="CB16" s="4">
        <v>43</v>
      </c>
      <c r="CC16" s="4">
        <v>47</v>
      </c>
      <c r="CD16" s="4">
        <v>42</v>
      </c>
      <c r="CE16" s="4">
        <v>50</v>
      </c>
      <c r="CF16" s="4">
        <v>31</v>
      </c>
      <c r="CG16" s="4">
        <v>69</v>
      </c>
      <c r="CH16" s="4">
        <v>63</v>
      </c>
      <c r="CI16" s="4">
        <v>79</v>
      </c>
      <c r="CJ16" s="4">
        <v>89</v>
      </c>
      <c r="CK16" s="4">
        <v>59</v>
      </c>
      <c r="CL16" s="4">
        <v>55</v>
      </c>
      <c r="CM16" s="4">
        <v>70</v>
      </c>
      <c r="CN16" s="4">
        <v>49</v>
      </c>
      <c r="CO16" s="4">
        <v>45</v>
      </c>
      <c r="CP16" s="4">
        <v>22</v>
      </c>
      <c r="CQ16" s="4">
        <v>11</v>
      </c>
      <c r="CR16" s="4">
        <v>2</v>
      </c>
      <c r="CS16" s="4">
        <v>1</v>
      </c>
      <c r="CT16" s="4">
        <v>10</v>
      </c>
      <c r="CU16" s="4">
        <v>9</v>
      </c>
      <c r="CV16" s="4">
        <v>13</v>
      </c>
      <c r="CW16" s="4">
        <v>8</v>
      </c>
      <c r="CX16" s="4">
        <v>19</v>
      </c>
      <c r="CY16" s="4">
        <v>3</v>
      </c>
      <c r="CZ16" s="4">
        <v>3</v>
      </c>
      <c r="DA16" s="4">
        <v>2</v>
      </c>
      <c r="DB16" s="3">
        <v>0</v>
      </c>
      <c r="DC16" s="4">
        <v>1</v>
      </c>
      <c r="DD16" s="51">
        <v>2</v>
      </c>
      <c r="DE16" s="44"/>
      <c r="DF16" s="44"/>
      <c r="DG16" s="44"/>
      <c r="DH16" s="44"/>
      <c r="DI16" s="44"/>
      <c r="DJ16" s="44"/>
      <c r="DK16" s="44"/>
      <c r="DL16" s="44"/>
      <c r="DM16" s="44"/>
      <c r="DN16" s="44"/>
      <c r="DO16" s="44"/>
      <c r="DP16" s="44"/>
      <c r="DQ16" s="44"/>
      <c r="DR16" s="44"/>
      <c r="DS16" s="44"/>
      <c r="DT16" s="44"/>
      <c r="DU16" s="44"/>
      <c r="DV16" s="44"/>
      <c r="DW16" s="44"/>
      <c r="DX16" s="44"/>
      <c r="DY16" s="44"/>
      <c r="DZ16" s="44"/>
      <c r="EA16" s="44"/>
      <c r="EB16" s="44"/>
      <c r="EC16" s="45"/>
      <c r="ED16" s="44"/>
      <c r="EE16" s="44"/>
      <c r="EF16" s="44"/>
      <c r="EG16" s="44"/>
      <c r="EH16" s="44"/>
      <c r="EI16" s="44"/>
      <c r="EJ16" s="44"/>
      <c r="EK16" s="44"/>
      <c r="EL16" s="44"/>
      <c r="EM16" s="44"/>
      <c r="EN16" s="44"/>
      <c r="EO16" s="44"/>
      <c r="EP16" s="44"/>
      <c r="EQ16" s="44"/>
      <c r="ER16" s="44"/>
      <c r="ES16" s="44"/>
      <c r="ET16" s="44"/>
      <c r="EU16" s="44"/>
      <c r="EV16" s="44"/>
      <c r="EW16" s="44"/>
      <c r="EX16" s="44"/>
      <c r="EY16" s="44"/>
      <c r="EZ16" s="44"/>
      <c r="FA16" s="44"/>
      <c r="FB16" s="44"/>
      <c r="FC16" s="44"/>
      <c r="FD16" s="44"/>
      <c r="FE16" s="44"/>
      <c r="FF16" s="44"/>
      <c r="FG16" s="44"/>
      <c r="FH16" s="44"/>
      <c r="FI16" s="44"/>
      <c r="FJ16" s="44"/>
      <c r="FK16" s="44"/>
      <c r="FL16" s="45"/>
      <c r="FM16" s="44"/>
      <c r="FN16" s="44"/>
      <c r="FO16" s="44"/>
      <c r="FP16" s="44"/>
      <c r="FQ16" s="44"/>
      <c r="FR16" s="44"/>
      <c r="FS16" s="44"/>
      <c r="FT16" s="44"/>
      <c r="FU16" s="44"/>
      <c r="FV16" s="44"/>
      <c r="FW16" s="44"/>
      <c r="FX16" s="44"/>
      <c r="FY16" s="44"/>
      <c r="FZ16" s="44"/>
      <c r="GA16" s="44"/>
      <c r="GB16" s="44"/>
      <c r="GC16" s="44"/>
      <c r="GD16" s="44"/>
      <c r="GE16" s="44"/>
      <c r="GF16" s="44"/>
      <c r="GG16" s="44"/>
      <c r="GH16" s="44"/>
      <c r="GI16" s="44"/>
      <c r="GJ16" s="44"/>
      <c r="GK16" s="44"/>
      <c r="GL16" s="44"/>
      <c r="GM16" s="44"/>
      <c r="GN16" s="44"/>
      <c r="GO16" s="44"/>
      <c r="GP16" s="44"/>
      <c r="GQ16" s="44"/>
      <c r="GR16" s="44"/>
      <c r="GS16" s="44"/>
      <c r="GT16" s="44"/>
      <c r="GU16" s="44"/>
      <c r="GV16" s="44"/>
      <c r="GW16" s="44"/>
      <c r="GX16" s="44"/>
      <c r="GY16" s="44"/>
      <c r="GZ16" s="44"/>
      <c r="HA16" s="44"/>
      <c r="HB16" s="44"/>
      <c r="HC16" s="44"/>
      <c r="HD16" s="44"/>
      <c r="HE16" s="44"/>
      <c r="HF16" s="44"/>
      <c r="HG16" s="44"/>
      <c r="HH16" s="44"/>
      <c r="HI16" s="44"/>
      <c r="HJ16" s="44"/>
      <c r="HK16" s="44"/>
      <c r="HL16" s="44"/>
      <c r="HM16" s="44"/>
      <c r="HN16" s="44"/>
      <c r="HO16" s="44"/>
      <c r="HP16" s="44"/>
      <c r="HQ16" s="44"/>
      <c r="HR16" s="44"/>
      <c r="HS16" s="44"/>
      <c r="HT16" s="44"/>
      <c r="HU16" s="44"/>
      <c r="HV16" s="44"/>
      <c r="HW16" s="44"/>
      <c r="HX16" s="44"/>
      <c r="HY16" s="44"/>
      <c r="HZ16" s="44"/>
      <c r="IA16" s="44"/>
      <c r="IB16" s="44"/>
      <c r="IC16" s="44"/>
      <c r="ID16" s="44"/>
      <c r="IE16" s="44"/>
      <c r="IF16" s="44"/>
      <c r="IG16" s="44"/>
      <c r="IH16" s="44"/>
      <c r="II16" s="44"/>
      <c r="IJ16" s="44"/>
      <c r="IK16" s="44"/>
      <c r="IL16" s="44"/>
      <c r="IM16" s="44"/>
      <c r="IN16" s="44"/>
      <c r="IO16" s="44"/>
      <c r="IP16" s="44"/>
      <c r="IQ16" s="44"/>
      <c r="IR16" s="44"/>
      <c r="IS16" s="44"/>
      <c r="IT16" s="44"/>
      <c r="IU16" s="44"/>
      <c r="IV16" s="44"/>
      <c r="IW16" s="44"/>
      <c r="IX16" s="45"/>
      <c r="IY16">
        <f t="shared" si="0"/>
        <v>89</v>
      </c>
    </row>
    <row r="17" spans="1:259" x14ac:dyDescent="0.25">
      <c r="A17" s="561"/>
      <c r="B17" s="219"/>
      <c r="C17" s="11" t="s">
        <v>27</v>
      </c>
      <c r="D17" s="1">
        <v>3</v>
      </c>
      <c r="E17" s="1">
        <v>1</v>
      </c>
      <c r="F17" s="1">
        <v>0</v>
      </c>
      <c r="G17" s="1">
        <v>0</v>
      </c>
      <c r="H17" s="1">
        <v>0</v>
      </c>
      <c r="I17" s="1">
        <v>0</v>
      </c>
      <c r="J17" s="1">
        <v>2</v>
      </c>
      <c r="K17" s="1">
        <v>3</v>
      </c>
      <c r="L17" s="1">
        <v>3</v>
      </c>
      <c r="M17" s="1">
        <v>1</v>
      </c>
      <c r="N17" s="1">
        <v>3</v>
      </c>
      <c r="O17" s="1">
        <v>1</v>
      </c>
      <c r="P17" s="1">
        <v>2</v>
      </c>
      <c r="Q17" s="1">
        <v>3</v>
      </c>
      <c r="R17" s="1">
        <v>2</v>
      </c>
      <c r="S17" s="1">
        <v>6</v>
      </c>
      <c r="T17" s="1">
        <v>5</v>
      </c>
      <c r="U17" s="1">
        <v>6</v>
      </c>
      <c r="V17" s="1">
        <v>3</v>
      </c>
      <c r="W17" s="1">
        <v>1</v>
      </c>
      <c r="X17" s="1">
        <v>3</v>
      </c>
      <c r="Y17" s="1">
        <v>2</v>
      </c>
      <c r="Z17" s="1">
        <v>6</v>
      </c>
      <c r="AA17" s="1">
        <v>7</v>
      </c>
      <c r="AB17" s="1">
        <v>7</v>
      </c>
      <c r="AC17" s="1">
        <v>14</v>
      </c>
      <c r="AD17" s="1">
        <v>12</v>
      </c>
      <c r="AE17" s="1">
        <v>4</v>
      </c>
      <c r="AF17" s="1">
        <v>10</v>
      </c>
      <c r="AG17" s="1">
        <v>5</v>
      </c>
      <c r="AH17" s="1">
        <v>1</v>
      </c>
      <c r="AI17" s="1">
        <v>2</v>
      </c>
      <c r="AJ17" s="1">
        <v>3</v>
      </c>
      <c r="AK17" s="1">
        <v>8</v>
      </c>
      <c r="AL17" s="1">
        <v>6</v>
      </c>
      <c r="AM17" s="1">
        <v>17</v>
      </c>
      <c r="AN17" s="1">
        <v>26</v>
      </c>
      <c r="AO17" s="1">
        <v>28</v>
      </c>
      <c r="AP17" s="1">
        <v>21</v>
      </c>
      <c r="AQ17" s="1">
        <v>28</v>
      </c>
      <c r="AR17" s="1">
        <v>13</v>
      </c>
      <c r="AS17" s="1">
        <v>19</v>
      </c>
      <c r="AT17" s="1">
        <v>17</v>
      </c>
      <c r="AU17" s="1">
        <v>19</v>
      </c>
      <c r="AV17" s="1">
        <v>24</v>
      </c>
      <c r="AW17" s="1">
        <v>16</v>
      </c>
      <c r="AX17" s="1">
        <v>24</v>
      </c>
      <c r="AY17" s="1">
        <v>44</v>
      </c>
      <c r="AZ17" s="1">
        <v>33</v>
      </c>
      <c r="BA17" s="1">
        <v>30</v>
      </c>
      <c r="BB17" s="1">
        <v>59</v>
      </c>
      <c r="BC17" s="1">
        <v>73</v>
      </c>
      <c r="BD17" s="1">
        <v>41</v>
      </c>
      <c r="BE17" s="1">
        <v>23</v>
      </c>
      <c r="BF17" s="1">
        <v>42</v>
      </c>
      <c r="BG17" s="1">
        <v>35</v>
      </c>
      <c r="BH17" s="1">
        <v>30</v>
      </c>
      <c r="BI17" s="1">
        <v>70</v>
      </c>
      <c r="BJ17" s="1">
        <v>49</v>
      </c>
      <c r="BK17" s="1">
        <v>41</v>
      </c>
      <c r="BL17" s="1">
        <v>51</v>
      </c>
      <c r="BM17" s="1">
        <v>42</v>
      </c>
      <c r="BN17" s="1">
        <v>47</v>
      </c>
      <c r="BO17" s="1">
        <v>43</v>
      </c>
      <c r="BP17" s="1">
        <v>36</v>
      </c>
      <c r="BQ17" s="1">
        <v>27</v>
      </c>
      <c r="BR17" s="1">
        <v>29</v>
      </c>
      <c r="BS17" s="1">
        <v>27</v>
      </c>
      <c r="BT17" s="1">
        <v>39</v>
      </c>
      <c r="BU17" s="1">
        <v>60</v>
      </c>
      <c r="BV17" s="1">
        <v>59</v>
      </c>
      <c r="BW17" s="1">
        <v>37</v>
      </c>
      <c r="BX17" s="1">
        <v>49</v>
      </c>
      <c r="BY17" s="1">
        <v>77</v>
      </c>
      <c r="BZ17" s="1">
        <v>70</v>
      </c>
      <c r="CA17" s="1">
        <v>56</v>
      </c>
      <c r="CB17" s="1">
        <v>43</v>
      </c>
      <c r="CC17" s="1">
        <v>47</v>
      </c>
      <c r="CD17" s="1">
        <v>42</v>
      </c>
      <c r="CE17" s="1">
        <v>50</v>
      </c>
      <c r="CF17" s="1">
        <v>29</v>
      </c>
      <c r="CG17" s="1">
        <v>0</v>
      </c>
      <c r="CH17" s="1">
        <v>0</v>
      </c>
      <c r="CI17" s="1">
        <v>0</v>
      </c>
      <c r="CJ17" s="1">
        <v>0</v>
      </c>
      <c r="CK17" s="1">
        <v>0</v>
      </c>
      <c r="CL17" s="1">
        <v>0</v>
      </c>
      <c r="CM17" s="1">
        <v>0</v>
      </c>
      <c r="CN17" s="1">
        <v>0</v>
      </c>
      <c r="CO17" s="1">
        <v>0</v>
      </c>
      <c r="CP17" s="1">
        <v>0</v>
      </c>
      <c r="CQ17" s="1">
        <v>0</v>
      </c>
      <c r="CR17" s="1">
        <v>0</v>
      </c>
      <c r="CS17" s="1">
        <v>0</v>
      </c>
      <c r="CT17" s="1">
        <v>0</v>
      </c>
      <c r="CU17" s="1">
        <v>0</v>
      </c>
      <c r="CV17" s="1">
        <v>0</v>
      </c>
      <c r="CW17" s="1">
        <v>0</v>
      </c>
      <c r="CX17" s="1">
        <v>0</v>
      </c>
      <c r="CY17" s="1">
        <v>0</v>
      </c>
      <c r="CZ17" s="1">
        <v>0</v>
      </c>
      <c r="DA17" s="1">
        <v>0</v>
      </c>
      <c r="DB17" s="1">
        <v>0</v>
      </c>
      <c r="DC17" s="1">
        <v>0</v>
      </c>
      <c r="DD17" s="8">
        <v>0</v>
      </c>
      <c r="DE17" s="46"/>
      <c r="DF17" s="46"/>
      <c r="DG17" s="46"/>
      <c r="DH17" s="46"/>
      <c r="DI17" s="46"/>
      <c r="DJ17" s="46"/>
      <c r="DK17" s="46"/>
      <c r="DL17" s="46"/>
      <c r="DM17" s="46"/>
      <c r="DN17" s="46"/>
      <c r="DO17" s="46"/>
      <c r="DP17" s="46"/>
      <c r="DQ17" s="46"/>
      <c r="DR17" s="46"/>
      <c r="DS17" s="46"/>
      <c r="DT17" s="46"/>
      <c r="DU17" s="46"/>
      <c r="DV17" s="46"/>
      <c r="DW17" s="46"/>
      <c r="DX17" s="46"/>
      <c r="DY17" s="46"/>
      <c r="DZ17" s="46"/>
      <c r="EA17" s="46"/>
      <c r="EB17" s="46"/>
      <c r="EC17" s="47"/>
      <c r="ED17" s="46"/>
      <c r="EE17" s="46"/>
      <c r="EF17" s="46"/>
      <c r="EG17" s="46"/>
      <c r="EH17" s="46"/>
      <c r="EI17" s="46"/>
      <c r="EJ17" s="46"/>
      <c r="EK17" s="46"/>
      <c r="EL17" s="46"/>
      <c r="EM17" s="46"/>
      <c r="EN17" s="46"/>
      <c r="EO17" s="46"/>
      <c r="EP17" s="46"/>
      <c r="EQ17" s="46"/>
      <c r="ER17" s="46"/>
      <c r="ES17" s="46"/>
      <c r="ET17" s="46"/>
      <c r="EU17" s="46"/>
      <c r="EV17" s="46"/>
      <c r="EW17" s="46"/>
      <c r="EX17" s="46"/>
      <c r="EY17" s="46"/>
      <c r="EZ17" s="46"/>
      <c r="FA17" s="46"/>
      <c r="FB17" s="46"/>
      <c r="FC17" s="46"/>
      <c r="FD17" s="46"/>
      <c r="FE17" s="46"/>
      <c r="FF17" s="46"/>
      <c r="FG17" s="46"/>
      <c r="FH17" s="46"/>
      <c r="FI17" s="46"/>
      <c r="FJ17" s="46"/>
      <c r="FK17" s="46"/>
      <c r="FL17" s="47"/>
      <c r="FM17" s="46"/>
      <c r="FN17" s="46"/>
      <c r="FO17" s="46"/>
      <c r="FP17" s="46"/>
      <c r="FQ17" s="46"/>
      <c r="FR17" s="46"/>
      <c r="FS17" s="46"/>
      <c r="FT17" s="46"/>
      <c r="FU17" s="46"/>
      <c r="FV17" s="46"/>
      <c r="FW17" s="46"/>
      <c r="FX17" s="46"/>
      <c r="FY17" s="46"/>
      <c r="FZ17" s="46"/>
      <c r="GA17" s="46"/>
      <c r="GB17" s="46"/>
      <c r="GC17" s="46"/>
      <c r="GD17" s="46"/>
      <c r="GE17" s="46"/>
      <c r="GF17" s="46"/>
      <c r="GG17" s="46"/>
      <c r="GH17" s="46"/>
      <c r="GI17" s="46"/>
      <c r="GJ17" s="46"/>
      <c r="GK17" s="46"/>
      <c r="GL17" s="46"/>
      <c r="GM17" s="46"/>
      <c r="GN17" s="46"/>
      <c r="GO17" s="46"/>
      <c r="GP17" s="46"/>
      <c r="GQ17" s="46"/>
      <c r="GR17" s="46"/>
      <c r="GS17" s="46"/>
      <c r="GT17" s="46"/>
      <c r="GU17" s="46"/>
      <c r="GV17" s="46"/>
      <c r="GW17" s="46"/>
      <c r="GX17" s="46"/>
      <c r="GY17" s="46"/>
      <c r="GZ17" s="46"/>
      <c r="HA17" s="46"/>
      <c r="HB17" s="46"/>
      <c r="HC17" s="46"/>
      <c r="HD17" s="46"/>
      <c r="HE17" s="46"/>
      <c r="HF17" s="46"/>
      <c r="HG17" s="46"/>
      <c r="HH17" s="46"/>
      <c r="HI17" s="46"/>
      <c r="HJ17" s="46"/>
      <c r="HK17" s="46"/>
      <c r="HL17" s="46"/>
      <c r="HM17" s="46"/>
      <c r="HN17" s="46"/>
      <c r="HO17" s="46"/>
      <c r="HP17" s="46"/>
      <c r="HQ17" s="46"/>
      <c r="HR17" s="46"/>
      <c r="HS17" s="46"/>
      <c r="HT17" s="46"/>
      <c r="HU17" s="46"/>
      <c r="HV17" s="46"/>
      <c r="HW17" s="46"/>
      <c r="HX17" s="46"/>
      <c r="HY17" s="46"/>
      <c r="HZ17" s="46"/>
      <c r="IA17" s="46"/>
      <c r="IB17" s="46"/>
      <c r="IC17" s="46"/>
      <c r="ID17" s="46"/>
      <c r="IE17" s="46"/>
      <c r="IF17" s="46"/>
      <c r="IG17" s="46"/>
      <c r="IH17" s="46"/>
      <c r="II17" s="46"/>
      <c r="IJ17" s="46"/>
      <c r="IK17" s="46"/>
      <c r="IL17" s="46"/>
      <c r="IM17" s="46"/>
      <c r="IN17" s="46"/>
      <c r="IO17" s="46"/>
      <c r="IP17" s="46"/>
      <c r="IQ17" s="46"/>
      <c r="IR17" s="46"/>
      <c r="IS17" s="46"/>
      <c r="IT17" s="46"/>
      <c r="IU17" s="46"/>
      <c r="IV17" s="46"/>
      <c r="IW17" s="46"/>
      <c r="IX17" s="47"/>
      <c r="IY17">
        <f>MAX(BG17:ED17)</f>
        <v>77</v>
      </c>
    </row>
    <row r="18" spans="1:259" x14ac:dyDescent="0.25">
      <c r="A18" s="561"/>
      <c r="B18" s="219"/>
      <c r="C18" s="11" t="s">
        <v>1</v>
      </c>
      <c r="D18" s="1" t="s">
        <v>9</v>
      </c>
      <c r="E18" s="1" t="s">
        <v>9</v>
      </c>
      <c r="F18" s="1" t="s">
        <v>9</v>
      </c>
      <c r="G18" s="1" t="s">
        <v>9</v>
      </c>
      <c r="H18" s="1" t="s">
        <v>9</v>
      </c>
      <c r="I18" s="1" t="s">
        <v>9</v>
      </c>
      <c r="J18" s="1" t="s">
        <v>9</v>
      </c>
      <c r="K18" s="1" t="s">
        <v>9</v>
      </c>
      <c r="L18" s="1" t="s">
        <v>9</v>
      </c>
      <c r="M18" s="1" t="s">
        <v>9</v>
      </c>
      <c r="N18" s="1" t="s">
        <v>9</v>
      </c>
      <c r="O18" s="1" t="s">
        <v>9</v>
      </c>
      <c r="P18" s="1" t="s">
        <v>9</v>
      </c>
      <c r="Q18" s="1" t="s">
        <v>9</v>
      </c>
      <c r="R18" s="3">
        <v>0</v>
      </c>
      <c r="S18" s="52">
        <v>6</v>
      </c>
      <c r="T18" s="53">
        <v>2</v>
      </c>
      <c r="U18" s="1" t="s">
        <v>9</v>
      </c>
      <c r="V18" s="1" t="s">
        <v>9</v>
      </c>
      <c r="W18" s="1" t="s">
        <v>9</v>
      </c>
      <c r="X18" s="1" t="s">
        <v>9</v>
      </c>
      <c r="Y18" s="54">
        <v>2</v>
      </c>
      <c r="Z18" s="3">
        <v>0</v>
      </c>
      <c r="AA18" s="3">
        <v>0</v>
      </c>
      <c r="AB18" s="3">
        <v>0</v>
      </c>
      <c r="AC18" s="1" t="s">
        <v>9</v>
      </c>
      <c r="AD18" s="3">
        <v>0</v>
      </c>
      <c r="AE18" s="3">
        <v>0</v>
      </c>
      <c r="AF18" s="53">
        <v>1</v>
      </c>
      <c r="AG18" s="1" t="s">
        <v>9</v>
      </c>
      <c r="AH18" s="1" t="s">
        <v>9</v>
      </c>
      <c r="AI18" s="1" t="s">
        <v>9</v>
      </c>
      <c r="AJ18" s="1" t="s">
        <v>9</v>
      </c>
      <c r="AK18" s="1" t="s">
        <v>9</v>
      </c>
      <c r="AL18" s="1" t="s">
        <v>9</v>
      </c>
      <c r="AM18" s="3">
        <v>0</v>
      </c>
      <c r="AN18" s="6">
        <v>1</v>
      </c>
      <c r="AO18" s="55">
        <v>4</v>
      </c>
      <c r="AP18" s="56">
        <v>4</v>
      </c>
      <c r="AQ18" s="6">
        <v>4</v>
      </c>
      <c r="AR18" s="53">
        <v>1</v>
      </c>
      <c r="AS18" s="57">
        <v>3</v>
      </c>
      <c r="AT18" s="3">
        <v>0</v>
      </c>
      <c r="AU18" s="53">
        <v>2</v>
      </c>
      <c r="AV18" s="58">
        <v>2</v>
      </c>
      <c r="AW18" s="59">
        <v>2</v>
      </c>
      <c r="AX18" s="60">
        <v>1</v>
      </c>
      <c r="AY18" s="61">
        <v>7</v>
      </c>
      <c r="AZ18" s="62">
        <v>1</v>
      </c>
      <c r="BA18" s="62">
        <v>1</v>
      </c>
      <c r="BB18" s="63">
        <v>11</v>
      </c>
      <c r="BC18" s="64">
        <v>13</v>
      </c>
      <c r="BD18" s="65">
        <v>9</v>
      </c>
      <c r="BE18" s="78">
        <v>6</v>
      </c>
      <c r="BF18" s="66">
        <v>1</v>
      </c>
      <c r="BG18" s="87">
        <v>5</v>
      </c>
      <c r="BH18" s="68">
        <v>10</v>
      </c>
      <c r="BI18" s="55">
        <v>20</v>
      </c>
      <c r="BJ18" s="59">
        <v>2</v>
      </c>
      <c r="BK18" s="66">
        <v>1</v>
      </c>
      <c r="BL18" s="70">
        <v>8</v>
      </c>
      <c r="BM18" s="88">
        <v>6</v>
      </c>
      <c r="BN18" s="60">
        <v>4</v>
      </c>
      <c r="BO18" s="3">
        <v>0</v>
      </c>
      <c r="BP18" s="71">
        <v>1</v>
      </c>
      <c r="BQ18" s="72">
        <v>3</v>
      </c>
      <c r="BR18" s="73">
        <v>6</v>
      </c>
      <c r="BS18" s="58">
        <v>1</v>
      </c>
      <c r="BT18" s="74">
        <v>1</v>
      </c>
      <c r="BU18" s="68">
        <v>7</v>
      </c>
      <c r="BV18" s="88">
        <v>3</v>
      </c>
      <c r="BW18" s="69">
        <v>2</v>
      </c>
      <c r="BX18" s="70">
        <v>2</v>
      </c>
      <c r="BY18" s="76">
        <v>2</v>
      </c>
      <c r="BZ18" s="175">
        <v>9</v>
      </c>
      <c r="CA18" s="3">
        <v>0</v>
      </c>
      <c r="CB18" s="52">
        <v>3</v>
      </c>
      <c r="CC18" s="116">
        <v>4</v>
      </c>
      <c r="CD18" s="52">
        <v>3</v>
      </c>
      <c r="CE18" s="135">
        <v>7</v>
      </c>
      <c r="CF18" s="6">
        <v>1</v>
      </c>
      <c r="CG18" s="1" t="s">
        <v>9</v>
      </c>
      <c r="CH18" s="1" t="s">
        <v>9</v>
      </c>
      <c r="CI18" s="1" t="s">
        <v>9</v>
      </c>
      <c r="CJ18" s="1" t="s">
        <v>9</v>
      </c>
      <c r="CK18" s="1" t="s">
        <v>9</v>
      </c>
      <c r="CL18" s="1" t="s">
        <v>9</v>
      </c>
      <c r="CM18" s="1" t="s">
        <v>9</v>
      </c>
      <c r="CN18" s="1" t="s">
        <v>9</v>
      </c>
      <c r="CO18" s="1" t="s">
        <v>9</v>
      </c>
      <c r="CP18" s="1" t="s">
        <v>9</v>
      </c>
      <c r="CQ18" s="1" t="s">
        <v>9</v>
      </c>
      <c r="CR18" s="1" t="s">
        <v>9</v>
      </c>
      <c r="CS18" s="1" t="s">
        <v>9</v>
      </c>
      <c r="CT18" s="1" t="s">
        <v>9</v>
      </c>
      <c r="CU18" s="1" t="s">
        <v>9</v>
      </c>
      <c r="CV18" s="1" t="s">
        <v>9</v>
      </c>
      <c r="CW18" s="1" t="s">
        <v>9</v>
      </c>
      <c r="CX18" s="1" t="s">
        <v>9</v>
      </c>
      <c r="CY18" s="1" t="s">
        <v>9</v>
      </c>
      <c r="CZ18" s="1" t="s">
        <v>9</v>
      </c>
      <c r="DA18" s="1" t="s">
        <v>9</v>
      </c>
      <c r="DB18" s="1" t="s">
        <v>9</v>
      </c>
      <c r="DC18" s="1" t="s">
        <v>9</v>
      </c>
      <c r="DD18" s="8" t="s">
        <v>9</v>
      </c>
      <c r="DE18" s="46"/>
      <c r="DF18" s="46"/>
      <c r="DG18" s="46"/>
      <c r="DH18" s="46"/>
      <c r="DI18" s="46"/>
      <c r="DJ18" s="46"/>
      <c r="DK18" s="46"/>
      <c r="DL18" s="46"/>
      <c r="DM18" s="46"/>
      <c r="DN18" s="46"/>
      <c r="DO18" s="46"/>
      <c r="DP18" s="46"/>
      <c r="DQ18" s="46"/>
      <c r="DR18" s="46"/>
      <c r="DS18" s="46"/>
      <c r="DT18" s="46"/>
      <c r="DU18" s="46"/>
      <c r="DV18" s="46"/>
      <c r="DW18" s="46"/>
      <c r="DX18" s="46"/>
      <c r="DY18" s="46"/>
      <c r="DZ18" s="46"/>
      <c r="EA18" s="46"/>
      <c r="EB18" s="46"/>
      <c r="EC18" s="47"/>
      <c r="ED18" s="46"/>
      <c r="EE18" s="46"/>
      <c r="EF18" s="46"/>
      <c r="EG18" s="46"/>
      <c r="EH18" s="46"/>
      <c r="EI18" s="46"/>
      <c r="EJ18" s="46"/>
      <c r="EK18" s="46"/>
      <c r="EL18" s="46"/>
      <c r="EM18" s="46"/>
      <c r="EN18" s="46"/>
      <c r="EO18" s="46"/>
      <c r="EP18" s="46"/>
      <c r="EQ18" s="46"/>
      <c r="ER18" s="46"/>
      <c r="ES18" s="46"/>
      <c r="ET18" s="46"/>
      <c r="EU18" s="46"/>
      <c r="EV18" s="46"/>
      <c r="EW18" s="46"/>
      <c r="EX18" s="46"/>
      <c r="EY18" s="46"/>
      <c r="EZ18" s="46"/>
      <c r="FA18" s="46"/>
      <c r="FB18" s="46"/>
      <c r="FC18" s="46"/>
      <c r="FD18" s="46"/>
      <c r="FE18" s="46"/>
      <c r="FF18" s="46"/>
      <c r="FG18" s="46"/>
      <c r="FH18" s="46"/>
      <c r="FI18" s="46"/>
      <c r="FJ18" s="46"/>
      <c r="FK18" s="46"/>
      <c r="FL18" s="47"/>
      <c r="FM18" s="46"/>
      <c r="FN18" s="46"/>
      <c r="FO18" s="46"/>
      <c r="FP18" s="46"/>
      <c r="FQ18" s="46"/>
      <c r="FR18" s="46"/>
      <c r="FS18" s="46"/>
      <c r="FT18" s="46"/>
      <c r="FU18" s="46"/>
      <c r="FV18" s="46"/>
      <c r="FW18" s="46"/>
      <c r="FX18" s="46"/>
      <c r="FY18" s="46"/>
      <c r="FZ18" s="46"/>
      <c r="GA18" s="46"/>
      <c r="GB18" s="46"/>
      <c r="GC18" s="46"/>
      <c r="GD18" s="46"/>
      <c r="GE18" s="46"/>
      <c r="GF18" s="46"/>
      <c r="GG18" s="46"/>
      <c r="GH18" s="46"/>
      <c r="GI18" s="46"/>
      <c r="GJ18" s="46"/>
      <c r="GK18" s="46"/>
      <c r="GL18" s="46"/>
      <c r="GM18" s="46"/>
      <c r="GN18" s="46"/>
      <c r="GO18" s="46"/>
      <c r="GP18" s="46"/>
      <c r="GQ18" s="46"/>
      <c r="GR18" s="46"/>
      <c r="GS18" s="46"/>
      <c r="GT18" s="46"/>
      <c r="GU18" s="46"/>
      <c r="GV18" s="46"/>
      <c r="GW18" s="46"/>
      <c r="GX18" s="46"/>
      <c r="GY18" s="46"/>
      <c r="GZ18" s="46"/>
      <c r="HA18" s="46"/>
      <c r="HB18" s="46"/>
      <c r="HC18" s="46"/>
      <c r="HD18" s="46"/>
      <c r="HE18" s="46"/>
      <c r="HF18" s="46"/>
      <c r="HG18" s="46"/>
      <c r="HH18" s="46"/>
      <c r="HI18" s="46"/>
      <c r="HJ18" s="46"/>
      <c r="HK18" s="46"/>
      <c r="HL18" s="46"/>
      <c r="HM18" s="46"/>
      <c r="HN18" s="46"/>
      <c r="HO18" s="46"/>
      <c r="HP18" s="46"/>
      <c r="HQ18" s="46"/>
      <c r="HR18" s="46"/>
      <c r="HS18" s="46"/>
      <c r="HT18" s="46"/>
      <c r="HU18" s="46"/>
      <c r="HV18" s="46"/>
      <c r="HW18" s="46"/>
      <c r="HX18" s="46"/>
      <c r="HY18" s="46"/>
      <c r="HZ18" s="46"/>
      <c r="IA18" s="46"/>
      <c r="IB18" s="46"/>
      <c r="IC18" s="46"/>
      <c r="ID18" s="46"/>
      <c r="IE18" s="46"/>
      <c r="IF18" s="46"/>
      <c r="IG18" s="46"/>
      <c r="IH18" s="46"/>
      <c r="II18" s="46"/>
      <c r="IJ18" s="46"/>
      <c r="IK18" s="46"/>
      <c r="IL18" s="46"/>
      <c r="IM18" s="46"/>
      <c r="IN18" s="46"/>
      <c r="IO18" s="46"/>
      <c r="IP18" s="46"/>
      <c r="IQ18" s="46"/>
      <c r="IR18" s="46"/>
      <c r="IS18" s="46"/>
      <c r="IT18" s="46"/>
      <c r="IU18" s="46"/>
      <c r="IV18" s="46"/>
      <c r="IW18" s="46"/>
      <c r="IX18" s="47"/>
      <c r="IY18">
        <f t="shared" si="0"/>
        <v>20</v>
      </c>
    </row>
    <row r="19" spans="1:259" x14ac:dyDescent="0.25">
      <c r="A19" s="561"/>
      <c r="B19" s="219"/>
      <c r="C19" s="11" t="s">
        <v>5</v>
      </c>
      <c r="D19" s="1" t="s">
        <v>9</v>
      </c>
      <c r="E19" s="1" t="s">
        <v>9</v>
      </c>
      <c r="F19" s="1" t="s">
        <v>9</v>
      </c>
      <c r="G19" s="1" t="s">
        <v>9</v>
      </c>
      <c r="H19" s="1" t="s">
        <v>9</v>
      </c>
      <c r="I19" s="1" t="s">
        <v>9</v>
      </c>
      <c r="J19" s="1" t="s">
        <v>9</v>
      </c>
      <c r="K19" s="1" t="s">
        <v>9</v>
      </c>
      <c r="L19" s="1" t="s">
        <v>9</v>
      </c>
      <c r="M19" s="1" t="s">
        <v>9</v>
      </c>
      <c r="N19" s="1" t="s">
        <v>9</v>
      </c>
      <c r="O19" s="1" t="s">
        <v>9</v>
      </c>
      <c r="P19" s="1" t="s">
        <v>9</v>
      </c>
      <c r="Q19" s="1" t="s">
        <v>9</v>
      </c>
      <c r="R19" s="6">
        <v>1</v>
      </c>
      <c r="S19" s="61">
        <v>2</v>
      </c>
      <c r="T19" s="61">
        <v>1</v>
      </c>
      <c r="U19" s="1" t="s">
        <v>9</v>
      </c>
      <c r="V19" s="1" t="s">
        <v>9</v>
      </c>
      <c r="W19" s="1" t="s">
        <v>9</v>
      </c>
      <c r="X19" s="1" t="s">
        <v>9</v>
      </c>
      <c r="Y19" s="79">
        <v>3</v>
      </c>
      <c r="Z19" s="3">
        <v>0</v>
      </c>
      <c r="AA19" s="3">
        <v>0</v>
      </c>
      <c r="AB19" s="3">
        <v>0</v>
      </c>
      <c r="AC19" s="1" t="s">
        <v>9</v>
      </c>
      <c r="AD19" s="3">
        <v>0</v>
      </c>
      <c r="AE19" s="3">
        <v>0</v>
      </c>
      <c r="AF19" s="3">
        <v>0</v>
      </c>
      <c r="AG19" s="1" t="s">
        <v>9</v>
      </c>
      <c r="AH19" s="1" t="s">
        <v>9</v>
      </c>
      <c r="AI19" s="1" t="s">
        <v>9</v>
      </c>
      <c r="AJ19" s="1" t="s">
        <v>9</v>
      </c>
      <c r="AK19" s="1" t="s">
        <v>9</v>
      </c>
      <c r="AL19" s="1" t="s">
        <v>9</v>
      </c>
      <c r="AM19" s="3">
        <v>0</v>
      </c>
      <c r="AN19" s="3">
        <v>0</v>
      </c>
      <c r="AO19" s="68">
        <v>2</v>
      </c>
      <c r="AP19" s="57">
        <v>3</v>
      </c>
      <c r="AQ19" s="3">
        <v>0</v>
      </c>
      <c r="AR19" s="53">
        <v>1</v>
      </c>
      <c r="AS19" s="56">
        <v>4</v>
      </c>
      <c r="AT19" s="70">
        <v>1</v>
      </c>
      <c r="AU19" s="3">
        <v>0</v>
      </c>
      <c r="AV19" s="74">
        <v>1</v>
      </c>
      <c r="AW19" s="58">
        <v>3</v>
      </c>
      <c r="AX19" s="60">
        <v>1</v>
      </c>
      <c r="AY19" s="3">
        <v>0</v>
      </c>
      <c r="AZ19" s="62">
        <v>1</v>
      </c>
      <c r="BA19" s="80">
        <v>3</v>
      </c>
      <c r="BB19" s="81">
        <v>1</v>
      </c>
      <c r="BC19" s="80">
        <v>9</v>
      </c>
      <c r="BD19" s="81">
        <v>1</v>
      </c>
      <c r="BE19" s="81">
        <v>1</v>
      </c>
      <c r="BF19" s="132">
        <v>10</v>
      </c>
      <c r="BG19" s="176">
        <v>10</v>
      </c>
      <c r="BH19" s="84">
        <v>5</v>
      </c>
      <c r="BI19" s="84">
        <v>5</v>
      </c>
      <c r="BJ19" s="85">
        <v>7</v>
      </c>
      <c r="BK19" s="132">
        <v>12</v>
      </c>
      <c r="BL19" s="70">
        <v>8</v>
      </c>
      <c r="BM19" s="60">
        <v>3</v>
      </c>
      <c r="BN19" s="81">
        <v>1</v>
      </c>
      <c r="BO19" s="3">
        <v>0</v>
      </c>
      <c r="BP19" s="3">
        <v>0</v>
      </c>
      <c r="BQ19" s="3">
        <v>0</v>
      </c>
      <c r="BR19" s="3">
        <v>0</v>
      </c>
      <c r="BS19" s="58">
        <v>1</v>
      </c>
      <c r="BT19" s="58">
        <v>2</v>
      </c>
      <c r="BU19" s="69">
        <v>5</v>
      </c>
      <c r="BV19" s="72">
        <v>2</v>
      </c>
      <c r="BW19" s="82">
        <v>4</v>
      </c>
      <c r="BX19" s="59">
        <v>1</v>
      </c>
      <c r="BY19" s="76">
        <v>2</v>
      </c>
      <c r="BZ19" s="62">
        <v>1</v>
      </c>
      <c r="CA19" s="177">
        <v>3</v>
      </c>
      <c r="CB19" s="3">
        <v>0</v>
      </c>
      <c r="CC19" s="162">
        <v>8</v>
      </c>
      <c r="CD19" s="61">
        <v>1</v>
      </c>
      <c r="CE19" s="177">
        <v>3</v>
      </c>
      <c r="CF19" s="3">
        <v>0</v>
      </c>
      <c r="CG19" s="1" t="s">
        <v>9</v>
      </c>
      <c r="CH19" s="1" t="s">
        <v>9</v>
      </c>
      <c r="CI19" s="1" t="s">
        <v>9</v>
      </c>
      <c r="CJ19" s="1" t="s">
        <v>9</v>
      </c>
      <c r="CK19" s="1" t="s">
        <v>9</v>
      </c>
      <c r="CL19" s="1" t="s">
        <v>9</v>
      </c>
      <c r="CM19" s="1" t="s">
        <v>9</v>
      </c>
      <c r="CN19" s="1" t="s">
        <v>9</v>
      </c>
      <c r="CO19" s="1" t="s">
        <v>9</v>
      </c>
      <c r="CP19" s="1" t="s">
        <v>9</v>
      </c>
      <c r="CQ19" s="1" t="s">
        <v>9</v>
      </c>
      <c r="CR19" s="1" t="s">
        <v>9</v>
      </c>
      <c r="CS19" s="1" t="s">
        <v>9</v>
      </c>
      <c r="CT19" s="1" t="s">
        <v>9</v>
      </c>
      <c r="CU19" s="1" t="s">
        <v>9</v>
      </c>
      <c r="CV19" s="1" t="s">
        <v>9</v>
      </c>
      <c r="CW19" s="1" t="s">
        <v>9</v>
      </c>
      <c r="CX19" s="1" t="s">
        <v>9</v>
      </c>
      <c r="CY19" s="1" t="s">
        <v>9</v>
      </c>
      <c r="CZ19" s="1" t="s">
        <v>9</v>
      </c>
      <c r="DA19" s="1" t="s">
        <v>9</v>
      </c>
      <c r="DB19" s="1" t="s">
        <v>9</v>
      </c>
      <c r="DC19" s="1" t="s">
        <v>9</v>
      </c>
      <c r="DD19" s="8" t="s">
        <v>9</v>
      </c>
      <c r="DE19" s="46"/>
      <c r="DF19" s="46"/>
      <c r="DG19" s="46"/>
      <c r="DH19" s="46"/>
      <c r="DI19" s="46"/>
      <c r="DJ19" s="46"/>
      <c r="DK19" s="46"/>
      <c r="DL19" s="46"/>
      <c r="DM19" s="46"/>
      <c r="DN19" s="46"/>
      <c r="DO19" s="46"/>
      <c r="DP19" s="46"/>
      <c r="DQ19" s="46"/>
      <c r="DR19" s="46"/>
      <c r="DS19" s="46"/>
      <c r="DT19" s="46"/>
      <c r="DU19" s="46"/>
      <c r="DV19" s="46"/>
      <c r="DW19" s="46"/>
      <c r="DX19" s="46"/>
      <c r="DY19" s="46"/>
      <c r="DZ19" s="46"/>
      <c r="EA19" s="46"/>
      <c r="EB19" s="46"/>
      <c r="EC19" s="47"/>
      <c r="ED19" s="46"/>
      <c r="EE19" s="46"/>
      <c r="EF19" s="46"/>
      <c r="EG19" s="46"/>
      <c r="EH19" s="46"/>
      <c r="EI19" s="46"/>
      <c r="EJ19" s="46"/>
      <c r="EK19" s="46"/>
      <c r="EL19" s="46"/>
      <c r="EM19" s="46"/>
      <c r="EN19" s="46"/>
      <c r="EO19" s="46"/>
      <c r="EP19" s="46"/>
      <c r="EQ19" s="46"/>
      <c r="ER19" s="46"/>
      <c r="ES19" s="46"/>
      <c r="ET19" s="46"/>
      <c r="EU19" s="46"/>
      <c r="EV19" s="46"/>
      <c r="EW19" s="46"/>
      <c r="EX19" s="46"/>
      <c r="EY19" s="46"/>
      <c r="EZ19" s="46"/>
      <c r="FA19" s="46"/>
      <c r="FB19" s="46"/>
      <c r="FC19" s="46"/>
      <c r="FD19" s="46"/>
      <c r="FE19" s="46"/>
      <c r="FF19" s="46"/>
      <c r="FG19" s="46"/>
      <c r="FH19" s="46"/>
      <c r="FI19" s="46"/>
      <c r="FJ19" s="46"/>
      <c r="FK19" s="46"/>
      <c r="FL19" s="47"/>
      <c r="FM19" s="46"/>
      <c r="FN19" s="46"/>
      <c r="FO19" s="46"/>
      <c r="FP19" s="46"/>
      <c r="FQ19" s="46"/>
      <c r="FR19" s="46"/>
      <c r="FS19" s="46"/>
      <c r="FT19" s="46"/>
      <c r="FU19" s="46"/>
      <c r="FV19" s="46"/>
      <c r="FW19" s="46"/>
      <c r="FX19" s="46"/>
      <c r="FY19" s="46"/>
      <c r="FZ19" s="46"/>
      <c r="GA19" s="46"/>
      <c r="GB19" s="46"/>
      <c r="GC19" s="46"/>
      <c r="GD19" s="46"/>
      <c r="GE19" s="46"/>
      <c r="GF19" s="46"/>
      <c r="GG19" s="46"/>
      <c r="GH19" s="46"/>
      <c r="GI19" s="46"/>
      <c r="GJ19" s="46"/>
      <c r="GK19" s="46"/>
      <c r="GL19" s="46"/>
      <c r="GM19" s="46"/>
      <c r="GN19" s="46"/>
      <c r="GO19" s="46"/>
      <c r="GP19" s="46"/>
      <c r="GQ19" s="46"/>
      <c r="GR19" s="46"/>
      <c r="GS19" s="46"/>
      <c r="GT19" s="46"/>
      <c r="GU19" s="46"/>
      <c r="GV19" s="46"/>
      <c r="GW19" s="46"/>
      <c r="GX19" s="46"/>
      <c r="GY19" s="46"/>
      <c r="GZ19" s="46"/>
      <c r="HA19" s="46"/>
      <c r="HB19" s="46"/>
      <c r="HC19" s="46"/>
      <c r="HD19" s="46"/>
      <c r="HE19" s="46"/>
      <c r="HF19" s="46"/>
      <c r="HG19" s="46"/>
      <c r="HH19" s="46"/>
      <c r="HI19" s="46"/>
      <c r="HJ19" s="46"/>
      <c r="HK19" s="46"/>
      <c r="HL19" s="46"/>
      <c r="HM19" s="46"/>
      <c r="HN19" s="46"/>
      <c r="HO19" s="46"/>
      <c r="HP19" s="46"/>
      <c r="HQ19" s="46"/>
      <c r="HR19" s="46"/>
      <c r="HS19" s="46"/>
      <c r="HT19" s="46"/>
      <c r="HU19" s="46"/>
      <c r="HV19" s="46"/>
      <c r="HW19" s="46"/>
      <c r="HX19" s="46"/>
      <c r="HY19" s="46"/>
      <c r="HZ19" s="46"/>
      <c r="IA19" s="46"/>
      <c r="IB19" s="46"/>
      <c r="IC19" s="46"/>
      <c r="ID19" s="46"/>
      <c r="IE19" s="46"/>
      <c r="IF19" s="46"/>
      <c r="IG19" s="46"/>
      <c r="IH19" s="46"/>
      <c r="II19" s="46"/>
      <c r="IJ19" s="46"/>
      <c r="IK19" s="46"/>
      <c r="IL19" s="46"/>
      <c r="IM19" s="46"/>
      <c r="IN19" s="46"/>
      <c r="IO19" s="46"/>
      <c r="IP19" s="46"/>
      <c r="IQ19" s="46"/>
      <c r="IR19" s="46"/>
      <c r="IS19" s="46"/>
      <c r="IT19" s="46"/>
      <c r="IU19" s="46"/>
      <c r="IV19" s="46"/>
      <c r="IW19" s="46"/>
      <c r="IX19" s="47"/>
      <c r="IY19">
        <f t="shared" si="0"/>
        <v>12</v>
      </c>
    </row>
    <row r="20" spans="1:259" x14ac:dyDescent="0.25">
      <c r="A20" s="561"/>
      <c r="B20" s="219"/>
      <c r="C20" s="11" t="s">
        <v>4</v>
      </c>
      <c r="D20" s="1" t="s">
        <v>9</v>
      </c>
      <c r="E20" s="1" t="s">
        <v>9</v>
      </c>
      <c r="F20" s="1" t="s">
        <v>9</v>
      </c>
      <c r="G20" s="1" t="s">
        <v>9</v>
      </c>
      <c r="H20" s="1" t="s">
        <v>9</v>
      </c>
      <c r="I20" s="1" t="s">
        <v>9</v>
      </c>
      <c r="J20" s="1" t="s">
        <v>9</v>
      </c>
      <c r="K20" s="1" t="s">
        <v>9</v>
      </c>
      <c r="L20" s="1" t="s">
        <v>9</v>
      </c>
      <c r="M20" s="1" t="s">
        <v>9</v>
      </c>
      <c r="N20" s="1" t="s">
        <v>9</v>
      </c>
      <c r="O20" s="1" t="s">
        <v>9</v>
      </c>
      <c r="P20" s="1" t="s">
        <v>9</v>
      </c>
      <c r="Q20" s="1" t="s">
        <v>9</v>
      </c>
      <c r="R20" s="3">
        <v>0</v>
      </c>
      <c r="S20" s="3">
        <v>0</v>
      </c>
      <c r="T20" s="61">
        <v>1</v>
      </c>
      <c r="U20" s="1" t="s">
        <v>9</v>
      </c>
      <c r="V20" s="1" t="s">
        <v>9</v>
      </c>
      <c r="W20" s="1" t="s">
        <v>9</v>
      </c>
      <c r="X20" s="1" t="s">
        <v>9</v>
      </c>
      <c r="Y20" s="3">
        <v>0</v>
      </c>
      <c r="Z20" s="6">
        <v>6</v>
      </c>
      <c r="AA20" s="6">
        <v>3</v>
      </c>
      <c r="AB20" s="6">
        <v>4</v>
      </c>
      <c r="AC20" s="1" t="s">
        <v>9</v>
      </c>
      <c r="AD20" s="6">
        <v>1</v>
      </c>
      <c r="AE20" s="6">
        <v>4</v>
      </c>
      <c r="AF20" s="53">
        <v>1</v>
      </c>
      <c r="AG20" s="1" t="s">
        <v>9</v>
      </c>
      <c r="AH20" s="1" t="s">
        <v>9</v>
      </c>
      <c r="AI20" s="1" t="s">
        <v>9</v>
      </c>
      <c r="AJ20" s="1" t="s">
        <v>9</v>
      </c>
      <c r="AK20" s="1" t="s">
        <v>9</v>
      </c>
      <c r="AL20" s="1" t="s">
        <v>9</v>
      </c>
      <c r="AM20" s="6">
        <v>1</v>
      </c>
      <c r="AN20" s="3">
        <v>0</v>
      </c>
      <c r="AO20" s="89">
        <v>3</v>
      </c>
      <c r="AP20" s="3">
        <v>0</v>
      </c>
      <c r="AQ20" s="3">
        <v>0</v>
      </c>
      <c r="AR20" s="3">
        <v>0</v>
      </c>
      <c r="AS20" s="3">
        <v>0</v>
      </c>
      <c r="AT20" s="90">
        <v>5</v>
      </c>
      <c r="AU20" s="53">
        <v>2</v>
      </c>
      <c r="AV20" s="91">
        <v>13</v>
      </c>
      <c r="AW20" s="92">
        <v>19</v>
      </c>
      <c r="AX20" s="93">
        <v>9</v>
      </c>
      <c r="AY20" s="52">
        <v>21</v>
      </c>
      <c r="AZ20" s="94">
        <v>12</v>
      </c>
      <c r="BA20" s="95">
        <v>10</v>
      </c>
      <c r="BB20" s="52">
        <v>36</v>
      </c>
      <c r="BC20" s="96">
        <v>21</v>
      </c>
      <c r="BD20" s="52">
        <v>30</v>
      </c>
      <c r="BE20" s="178">
        <v>37</v>
      </c>
      <c r="BF20" s="145">
        <v>20</v>
      </c>
      <c r="BG20" s="179">
        <v>19</v>
      </c>
      <c r="BH20" s="98">
        <v>30</v>
      </c>
      <c r="BI20" s="55">
        <v>20</v>
      </c>
      <c r="BJ20" s="99">
        <v>15</v>
      </c>
      <c r="BK20" s="180">
        <v>24</v>
      </c>
      <c r="BL20" s="181">
        <v>33</v>
      </c>
      <c r="BM20" s="182">
        <v>26</v>
      </c>
      <c r="BN20" s="103">
        <v>39</v>
      </c>
      <c r="BO20" s="6">
        <v>7</v>
      </c>
      <c r="BP20" s="183">
        <v>22</v>
      </c>
      <c r="BQ20" s="105">
        <v>22</v>
      </c>
      <c r="BR20" s="99">
        <v>10</v>
      </c>
      <c r="BS20" s="52">
        <v>6</v>
      </c>
      <c r="BT20" s="91">
        <v>13</v>
      </c>
      <c r="BU20" s="99">
        <v>20</v>
      </c>
      <c r="BV20" s="184">
        <v>12</v>
      </c>
      <c r="BW20" s="185">
        <v>7</v>
      </c>
      <c r="BX20" s="52">
        <v>9</v>
      </c>
      <c r="BY20" s="110">
        <v>11</v>
      </c>
      <c r="BZ20" s="83">
        <v>4</v>
      </c>
      <c r="CA20" s="135">
        <v>7</v>
      </c>
      <c r="CB20" s="61">
        <v>1</v>
      </c>
      <c r="CC20" s="161">
        <v>10</v>
      </c>
      <c r="CD20" s="3">
        <v>0</v>
      </c>
      <c r="CE20" s="3">
        <v>0</v>
      </c>
      <c r="CF20" s="3">
        <v>0</v>
      </c>
      <c r="CG20" s="1" t="s">
        <v>9</v>
      </c>
      <c r="CH20" s="1" t="s">
        <v>9</v>
      </c>
      <c r="CI20" s="1" t="s">
        <v>9</v>
      </c>
      <c r="CJ20" s="1" t="s">
        <v>9</v>
      </c>
      <c r="CK20" s="1" t="s">
        <v>9</v>
      </c>
      <c r="CL20" s="1" t="s">
        <v>9</v>
      </c>
      <c r="CM20" s="1" t="s">
        <v>9</v>
      </c>
      <c r="CN20" s="1" t="s">
        <v>9</v>
      </c>
      <c r="CO20" s="1" t="s">
        <v>9</v>
      </c>
      <c r="CP20" s="1" t="s">
        <v>9</v>
      </c>
      <c r="CQ20" s="1" t="s">
        <v>9</v>
      </c>
      <c r="CR20" s="1" t="s">
        <v>9</v>
      </c>
      <c r="CS20" s="1" t="s">
        <v>9</v>
      </c>
      <c r="CT20" s="1" t="s">
        <v>9</v>
      </c>
      <c r="CU20" s="1" t="s">
        <v>9</v>
      </c>
      <c r="CV20" s="1" t="s">
        <v>9</v>
      </c>
      <c r="CW20" s="1" t="s">
        <v>9</v>
      </c>
      <c r="CX20" s="1" t="s">
        <v>9</v>
      </c>
      <c r="CY20" s="1" t="s">
        <v>9</v>
      </c>
      <c r="CZ20" s="1" t="s">
        <v>9</v>
      </c>
      <c r="DA20" s="1" t="s">
        <v>9</v>
      </c>
      <c r="DB20" s="1" t="s">
        <v>9</v>
      </c>
      <c r="DC20" s="1" t="s">
        <v>9</v>
      </c>
      <c r="DD20" s="8" t="s">
        <v>9</v>
      </c>
      <c r="DE20" s="46"/>
      <c r="DF20" s="46"/>
      <c r="DG20" s="46"/>
      <c r="DH20" s="46"/>
      <c r="DI20" s="46"/>
      <c r="DJ20" s="46"/>
      <c r="DK20" s="46"/>
      <c r="DL20" s="46"/>
      <c r="DM20" s="46"/>
      <c r="DN20" s="46"/>
      <c r="DO20" s="46"/>
      <c r="DP20" s="46"/>
      <c r="DQ20" s="46"/>
      <c r="DR20" s="46"/>
      <c r="DS20" s="46"/>
      <c r="DT20" s="46"/>
      <c r="DU20" s="46"/>
      <c r="DV20" s="46"/>
      <c r="DW20" s="46"/>
      <c r="DX20" s="46"/>
      <c r="DY20" s="46"/>
      <c r="DZ20" s="46"/>
      <c r="EA20" s="46"/>
      <c r="EB20" s="46"/>
      <c r="EC20" s="47"/>
      <c r="ED20" s="46"/>
      <c r="EE20" s="46"/>
      <c r="EF20" s="46"/>
      <c r="EG20" s="46"/>
      <c r="EH20" s="46"/>
      <c r="EI20" s="46"/>
      <c r="EJ20" s="46"/>
      <c r="EK20" s="46"/>
      <c r="EL20" s="46"/>
      <c r="EM20" s="46"/>
      <c r="EN20" s="46"/>
      <c r="EO20" s="46"/>
      <c r="EP20" s="46"/>
      <c r="EQ20" s="46"/>
      <c r="ER20" s="46"/>
      <c r="ES20" s="46"/>
      <c r="ET20" s="46"/>
      <c r="EU20" s="46"/>
      <c r="EV20" s="46"/>
      <c r="EW20" s="46"/>
      <c r="EX20" s="46"/>
      <c r="EY20" s="46"/>
      <c r="EZ20" s="46"/>
      <c r="FA20" s="46"/>
      <c r="FB20" s="46"/>
      <c r="FC20" s="46"/>
      <c r="FD20" s="46"/>
      <c r="FE20" s="46"/>
      <c r="FF20" s="46"/>
      <c r="FG20" s="46"/>
      <c r="FH20" s="46"/>
      <c r="FI20" s="46"/>
      <c r="FJ20" s="46"/>
      <c r="FK20" s="46"/>
      <c r="FL20" s="47"/>
      <c r="FM20" s="46"/>
      <c r="FN20" s="46"/>
      <c r="FO20" s="46"/>
      <c r="FP20" s="46"/>
      <c r="FQ20" s="46"/>
      <c r="FR20" s="46"/>
      <c r="FS20" s="46"/>
      <c r="FT20" s="46"/>
      <c r="FU20" s="46"/>
      <c r="FV20" s="46"/>
      <c r="FW20" s="46"/>
      <c r="FX20" s="46"/>
      <c r="FY20" s="46"/>
      <c r="FZ20" s="46"/>
      <c r="GA20" s="46"/>
      <c r="GB20" s="46"/>
      <c r="GC20" s="46"/>
      <c r="GD20" s="46"/>
      <c r="GE20" s="46"/>
      <c r="GF20" s="46"/>
      <c r="GG20" s="46"/>
      <c r="GH20" s="46"/>
      <c r="GI20" s="46"/>
      <c r="GJ20" s="46"/>
      <c r="GK20" s="46"/>
      <c r="GL20" s="46"/>
      <c r="GM20" s="46"/>
      <c r="GN20" s="46"/>
      <c r="GO20" s="46"/>
      <c r="GP20" s="46"/>
      <c r="GQ20" s="46"/>
      <c r="GR20" s="46"/>
      <c r="GS20" s="46"/>
      <c r="GT20" s="46"/>
      <c r="GU20" s="46"/>
      <c r="GV20" s="46"/>
      <c r="GW20" s="46"/>
      <c r="GX20" s="46"/>
      <c r="GY20" s="46"/>
      <c r="GZ20" s="46"/>
      <c r="HA20" s="46"/>
      <c r="HB20" s="46"/>
      <c r="HC20" s="46"/>
      <c r="HD20" s="46"/>
      <c r="HE20" s="46"/>
      <c r="HF20" s="46"/>
      <c r="HG20" s="46"/>
      <c r="HH20" s="46"/>
      <c r="HI20" s="46"/>
      <c r="HJ20" s="46"/>
      <c r="HK20" s="46"/>
      <c r="HL20" s="46"/>
      <c r="HM20" s="46"/>
      <c r="HN20" s="46"/>
      <c r="HO20" s="46"/>
      <c r="HP20" s="46"/>
      <c r="HQ20" s="46"/>
      <c r="HR20" s="46"/>
      <c r="HS20" s="46"/>
      <c r="HT20" s="46"/>
      <c r="HU20" s="46"/>
      <c r="HV20" s="46"/>
      <c r="HW20" s="46"/>
      <c r="HX20" s="46"/>
      <c r="HY20" s="46"/>
      <c r="HZ20" s="46"/>
      <c r="IA20" s="46"/>
      <c r="IB20" s="46"/>
      <c r="IC20" s="46"/>
      <c r="ID20" s="46"/>
      <c r="IE20" s="46"/>
      <c r="IF20" s="46"/>
      <c r="IG20" s="46"/>
      <c r="IH20" s="46"/>
      <c r="II20" s="46"/>
      <c r="IJ20" s="46"/>
      <c r="IK20" s="46"/>
      <c r="IL20" s="46"/>
      <c r="IM20" s="46"/>
      <c r="IN20" s="46"/>
      <c r="IO20" s="46"/>
      <c r="IP20" s="46"/>
      <c r="IQ20" s="46"/>
      <c r="IR20" s="46"/>
      <c r="IS20" s="46"/>
      <c r="IT20" s="46"/>
      <c r="IU20" s="46"/>
      <c r="IV20" s="46"/>
      <c r="IW20" s="46"/>
      <c r="IX20" s="47"/>
      <c r="IY20">
        <f t="shared" si="0"/>
        <v>39</v>
      </c>
    </row>
    <row r="21" spans="1:259" x14ac:dyDescent="0.25">
      <c r="A21" s="561"/>
      <c r="B21" s="219"/>
      <c r="C21" s="11" t="s">
        <v>10</v>
      </c>
      <c r="D21" s="1" t="s">
        <v>9</v>
      </c>
      <c r="E21" s="1" t="s">
        <v>9</v>
      </c>
      <c r="F21" s="1" t="s">
        <v>9</v>
      </c>
      <c r="G21" s="1" t="s">
        <v>9</v>
      </c>
      <c r="H21" s="1" t="s">
        <v>9</v>
      </c>
      <c r="I21" s="1" t="s">
        <v>9</v>
      </c>
      <c r="J21" s="1" t="s">
        <v>9</v>
      </c>
      <c r="K21" s="1" t="s">
        <v>9</v>
      </c>
      <c r="L21" s="1" t="s">
        <v>9</v>
      </c>
      <c r="M21" s="1" t="s">
        <v>9</v>
      </c>
      <c r="N21" s="1" t="s">
        <v>9</v>
      </c>
      <c r="O21" s="1" t="s">
        <v>9</v>
      </c>
      <c r="P21" s="1" t="s">
        <v>9</v>
      </c>
      <c r="Q21" s="1" t="s">
        <v>9</v>
      </c>
      <c r="R21" s="3">
        <v>0</v>
      </c>
      <c r="S21" s="99">
        <v>5</v>
      </c>
      <c r="T21" s="52">
        <v>3</v>
      </c>
      <c r="U21" s="1" t="s">
        <v>9</v>
      </c>
      <c r="V21" s="6">
        <v>1</v>
      </c>
      <c r="W21" s="1" t="s">
        <v>9</v>
      </c>
      <c r="X21" s="6">
        <v>1</v>
      </c>
      <c r="Y21" s="89">
        <v>2</v>
      </c>
      <c r="Z21" s="3">
        <v>0</v>
      </c>
      <c r="AA21" s="3">
        <v>0</v>
      </c>
      <c r="AB21" s="3">
        <v>0</v>
      </c>
      <c r="AC21" s="3">
        <v>0</v>
      </c>
      <c r="AD21" s="3">
        <v>0</v>
      </c>
      <c r="AE21" s="3">
        <v>0</v>
      </c>
      <c r="AF21" s="3">
        <v>0</v>
      </c>
      <c r="AG21" s="1" t="s">
        <v>9</v>
      </c>
      <c r="AH21" s="1" t="s">
        <v>9</v>
      </c>
      <c r="AI21" s="1" t="s">
        <v>9</v>
      </c>
      <c r="AJ21" s="1" t="s">
        <v>9</v>
      </c>
      <c r="AK21" s="1" t="s">
        <v>9</v>
      </c>
      <c r="AL21" s="1" t="s">
        <v>9</v>
      </c>
      <c r="AM21" s="3">
        <v>0</v>
      </c>
      <c r="AN21" s="1" t="s">
        <v>9</v>
      </c>
      <c r="AO21" s="98">
        <v>2</v>
      </c>
      <c r="AP21" s="98">
        <v>6</v>
      </c>
      <c r="AQ21" s="98">
        <v>2</v>
      </c>
      <c r="AR21" s="79">
        <v>3</v>
      </c>
      <c r="AS21" s="116">
        <v>2</v>
      </c>
      <c r="AT21" s="61">
        <v>1</v>
      </c>
      <c r="AU21" s="70">
        <v>1</v>
      </c>
      <c r="AV21" s="67">
        <v>3</v>
      </c>
      <c r="AW21" s="71">
        <v>1</v>
      </c>
      <c r="AX21" s="117">
        <v>2</v>
      </c>
      <c r="AY21" s="57">
        <v>15</v>
      </c>
      <c r="AZ21" s="60">
        <v>2</v>
      </c>
      <c r="BA21" s="74">
        <v>1</v>
      </c>
      <c r="BB21" s="61">
        <v>8</v>
      </c>
      <c r="BC21" s="118">
        <v>14</v>
      </c>
      <c r="BD21" s="80">
        <v>9</v>
      </c>
      <c r="BE21" s="117">
        <v>4</v>
      </c>
      <c r="BF21" s="69">
        <v>6</v>
      </c>
      <c r="BG21" s="117">
        <v>5</v>
      </c>
      <c r="BH21" s="119">
        <v>14</v>
      </c>
      <c r="BI21" s="120">
        <v>21</v>
      </c>
      <c r="BJ21" s="121">
        <v>14</v>
      </c>
      <c r="BK21" s="87">
        <v>6</v>
      </c>
      <c r="BL21" s="124">
        <v>9</v>
      </c>
      <c r="BM21" s="186">
        <v>7</v>
      </c>
      <c r="BN21" s="68">
        <v>7</v>
      </c>
      <c r="BO21" s="3">
        <v>0</v>
      </c>
      <c r="BP21" s="3">
        <v>0</v>
      </c>
      <c r="BQ21" s="123">
        <v>5</v>
      </c>
      <c r="BR21" s="117">
        <v>1</v>
      </c>
      <c r="BS21" s="71">
        <v>1</v>
      </c>
      <c r="BT21" s="58">
        <v>2</v>
      </c>
      <c r="BU21" s="80">
        <v>7</v>
      </c>
      <c r="BV21" s="126">
        <v>7</v>
      </c>
      <c r="BW21" s="75">
        <v>4</v>
      </c>
      <c r="BX21" s="80">
        <v>4</v>
      </c>
      <c r="BY21" s="70">
        <v>2</v>
      </c>
      <c r="BZ21" s="53">
        <v>6</v>
      </c>
      <c r="CA21" s="3">
        <v>0</v>
      </c>
      <c r="CB21" s="58">
        <v>1</v>
      </c>
      <c r="CC21" s="83">
        <v>6</v>
      </c>
      <c r="CD21" s="152">
        <v>8</v>
      </c>
      <c r="CE21" s="160">
        <v>8</v>
      </c>
      <c r="CF21" s="6">
        <v>1</v>
      </c>
      <c r="CG21" s="1" t="s">
        <v>9</v>
      </c>
      <c r="CH21" s="1" t="s">
        <v>9</v>
      </c>
      <c r="CI21" s="1" t="s">
        <v>9</v>
      </c>
      <c r="CJ21" s="1" t="s">
        <v>9</v>
      </c>
      <c r="CK21" s="1" t="s">
        <v>9</v>
      </c>
      <c r="CL21" s="1" t="s">
        <v>9</v>
      </c>
      <c r="CM21" s="1" t="s">
        <v>9</v>
      </c>
      <c r="CN21" s="1" t="s">
        <v>9</v>
      </c>
      <c r="CO21" s="1" t="s">
        <v>9</v>
      </c>
      <c r="CP21" s="1" t="s">
        <v>9</v>
      </c>
      <c r="CQ21" s="1" t="s">
        <v>9</v>
      </c>
      <c r="CR21" s="1" t="s">
        <v>9</v>
      </c>
      <c r="CS21" s="1" t="s">
        <v>9</v>
      </c>
      <c r="CT21" s="1" t="s">
        <v>9</v>
      </c>
      <c r="CU21" s="1" t="s">
        <v>9</v>
      </c>
      <c r="CV21" s="1" t="s">
        <v>9</v>
      </c>
      <c r="CW21" s="1" t="s">
        <v>9</v>
      </c>
      <c r="CX21" s="1" t="s">
        <v>9</v>
      </c>
      <c r="CY21" s="1" t="s">
        <v>9</v>
      </c>
      <c r="CZ21" s="1" t="s">
        <v>9</v>
      </c>
      <c r="DA21" s="1" t="s">
        <v>9</v>
      </c>
      <c r="DB21" s="1" t="s">
        <v>9</v>
      </c>
      <c r="DC21" s="1" t="s">
        <v>9</v>
      </c>
      <c r="DD21" s="8" t="s">
        <v>9</v>
      </c>
      <c r="DE21" s="46"/>
      <c r="DF21" s="46"/>
      <c r="DG21" s="46"/>
      <c r="DH21" s="46"/>
      <c r="DI21" s="46"/>
      <c r="DJ21" s="46"/>
      <c r="DK21" s="46"/>
      <c r="DL21" s="46"/>
      <c r="DM21" s="46"/>
      <c r="DN21" s="46"/>
      <c r="DO21" s="46"/>
      <c r="DP21" s="46"/>
      <c r="DQ21" s="46"/>
      <c r="DR21" s="46"/>
      <c r="DS21" s="46"/>
      <c r="DT21" s="46"/>
      <c r="DU21" s="46"/>
      <c r="DV21" s="46"/>
      <c r="DW21" s="46"/>
      <c r="DX21" s="46"/>
      <c r="DY21" s="46"/>
      <c r="DZ21" s="46"/>
      <c r="EA21" s="46"/>
      <c r="EB21" s="46"/>
      <c r="EC21" s="47"/>
      <c r="ED21" s="46"/>
      <c r="EE21" s="46"/>
      <c r="EF21" s="46"/>
      <c r="EG21" s="46"/>
      <c r="EH21" s="46"/>
      <c r="EI21" s="46"/>
      <c r="EJ21" s="46"/>
      <c r="EK21" s="46"/>
      <c r="EL21" s="46"/>
      <c r="EM21" s="46"/>
      <c r="EN21" s="46"/>
      <c r="EO21" s="46"/>
      <c r="EP21" s="46"/>
      <c r="EQ21" s="46"/>
      <c r="ER21" s="46"/>
      <c r="ES21" s="46"/>
      <c r="ET21" s="46"/>
      <c r="EU21" s="46"/>
      <c r="EV21" s="46"/>
      <c r="EW21" s="46"/>
      <c r="EX21" s="46"/>
      <c r="EY21" s="46"/>
      <c r="EZ21" s="46"/>
      <c r="FA21" s="46"/>
      <c r="FB21" s="46"/>
      <c r="FC21" s="46"/>
      <c r="FD21" s="46"/>
      <c r="FE21" s="46"/>
      <c r="FF21" s="46"/>
      <c r="FG21" s="46"/>
      <c r="FH21" s="46"/>
      <c r="FI21" s="46"/>
      <c r="FJ21" s="46"/>
      <c r="FK21" s="46"/>
      <c r="FL21" s="47"/>
      <c r="FM21" s="46"/>
      <c r="FN21" s="46"/>
      <c r="FO21" s="46"/>
      <c r="FP21" s="46"/>
      <c r="FQ21" s="46"/>
      <c r="FR21" s="46"/>
      <c r="FS21" s="46"/>
      <c r="FT21" s="46"/>
      <c r="FU21" s="46"/>
      <c r="FV21" s="46"/>
      <c r="FW21" s="46"/>
      <c r="FX21" s="46"/>
      <c r="FY21" s="46"/>
      <c r="FZ21" s="46"/>
      <c r="GA21" s="46"/>
      <c r="GB21" s="46"/>
      <c r="GC21" s="46"/>
      <c r="GD21" s="46"/>
      <c r="GE21" s="46"/>
      <c r="GF21" s="46"/>
      <c r="GG21" s="46"/>
      <c r="GH21" s="46"/>
      <c r="GI21" s="46"/>
      <c r="GJ21" s="46"/>
      <c r="GK21" s="46"/>
      <c r="GL21" s="46"/>
      <c r="GM21" s="46"/>
      <c r="GN21" s="46"/>
      <c r="GO21" s="46"/>
      <c r="GP21" s="46"/>
      <c r="GQ21" s="46"/>
      <c r="GR21" s="46"/>
      <c r="GS21" s="46"/>
      <c r="GT21" s="46"/>
      <c r="GU21" s="46"/>
      <c r="GV21" s="46"/>
      <c r="GW21" s="46"/>
      <c r="GX21" s="46"/>
      <c r="GY21" s="46"/>
      <c r="GZ21" s="46"/>
      <c r="HA21" s="46"/>
      <c r="HB21" s="46"/>
      <c r="HC21" s="46"/>
      <c r="HD21" s="46"/>
      <c r="HE21" s="46"/>
      <c r="HF21" s="46"/>
      <c r="HG21" s="46"/>
      <c r="HH21" s="46"/>
      <c r="HI21" s="46"/>
      <c r="HJ21" s="46"/>
      <c r="HK21" s="46"/>
      <c r="HL21" s="46"/>
      <c r="HM21" s="46"/>
      <c r="HN21" s="46"/>
      <c r="HO21" s="46"/>
      <c r="HP21" s="46"/>
      <c r="HQ21" s="46"/>
      <c r="HR21" s="46"/>
      <c r="HS21" s="46"/>
      <c r="HT21" s="46"/>
      <c r="HU21" s="46"/>
      <c r="HV21" s="46"/>
      <c r="HW21" s="46"/>
      <c r="HX21" s="46"/>
      <c r="HY21" s="46"/>
      <c r="HZ21" s="46"/>
      <c r="IA21" s="46"/>
      <c r="IB21" s="46"/>
      <c r="IC21" s="46"/>
      <c r="ID21" s="46"/>
      <c r="IE21" s="46"/>
      <c r="IF21" s="46"/>
      <c r="IG21" s="46"/>
      <c r="IH21" s="46"/>
      <c r="II21" s="46"/>
      <c r="IJ21" s="46"/>
      <c r="IK21" s="46"/>
      <c r="IL21" s="46"/>
      <c r="IM21" s="46"/>
      <c r="IN21" s="46"/>
      <c r="IO21" s="46"/>
      <c r="IP21" s="46"/>
      <c r="IQ21" s="46"/>
      <c r="IR21" s="46"/>
      <c r="IS21" s="46"/>
      <c r="IT21" s="46"/>
      <c r="IU21" s="46"/>
      <c r="IV21" s="46"/>
      <c r="IW21" s="46"/>
      <c r="IX21" s="47"/>
      <c r="IY21">
        <f t="shared" si="0"/>
        <v>21</v>
      </c>
    </row>
    <row r="22" spans="1:259" x14ac:dyDescent="0.25">
      <c r="A22" s="561"/>
      <c r="B22" s="219"/>
      <c r="C22" s="11" t="s">
        <v>2</v>
      </c>
      <c r="D22" s="1" t="s">
        <v>9</v>
      </c>
      <c r="E22" s="1" t="s">
        <v>9</v>
      </c>
      <c r="F22" s="1" t="s">
        <v>9</v>
      </c>
      <c r="G22" s="1" t="s">
        <v>9</v>
      </c>
      <c r="H22" s="1" t="s">
        <v>9</v>
      </c>
      <c r="I22" s="1" t="s">
        <v>9</v>
      </c>
      <c r="J22" s="1" t="s">
        <v>9</v>
      </c>
      <c r="K22" s="1" t="s">
        <v>9</v>
      </c>
      <c r="L22" s="1" t="s">
        <v>9</v>
      </c>
      <c r="M22" s="1" t="s">
        <v>9</v>
      </c>
      <c r="N22" s="1" t="s">
        <v>9</v>
      </c>
      <c r="O22" s="1" t="s">
        <v>9</v>
      </c>
      <c r="P22" s="1" t="s">
        <v>9</v>
      </c>
      <c r="Q22" s="1" t="s">
        <v>9</v>
      </c>
      <c r="R22" s="6">
        <v>1</v>
      </c>
      <c r="S22" s="73">
        <v>3</v>
      </c>
      <c r="T22" s="61">
        <v>1</v>
      </c>
      <c r="U22" s="1" t="s">
        <v>9</v>
      </c>
      <c r="V22" s="3">
        <v>0</v>
      </c>
      <c r="W22" s="1" t="s">
        <v>9</v>
      </c>
      <c r="X22" s="3">
        <v>0</v>
      </c>
      <c r="Y22" s="98">
        <v>4</v>
      </c>
      <c r="Z22" s="3">
        <v>0</v>
      </c>
      <c r="AA22" s="3">
        <v>0</v>
      </c>
      <c r="AB22" s="3">
        <v>0</v>
      </c>
      <c r="AC22" s="3">
        <v>0</v>
      </c>
      <c r="AD22" s="3">
        <v>0</v>
      </c>
      <c r="AE22" s="3">
        <v>0</v>
      </c>
      <c r="AF22" s="3">
        <v>0</v>
      </c>
      <c r="AG22" s="1" t="s">
        <v>9</v>
      </c>
      <c r="AH22" s="1" t="s">
        <v>9</v>
      </c>
      <c r="AI22" s="1" t="s">
        <v>9</v>
      </c>
      <c r="AJ22" s="1" t="s">
        <v>9</v>
      </c>
      <c r="AK22" s="1" t="s">
        <v>9</v>
      </c>
      <c r="AL22" s="1" t="s">
        <v>9</v>
      </c>
      <c r="AM22" s="3">
        <v>0</v>
      </c>
      <c r="AN22" s="1" t="s">
        <v>9</v>
      </c>
      <c r="AO22" s="89">
        <v>1</v>
      </c>
      <c r="AP22" s="89">
        <v>3</v>
      </c>
      <c r="AQ22" s="89">
        <v>1</v>
      </c>
      <c r="AR22" s="75">
        <v>1</v>
      </c>
      <c r="AS22" s="127">
        <v>7</v>
      </c>
      <c r="AT22" s="61">
        <v>1</v>
      </c>
      <c r="AU22" s="89">
        <v>2</v>
      </c>
      <c r="AV22" s="117">
        <v>2</v>
      </c>
      <c r="AW22" s="88">
        <v>4</v>
      </c>
      <c r="AX22" s="75">
        <v>4</v>
      </c>
      <c r="AY22" s="66">
        <v>1</v>
      </c>
      <c r="AZ22" s="71">
        <v>1</v>
      </c>
      <c r="BA22" s="88">
        <v>3</v>
      </c>
      <c r="BB22" s="69">
        <v>5</v>
      </c>
      <c r="BC22" s="128">
        <v>2</v>
      </c>
      <c r="BD22" s="81">
        <v>1</v>
      </c>
      <c r="BE22" s="72">
        <v>5</v>
      </c>
      <c r="BF22" s="58">
        <v>5</v>
      </c>
      <c r="BG22" s="70">
        <v>8</v>
      </c>
      <c r="BH22" s="71">
        <v>2</v>
      </c>
      <c r="BI22" s="81">
        <v>1</v>
      </c>
      <c r="BJ22" s="124">
        <v>7</v>
      </c>
      <c r="BK22" s="54">
        <v>16</v>
      </c>
      <c r="BL22" s="125">
        <v>8</v>
      </c>
      <c r="BM22" s="186">
        <v>7</v>
      </c>
      <c r="BN22" s="58">
        <v>4</v>
      </c>
      <c r="BO22" s="117">
        <v>1</v>
      </c>
      <c r="BP22" s="81">
        <v>1</v>
      </c>
      <c r="BQ22" s="3">
        <v>0</v>
      </c>
      <c r="BR22" s="3">
        <v>0</v>
      </c>
      <c r="BS22" s="126">
        <v>6</v>
      </c>
      <c r="BT22" s="122">
        <v>3</v>
      </c>
      <c r="BU22" s="72">
        <v>4</v>
      </c>
      <c r="BV22" s="72">
        <v>3</v>
      </c>
      <c r="BW22" s="54">
        <v>8</v>
      </c>
      <c r="BX22" s="80">
        <v>4</v>
      </c>
      <c r="BY22" s="3">
        <v>0</v>
      </c>
      <c r="BZ22" s="3">
        <v>0</v>
      </c>
      <c r="CA22" s="177">
        <v>3</v>
      </c>
      <c r="CB22" s="52">
        <v>6</v>
      </c>
      <c r="CC22" s="89">
        <v>7</v>
      </c>
      <c r="CD22" s="63">
        <v>3</v>
      </c>
      <c r="CE22" s="126">
        <v>3</v>
      </c>
      <c r="CF22" s="3">
        <v>0</v>
      </c>
      <c r="CG22" s="1" t="s">
        <v>9</v>
      </c>
      <c r="CH22" s="1" t="s">
        <v>9</v>
      </c>
      <c r="CI22" s="1" t="s">
        <v>9</v>
      </c>
      <c r="CJ22" s="1" t="s">
        <v>9</v>
      </c>
      <c r="CK22" s="1" t="s">
        <v>9</v>
      </c>
      <c r="CL22" s="1" t="s">
        <v>9</v>
      </c>
      <c r="CM22" s="1" t="s">
        <v>9</v>
      </c>
      <c r="CN22" s="1" t="s">
        <v>9</v>
      </c>
      <c r="CO22" s="1" t="s">
        <v>9</v>
      </c>
      <c r="CP22" s="1" t="s">
        <v>9</v>
      </c>
      <c r="CQ22" s="1" t="s">
        <v>9</v>
      </c>
      <c r="CR22" s="1" t="s">
        <v>9</v>
      </c>
      <c r="CS22" s="1" t="s">
        <v>9</v>
      </c>
      <c r="CT22" s="1" t="s">
        <v>9</v>
      </c>
      <c r="CU22" s="1" t="s">
        <v>9</v>
      </c>
      <c r="CV22" s="1" t="s">
        <v>9</v>
      </c>
      <c r="CW22" s="1" t="s">
        <v>9</v>
      </c>
      <c r="CX22" s="1" t="s">
        <v>9</v>
      </c>
      <c r="CY22" s="1" t="s">
        <v>9</v>
      </c>
      <c r="CZ22" s="1" t="s">
        <v>9</v>
      </c>
      <c r="DA22" s="1" t="s">
        <v>9</v>
      </c>
      <c r="DB22" s="1" t="s">
        <v>9</v>
      </c>
      <c r="DC22" s="1" t="s">
        <v>9</v>
      </c>
      <c r="DD22" s="8" t="s">
        <v>9</v>
      </c>
      <c r="DE22" s="46"/>
      <c r="DF22" s="46"/>
      <c r="DG22" s="46"/>
      <c r="DH22" s="46"/>
      <c r="DI22" s="46"/>
      <c r="DJ22" s="46"/>
      <c r="DK22" s="46"/>
      <c r="DL22" s="46"/>
      <c r="DM22" s="46"/>
      <c r="DN22" s="46"/>
      <c r="DO22" s="46"/>
      <c r="DP22" s="46"/>
      <c r="DQ22" s="46"/>
      <c r="DR22" s="46"/>
      <c r="DS22" s="46"/>
      <c r="DT22" s="46"/>
      <c r="DU22" s="46"/>
      <c r="DV22" s="46"/>
      <c r="DW22" s="46"/>
      <c r="DX22" s="46"/>
      <c r="DY22" s="46"/>
      <c r="DZ22" s="46"/>
      <c r="EA22" s="46"/>
      <c r="EB22" s="46"/>
      <c r="EC22" s="47"/>
      <c r="ED22" s="46"/>
      <c r="EE22" s="46"/>
      <c r="EF22" s="46"/>
      <c r="EG22" s="46"/>
      <c r="EH22" s="46"/>
      <c r="EI22" s="46"/>
      <c r="EJ22" s="46"/>
      <c r="EK22" s="46"/>
      <c r="EL22" s="46"/>
      <c r="EM22" s="46"/>
      <c r="EN22" s="46"/>
      <c r="EO22" s="46"/>
      <c r="EP22" s="46"/>
      <c r="EQ22" s="46"/>
      <c r="ER22" s="46"/>
      <c r="ES22" s="46"/>
      <c r="ET22" s="46"/>
      <c r="EU22" s="46"/>
      <c r="EV22" s="46"/>
      <c r="EW22" s="46"/>
      <c r="EX22" s="46"/>
      <c r="EY22" s="46"/>
      <c r="EZ22" s="46"/>
      <c r="FA22" s="46"/>
      <c r="FB22" s="46"/>
      <c r="FC22" s="46"/>
      <c r="FD22" s="46"/>
      <c r="FE22" s="46"/>
      <c r="FF22" s="46"/>
      <c r="FG22" s="46"/>
      <c r="FH22" s="46"/>
      <c r="FI22" s="46"/>
      <c r="FJ22" s="46"/>
      <c r="FK22" s="46"/>
      <c r="FL22" s="47"/>
      <c r="FM22" s="46"/>
      <c r="FN22" s="46"/>
      <c r="FO22" s="46"/>
      <c r="FP22" s="46"/>
      <c r="FQ22" s="46"/>
      <c r="FR22" s="46"/>
      <c r="FS22" s="46"/>
      <c r="FT22" s="46"/>
      <c r="FU22" s="46"/>
      <c r="FV22" s="46"/>
      <c r="FW22" s="46"/>
      <c r="FX22" s="46"/>
      <c r="FY22" s="46"/>
      <c r="FZ22" s="46"/>
      <c r="GA22" s="46"/>
      <c r="GB22" s="46"/>
      <c r="GC22" s="46"/>
      <c r="GD22" s="46"/>
      <c r="GE22" s="46"/>
      <c r="GF22" s="46"/>
      <c r="GG22" s="46"/>
      <c r="GH22" s="46"/>
      <c r="GI22" s="46"/>
      <c r="GJ22" s="46"/>
      <c r="GK22" s="46"/>
      <c r="GL22" s="46"/>
      <c r="GM22" s="46"/>
      <c r="GN22" s="46"/>
      <c r="GO22" s="46"/>
      <c r="GP22" s="46"/>
      <c r="GQ22" s="46"/>
      <c r="GR22" s="46"/>
      <c r="GS22" s="46"/>
      <c r="GT22" s="46"/>
      <c r="GU22" s="46"/>
      <c r="GV22" s="46"/>
      <c r="GW22" s="46"/>
      <c r="GX22" s="46"/>
      <c r="GY22" s="46"/>
      <c r="GZ22" s="46"/>
      <c r="HA22" s="46"/>
      <c r="HB22" s="46"/>
      <c r="HC22" s="46"/>
      <c r="HD22" s="46"/>
      <c r="HE22" s="46"/>
      <c r="HF22" s="46"/>
      <c r="HG22" s="46"/>
      <c r="HH22" s="46"/>
      <c r="HI22" s="46"/>
      <c r="HJ22" s="46"/>
      <c r="HK22" s="46"/>
      <c r="HL22" s="46"/>
      <c r="HM22" s="46"/>
      <c r="HN22" s="46"/>
      <c r="HO22" s="46"/>
      <c r="HP22" s="46"/>
      <c r="HQ22" s="46"/>
      <c r="HR22" s="46"/>
      <c r="HS22" s="46"/>
      <c r="HT22" s="46"/>
      <c r="HU22" s="46"/>
      <c r="HV22" s="46"/>
      <c r="HW22" s="46"/>
      <c r="HX22" s="46"/>
      <c r="HY22" s="46"/>
      <c r="HZ22" s="46"/>
      <c r="IA22" s="46"/>
      <c r="IB22" s="46"/>
      <c r="IC22" s="46"/>
      <c r="ID22" s="46"/>
      <c r="IE22" s="46"/>
      <c r="IF22" s="46"/>
      <c r="IG22" s="46"/>
      <c r="IH22" s="46"/>
      <c r="II22" s="46"/>
      <c r="IJ22" s="46"/>
      <c r="IK22" s="46"/>
      <c r="IL22" s="46"/>
      <c r="IM22" s="46"/>
      <c r="IN22" s="46"/>
      <c r="IO22" s="46"/>
      <c r="IP22" s="46"/>
      <c r="IQ22" s="46"/>
      <c r="IR22" s="46"/>
      <c r="IS22" s="46"/>
      <c r="IT22" s="46"/>
      <c r="IU22" s="46"/>
      <c r="IV22" s="46"/>
      <c r="IW22" s="46"/>
      <c r="IX22" s="47"/>
      <c r="IY22">
        <f t="shared" si="0"/>
        <v>16</v>
      </c>
    </row>
    <row r="23" spans="1:259" ht="15.75" thickBot="1" x14ac:dyDescent="0.3">
      <c r="A23" s="562"/>
      <c r="B23" s="219"/>
      <c r="C23" s="11" t="s">
        <v>6</v>
      </c>
      <c r="D23" s="1" t="s">
        <v>9</v>
      </c>
      <c r="E23" s="1" t="s">
        <v>9</v>
      </c>
      <c r="F23" s="1" t="s">
        <v>9</v>
      </c>
      <c r="G23" s="1" t="s">
        <v>9</v>
      </c>
      <c r="H23" s="1" t="s">
        <v>9</v>
      </c>
      <c r="I23" s="1" t="s">
        <v>9</v>
      </c>
      <c r="J23" s="1" t="s">
        <v>9</v>
      </c>
      <c r="K23" s="1" t="s">
        <v>9</v>
      </c>
      <c r="L23" s="1" t="s">
        <v>9</v>
      </c>
      <c r="M23" s="1" t="s">
        <v>9</v>
      </c>
      <c r="N23" s="1" t="s">
        <v>9</v>
      </c>
      <c r="O23" s="1" t="s">
        <v>9</v>
      </c>
      <c r="P23" s="1" t="s">
        <v>9</v>
      </c>
      <c r="Q23" s="1" t="s">
        <v>9</v>
      </c>
      <c r="R23" s="3">
        <v>0</v>
      </c>
      <c r="S23" s="3">
        <v>0</v>
      </c>
      <c r="T23" s="3">
        <v>0</v>
      </c>
      <c r="U23" s="1" t="s">
        <v>9</v>
      </c>
      <c r="V23" s="3">
        <v>0</v>
      </c>
      <c r="W23" s="1" t="s">
        <v>9</v>
      </c>
      <c r="X23" s="3">
        <v>0</v>
      </c>
      <c r="Y23" s="3">
        <v>0</v>
      </c>
      <c r="Z23" s="6">
        <v>5</v>
      </c>
      <c r="AA23" s="6">
        <v>4</v>
      </c>
      <c r="AB23" s="6">
        <v>4</v>
      </c>
      <c r="AC23" s="6">
        <v>1</v>
      </c>
      <c r="AD23" s="6">
        <v>1</v>
      </c>
      <c r="AE23" s="6">
        <v>2</v>
      </c>
      <c r="AF23" s="6">
        <v>3</v>
      </c>
      <c r="AG23" s="1" t="s">
        <v>9</v>
      </c>
      <c r="AH23" s="1" t="s">
        <v>9</v>
      </c>
      <c r="AI23" s="1" t="s">
        <v>9</v>
      </c>
      <c r="AJ23" s="1" t="s">
        <v>9</v>
      </c>
      <c r="AK23" s="1" t="s">
        <v>9</v>
      </c>
      <c r="AL23" s="1" t="s">
        <v>9</v>
      </c>
      <c r="AM23" s="6">
        <v>1</v>
      </c>
      <c r="AN23" s="1" t="s">
        <v>9</v>
      </c>
      <c r="AO23" s="3">
        <v>0</v>
      </c>
      <c r="AP23" s="3">
        <v>0</v>
      </c>
      <c r="AQ23" s="3">
        <v>0</v>
      </c>
      <c r="AR23" s="75">
        <v>1</v>
      </c>
      <c r="AS23" s="116">
        <v>2</v>
      </c>
      <c r="AT23" s="53">
        <v>2</v>
      </c>
      <c r="AU23" s="53">
        <v>3</v>
      </c>
      <c r="AV23" s="133">
        <v>16</v>
      </c>
      <c r="AW23" s="134">
        <v>18</v>
      </c>
      <c r="AX23" s="135">
        <v>14</v>
      </c>
      <c r="AY23" s="136">
        <v>19</v>
      </c>
      <c r="AZ23" s="112">
        <v>19</v>
      </c>
      <c r="BA23" s="137">
        <v>13</v>
      </c>
      <c r="BB23" s="138">
        <v>19</v>
      </c>
      <c r="BC23" s="139">
        <v>25</v>
      </c>
      <c r="BD23" s="133">
        <v>32</v>
      </c>
      <c r="BE23" s="187">
        <v>33</v>
      </c>
      <c r="BF23" s="188">
        <v>27</v>
      </c>
      <c r="BG23" s="189">
        <v>35</v>
      </c>
      <c r="BH23" s="101">
        <v>34</v>
      </c>
      <c r="BI23" s="143">
        <v>19</v>
      </c>
      <c r="BJ23" s="144">
        <v>15</v>
      </c>
      <c r="BK23" s="190">
        <v>18</v>
      </c>
      <c r="BL23" s="191">
        <v>30</v>
      </c>
      <c r="BM23" s="192">
        <v>25</v>
      </c>
      <c r="BN23" s="100">
        <v>21</v>
      </c>
      <c r="BO23" s="113">
        <v>9</v>
      </c>
      <c r="BP23" s="147">
        <v>45</v>
      </c>
      <c r="BQ23" s="133">
        <v>16</v>
      </c>
      <c r="BR23" s="113">
        <v>9</v>
      </c>
      <c r="BS23" s="146">
        <v>15</v>
      </c>
      <c r="BT23" s="149">
        <v>11</v>
      </c>
      <c r="BU23" s="98">
        <v>22</v>
      </c>
      <c r="BV23" s="152">
        <v>16</v>
      </c>
      <c r="BW23" s="54">
        <v>8</v>
      </c>
      <c r="BX23" s="193">
        <v>11</v>
      </c>
      <c r="BY23" s="90">
        <v>10</v>
      </c>
      <c r="BZ23" s="53">
        <v>6</v>
      </c>
      <c r="CA23" s="135">
        <v>7</v>
      </c>
      <c r="CB23" s="58">
        <v>1</v>
      </c>
      <c r="CC23" s="194">
        <v>8</v>
      </c>
      <c r="CD23" s="69">
        <v>2</v>
      </c>
      <c r="CE23" s="3">
        <v>0</v>
      </c>
      <c r="CF23" s="3">
        <v>0</v>
      </c>
      <c r="CG23" s="1" t="s">
        <v>9</v>
      </c>
      <c r="CH23" s="1" t="s">
        <v>9</v>
      </c>
      <c r="CI23" s="1" t="s">
        <v>9</v>
      </c>
      <c r="CJ23" s="1" t="s">
        <v>9</v>
      </c>
      <c r="CK23" s="1" t="s">
        <v>9</v>
      </c>
      <c r="CL23" s="1" t="s">
        <v>9</v>
      </c>
      <c r="CM23" s="1" t="s">
        <v>9</v>
      </c>
      <c r="CN23" s="1" t="s">
        <v>9</v>
      </c>
      <c r="CO23" s="1" t="s">
        <v>9</v>
      </c>
      <c r="CP23" s="1" t="s">
        <v>9</v>
      </c>
      <c r="CQ23" s="1" t="s">
        <v>9</v>
      </c>
      <c r="CR23" s="1" t="s">
        <v>9</v>
      </c>
      <c r="CS23" s="1" t="s">
        <v>9</v>
      </c>
      <c r="CT23" s="1" t="s">
        <v>9</v>
      </c>
      <c r="CU23" s="1" t="s">
        <v>9</v>
      </c>
      <c r="CV23" s="1" t="s">
        <v>9</v>
      </c>
      <c r="CW23" s="1" t="s">
        <v>9</v>
      </c>
      <c r="CX23" s="1" t="s">
        <v>9</v>
      </c>
      <c r="CY23" s="1" t="s">
        <v>9</v>
      </c>
      <c r="CZ23" s="1" t="s">
        <v>9</v>
      </c>
      <c r="DA23" s="1" t="s">
        <v>9</v>
      </c>
      <c r="DB23" s="1" t="s">
        <v>9</v>
      </c>
      <c r="DC23" s="1" t="s">
        <v>9</v>
      </c>
      <c r="DD23" s="8" t="s">
        <v>9</v>
      </c>
      <c r="DE23" s="46"/>
      <c r="DF23" s="46"/>
      <c r="DG23" s="46"/>
      <c r="DH23" s="46"/>
      <c r="DI23" s="46"/>
      <c r="DJ23" s="46"/>
      <c r="DK23" s="46"/>
      <c r="DL23" s="46"/>
      <c r="DM23" s="46"/>
      <c r="DN23" s="46"/>
      <c r="DO23" s="46"/>
      <c r="DP23" s="46"/>
      <c r="DQ23" s="46"/>
      <c r="DR23" s="46"/>
      <c r="DS23" s="46"/>
      <c r="DT23" s="46"/>
      <c r="DU23" s="46"/>
      <c r="DV23" s="46"/>
      <c r="DW23" s="46"/>
      <c r="DX23" s="46"/>
      <c r="DY23" s="46"/>
      <c r="DZ23" s="46"/>
      <c r="EA23" s="46"/>
      <c r="EB23" s="46"/>
      <c r="EC23" s="47"/>
      <c r="ED23" s="46"/>
      <c r="EE23" s="46"/>
      <c r="EF23" s="46"/>
      <c r="EG23" s="46"/>
      <c r="EH23" s="46"/>
      <c r="EI23" s="46"/>
      <c r="EJ23" s="46"/>
      <c r="EK23" s="46"/>
      <c r="EL23" s="46"/>
      <c r="EM23" s="46"/>
      <c r="EN23" s="46"/>
      <c r="EO23" s="46"/>
      <c r="EP23" s="46"/>
      <c r="EQ23" s="46"/>
      <c r="ER23" s="46"/>
      <c r="ES23" s="46"/>
      <c r="ET23" s="46"/>
      <c r="EU23" s="46"/>
      <c r="EV23" s="46"/>
      <c r="EW23" s="46"/>
      <c r="EX23" s="46"/>
      <c r="EY23" s="46"/>
      <c r="EZ23" s="46"/>
      <c r="FA23" s="46"/>
      <c r="FB23" s="46"/>
      <c r="FC23" s="46"/>
      <c r="FD23" s="46"/>
      <c r="FE23" s="46"/>
      <c r="FF23" s="46"/>
      <c r="FG23" s="46"/>
      <c r="FH23" s="46"/>
      <c r="FI23" s="46"/>
      <c r="FJ23" s="46"/>
      <c r="FK23" s="46"/>
      <c r="FL23" s="47"/>
      <c r="FM23" s="48"/>
      <c r="FN23" s="48"/>
      <c r="FO23" s="48"/>
      <c r="FP23" s="48"/>
      <c r="FQ23" s="48"/>
      <c r="FR23" s="48"/>
      <c r="FS23" s="48"/>
      <c r="FT23" s="48"/>
      <c r="FU23" s="48"/>
      <c r="FV23" s="48"/>
      <c r="FW23" s="48"/>
      <c r="FX23" s="48"/>
      <c r="FY23" s="48"/>
      <c r="FZ23" s="48"/>
      <c r="GA23" s="48"/>
      <c r="GB23" s="48"/>
      <c r="GC23" s="48"/>
      <c r="GD23" s="48"/>
      <c r="GE23" s="48"/>
      <c r="GF23" s="48"/>
      <c r="GG23" s="48"/>
      <c r="GH23" s="48"/>
      <c r="GI23" s="48"/>
      <c r="GJ23" s="48"/>
      <c r="GK23" s="48"/>
      <c r="GL23" s="48"/>
      <c r="GM23" s="48"/>
      <c r="GN23" s="48"/>
      <c r="GO23" s="48"/>
      <c r="GP23" s="48"/>
      <c r="GQ23" s="48"/>
      <c r="GR23" s="48"/>
      <c r="GS23" s="48"/>
      <c r="GT23" s="48"/>
      <c r="GU23" s="48"/>
      <c r="GV23" s="48"/>
      <c r="GW23" s="48"/>
      <c r="GX23" s="48"/>
      <c r="GY23" s="48"/>
      <c r="GZ23" s="48"/>
      <c r="HA23" s="48"/>
      <c r="HB23" s="48"/>
      <c r="HC23" s="48"/>
      <c r="HD23" s="48"/>
      <c r="HE23" s="48"/>
      <c r="HF23" s="48"/>
      <c r="HG23" s="48"/>
      <c r="HH23" s="48"/>
      <c r="HI23" s="48"/>
      <c r="HJ23" s="48"/>
      <c r="HK23" s="48"/>
      <c r="HL23" s="48"/>
      <c r="HM23" s="48"/>
      <c r="HN23" s="48"/>
      <c r="HO23" s="48"/>
      <c r="HP23" s="48"/>
      <c r="HQ23" s="48"/>
      <c r="HR23" s="48"/>
      <c r="HS23" s="48"/>
      <c r="HT23" s="48"/>
      <c r="HU23" s="48"/>
      <c r="HV23" s="48"/>
      <c r="HW23" s="48"/>
      <c r="HX23" s="48"/>
      <c r="HY23" s="48"/>
      <c r="HZ23" s="48"/>
      <c r="IA23" s="48"/>
      <c r="IB23" s="48"/>
      <c r="IC23" s="48"/>
      <c r="ID23" s="48"/>
      <c r="IE23" s="48"/>
      <c r="IF23" s="48"/>
      <c r="IG23" s="48"/>
      <c r="IH23" s="48"/>
      <c r="II23" s="48"/>
      <c r="IJ23" s="48"/>
      <c r="IK23" s="48"/>
      <c r="IL23" s="48"/>
      <c r="IM23" s="48"/>
      <c r="IN23" s="48"/>
      <c r="IO23" s="48"/>
      <c r="IP23" s="48"/>
      <c r="IQ23" s="48"/>
      <c r="IR23" s="48"/>
      <c r="IS23" s="48"/>
      <c r="IT23" s="48"/>
      <c r="IU23" s="48"/>
      <c r="IV23" s="48"/>
      <c r="IW23" s="48"/>
      <c r="IX23" s="49"/>
      <c r="IY23">
        <f t="shared" si="0"/>
        <v>45</v>
      </c>
    </row>
    <row r="24" spans="1:259" ht="15" customHeight="1" x14ac:dyDescent="0.25">
      <c r="A24" s="560" t="s">
        <v>20</v>
      </c>
      <c r="B24" s="39"/>
      <c r="C24" s="22" t="s">
        <v>17</v>
      </c>
      <c r="D24" s="24"/>
      <c r="E24" s="19"/>
      <c r="F24" s="25"/>
      <c r="G24" s="25"/>
      <c r="H24" s="25"/>
      <c r="I24" s="25"/>
      <c r="J24" s="25"/>
      <c r="K24" s="25"/>
      <c r="L24" s="25"/>
      <c r="M24" s="25"/>
      <c r="N24" s="25"/>
      <c r="O24" s="25"/>
      <c r="P24" s="25"/>
      <c r="Q24" s="25"/>
      <c r="R24" s="25"/>
      <c r="S24" s="25"/>
      <c r="T24" s="25"/>
      <c r="U24" s="25"/>
      <c r="V24" s="25"/>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6"/>
      <c r="AZ24" s="19"/>
      <c r="BA24" s="19"/>
      <c r="BB24" s="19"/>
      <c r="BC24" s="19"/>
      <c r="BD24" s="19"/>
      <c r="BE24" s="19"/>
      <c r="BF24" s="19"/>
      <c r="BG24" s="19"/>
      <c r="BH24" s="19"/>
      <c r="BI24" s="19"/>
      <c r="BJ24" s="19"/>
      <c r="BK24" s="19"/>
      <c r="BL24" s="19"/>
      <c r="BM24" s="19"/>
      <c r="BN24" s="19"/>
      <c r="BO24" s="19"/>
      <c r="BP24" s="19"/>
      <c r="BQ24" s="19"/>
      <c r="BR24" s="19"/>
      <c r="BS24" s="19"/>
      <c r="BT24" s="19"/>
      <c r="BU24" s="19"/>
      <c r="BV24" s="19"/>
      <c r="BW24" s="19"/>
      <c r="BX24" s="19"/>
      <c r="BY24" s="19"/>
      <c r="BZ24" s="19"/>
      <c r="CA24" s="19"/>
      <c r="CB24" s="19"/>
      <c r="CC24" s="19"/>
      <c r="CD24" s="19"/>
      <c r="CE24" s="19"/>
      <c r="CF24" s="19">
        <v>0.87</v>
      </c>
      <c r="CG24" s="19">
        <v>0.85</v>
      </c>
      <c r="CH24" s="19">
        <v>0.85</v>
      </c>
      <c r="CI24" s="19">
        <v>0.85</v>
      </c>
      <c r="CJ24" s="19">
        <v>0.86</v>
      </c>
      <c r="CK24" s="19">
        <v>0.87</v>
      </c>
      <c r="CL24" s="19">
        <v>0.88</v>
      </c>
      <c r="CM24" s="25"/>
      <c r="CN24" s="19"/>
      <c r="CO24" s="19"/>
      <c r="CP24" s="19"/>
      <c r="CQ24" s="19"/>
      <c r="CR24" s="19"/>
      <c r="CS24" s="19"/>
      <c r="CT24" s="19"/>
      <c r="CU24" s="19"/>
      <c r="CV24" s="19"/>
      <c r="CW24" s="19"/>
      <c r="CX24" s="19"/>
      <c r="CY24" s="19"/>
      <c r="CZ24" s="19"/>
      <c r="DA24" s="19"/>
      <c r="DB24" s="19"/>
      <c r="DC24" s="19"/>
      <c r="DD24" s="19"/>
      <c r="DE24" s="19"/>
      <c r="DF24" s="19"/>
      <c r="DG24" s="19"/>
      <c r="DH24" s="19"/>
      <c r="DI24" s="19"/>
      <c r="DJ24" s="19"/>
      <c r="DK24" s="19"/>
      <c r="DL24" s="19"/>
      <c r="DM24" s="19"/>
      <c r="DN24" s="19"/>
      <c r="DO24" s="19"/>
      <c r="DP24" s="19"/>
      <c r="DQ24" s="19"/>
      <c r="DR24" s="19"/>
      <c r="DS24" s="19"/>
      <c r="DT24" s="19"/>
      <c r="DU24" s="19"/>
      <c r="DV24" s="19"/>
      <c r="DW24" s="19"/>
      <c r="DX24" s="19"/>
      <c r="DY24" s="19"/>
      <c r="DZ24" s="19"/>
      <c r="EA24" s="19"/>
      <c r="EB24" s="19"/>
      <c r="EC24" s="19"/>
      <c r="ED24" s="19"/>
      <c r="EE24" s="19"/>
      <c r="EF24" s="19"/>
      <c r="EG24" s="19"/>
      <c r="EH24" s="19"/>
      <c r="EI24" s="19"/>
      <c r="EJ24" s="19"/>
      <c r="EK24" s="19"/>
      <c r="EL24" s="19"/>
      <c r="EM24" s="19"/>
      <c r="EN24" s="19"/>
      <c r="EO24" s="19"/>
      <c r="EP24" s="19"/>
      <c r="EQ24" s="19"/>
      <c r="ER24" s="19"/>
      <c r="ES24" s="19"/>
      <c r="ET24" s="19"/>
      <c r="EU24" s="19"/>
      <c r="EV24" s="19"/>
      <c r="EW24" s="19"/>
      <c r="EX24" s="19"/>
      <c r="EY24" s="19"/>
      <c r="EZ24" s="19"/>
      <c r="FA24" s="19"/>
      <c r="FB24" s="19"/>
      <c r="FC24" s="19"/>
      <c r="FD24" s="19"/>
      <c r="FE24" s="19"/>
      <c r="FF24" s="19"/>
      <c r="FG24" s="19"/>
      <c r="FH24" s="19"/>
      <c r="FI24" s="19"/>
      <c r="FJ24" s="19"/>
      <c r="FK24" s="19"/>
      <c r="FL24" s="19"/>
      <c r="FM24" s="19"/>
      <c r="FN24" s="19"/>
      <c r="FO24" s="19"/>
      <c r="FP24" s="19"/>
      <c r="FQ24" s="19"/>
      <c r="FR24" s="19"/>
      <c r="FS24" s="19"/>
      <c r="FT24" s="19"/>
      <c r="FU24" s="19"/>
      <c r="FV24" s="19"/>
      <c r="FW24" s="19"/>
      <c r="FX24" s="19"/>
      <c r="FY24" s="19"/>
      <c r="FZ24" s="19"/>
      <c r="GA24" s="19"/>
      <c r="GB24" s="19"/>
      <c r="GC24" s="19"/>
      <c r="GD24" s="19"/>
      <c r="GE24" s="19"/>
      <c r="GF24" s="19"/>
      <c r="GG24" s="19"/>
      <c r="GH24" s="19"/>
      <c r="GI24" s="19"/>
      <c r="GJ24" s="19"/>
      <c r="GK24" s="19"/>
      <c r="GL24" s="19"/>
      <c r="GM24" s="19"/>
      <c r="GN24" s="19"/>
      <c r="GO24" s="19"/>
      <c r="GP24" s="19"/>
      <c r="GQ24" s="19"/>
      <c r="GR24" s="19"/>
      <c r="GS24" s="19"/>
      <c r="GT24" s="19"/>
      <c r="GU24" s="19"/>
      <c r="GV24" s="19"/>
      <c r="GW24" s="19"/>
      <c r="GX24" s="19"/>
      <c r="GY24" s="19"/>
      <c r="GZ24" s="19"/>
      <c r="HA24" s="19"/>
      <c r="HB24" s="19"/>
      <c r="HC24" s="19"/>
      <c r="HD24" s="19"/>
      <c r="HE24" s="19"/>
      <c r="HF24" s="19"/>
      <c r="HG24" s="19"/>
      <c r="HH24" s="19"/>
      <c r="HI24" s="19"/>
      <c r="HJ24" s="19"/>
      <c r="HK24" s="19"/>
      <c r="HL24" s="19"/>
      <c r="HM24" s="19"/>
      <c r="HN24" s="19"/>
      <c r="HO24" s="19"/>
      <c r="HP24" s="19"/>
      <c r="HQ24" s="19"/>
      <c r="HR24" s="19"/>
      <c r="HS24" s="19"/>
      <c r="HT24" s="19"/>
      <c r="HU24" s="19"/>
      <c r="HV24" s="19"/>
      <c r="HW24" s="19"/>
      <c r="HX24" s="19"/>
      <c r="HY24" s="19"/>
      <c r="HZ24" s="19"/>
      <c r="IA24" s="19"/>
      <c r="IB24" s="19"/>
      <c r="IC24" s="19"/>
      <c r="ID24" s="19"/>
      <c r="IE24" s="19"/>
      <c r="IF24" s="19"/>
      <c r="IG24" s="19"/>
      <c r="IH24" s="19"/>
      <c r="II24" s="19"/>
      <c r="IJ24" s="19"/>
      <c r="IK24" s="19"/>
      <c r="IL24" s="19"/>
      <c r="IM24" s="19"/>
      <c r="IN24" s="19"/>
      <c r="IO24" s="19"/>
      <c r="IP24" s="19"/>
      <c r="IQ24" s="19"/>
      <c r="IR24" s="19"/>
      <c r="IS24" s="19"/>
      <c r="IT24" s="19"/>
      <c r="IU24" s="19"/>
      <c r="IV24" s="19"/>
      <c r="IW24" s="19"/>
      <c r="IX24" s="20"/>
    </row>
    <row r="25" spans="1:259" x14ac:dyDescent="0.25">
      <c r="A25" s="561"/>
      <c r="B25" s="39"/>
      <c r="C25" s="23" t="s">
        <v>16</v>
      </c>
      <c r="D25" s="26"/>
      <c r="E25" s="16"/>
      <c r="F25" s="27"/>
      <c r="G25" s="27"/>
      <c r="H25" s="27"/>
      <c r="I25" s="27"/>
      <c r="J25" s="27"/>
      <c r="K25" s="27"/>
      <c r="L25" s="27"/>
      <c r="M25" s="27"/>
      <c r="N25" s="27"/>
      <c r="O25" s="27"/>
      <c r="P25" s="27"/>
      <c r="Q25" s="27"/>
      <c r="R25" s="27"/>
      <c r="S25" s="27"/>
      <c r="T25" s="27"/>
      <c r="U25" s="27"/>
      <c r="V25" s="27"/>
      <c r="W25" s="16"/>
      <c r="X25" s="16"/>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c r="BO25" s="16"/>
      <c r="BP25" s="16"/>
      <c r="BQ25" s="16"/>
      <c r="BR25" s="16"/>
      <c r="BS25" s="16"/>
      <c r="BT25" s="16"/>
      <c r="BU25" s="16"/>
      <c r="BV25" s="16"/>
      <c r="BW25" s="16"/>
      <c r="BX25" s="16"/>
      <c r="BY25" s="16"/>
      <c r="BZ25" s="16"/>
      <c r="CA25" s="16"/>
      <c r="CB25" s="16"/>
      <c r="CC25" s="16"/>
      <c r="CD25" s="16"/>
      <c r="CE25" s="16"/>
      <c r="CF25" s="16">
        <v>0.85</v>
      </c>
      <c r="CG25" s="16">
        <v>0.84</v>
      </c>
      <c r="CH25" s="16">
        <v>0.84</v>
      </c>
      <c r="CI25" s="16">
        <v>0.83</v>
      </c>
      <c r="CJ25" s="16">
        <v>0.85</v>
      </c>
      <c r="CK25" s="16">
        <v>0.86</v>
      </c>
      <c r="CL25" s="16">
        <v>0.87</v>
      </c>
      <c r="CM25" s="27"/>
      <c r="CN25" s="16"/>
      <c r="CO25" s="16"/>
      <c r="CP25" s="16"/>
      <c r="CQ25" s="16"/>
      <c r="CR25" s="16"/>
      <c r="CS25" s="16"/>
      <c r="CT25" s="16"/>
      <c r="CU25" s="16"/>
      <c r="CV25" s="16"/>
      <c r="CW25" s="16"/>
      <c r="CX25" s="16"/>
      <c r="CY25" s="16"/>
      <c r="CZ25" s="16"/>
      <c r="DA25" s="16"/>
      <c r="DB25" s="16"/>
      <c r="DC25" s="16"/>
      <c r="DD25" s="16"/>
      <c r="DE25" s="16"/>
      <c r="DF25" s="16"/>
      <c r="DG25" s="16"/>
      <c r="DH25" s="16"/>
      <c r="DI25" s="16"/>
      <c r="DJ25" s="16"/>
      <c r="DK25" s="16"/>
      <c r="DL25" s="16"/>
      <c r="DM25" s="16"/>
      <c r="DN25" s="16"/>
      <c r="DO25" s="16"/>
      <c r="DP25" s="16"/>
      <c r="DQ25" s="16"/>
      <c r="DR25" s="16"/>
      <c r="DS25" s="16"/>
      <c r="DT25" s="16"/>
      <c r="DU25" s="16"/>
      <c r="DV25" s="16"/>
      <c r="DW25" s="16"/>
      <c r="DX25" s="16"/>
      <c r="DY25" s="16"/>
      <c r="DZ25" s="16"/>
      <c r="EA25" s="16"/>
      <c r="EB25" s="16"/>
      <c r="EC25" s="16"/>
      <c r="ED25" s="16"/>
      <c r="EE25" s="16"/>
      <c r="EF25" s="16"/>
      <c r="EG25" s="16"/>
      <c r="EH25" s="16"/>
      <c r="EI25" s="16"/>
      <c r="EJ25" s="16"/>
      <c r="EK25" s="16"/>
      <c r="EL25" s="16"/>
      <c r="EM25" s="16"/>
      <c r="EN25" s="16"/>
      <c r="EO25" s="16"/>
      <c r="EP25" s="16"/>
      <c r="EQ25" s="16"/>
      <c r="ER25" s="16"/>
      <c r="ES25" s="16"/>
      <c r="ET25" s="16"/>
      <c r="EU25" s="16"/>
      <c r="EV25" s="16"/>
      <c r="EW25" s="16"/>
      <c r="EX25" s="16"/>
      <c r="EY25" s="16"/>
      <c r="EZ25" s="16"/>
      <c r="FA25" s="16"/>
      <c r="FB25" s="16"/>
      <c r="FC25" s="16"/>
      <c r="FD25" s="16"/>
      <c r="FE25" s="16"/>
      <c r="FF25" s="16"/>
      <c r="FG25" s="16"/>
      <c r="FH25" s="16"/>
      <c r="FI25" s="16"/>
      <c r="FJ25" s="16"/>
      <c r="FK25" s="16"/>
      <c r="FL25" s="16"/>
      <c r="FM25" s="16"/>
      <c r="FN25" s="16"/>
      <c r="FO25" s="16"/>
      <c r="FP25" s="16"/>
      <c r="FQ25" s="16"/>
      <c r="FR25" s="16"/>
      <c r="FS25" s="16"/>
      <c r="FT25" s="16"/>
      <c r="FU25" s="16"/>
      <c r="FV25" s="16"/>
      <c r="FW25" s="16"/>
      <c r="FX25" s="16"/>
      <c r="FY25" s="16"/>
      <c r="FZ25" s="16"/>
      <c r="GA25" s="16"/>
      <c r="GB25" s="16"/>
      <c r="GC25" s="16"/>
      <c r="GD25" s="16"/>
      <c r="GE25" s="16"/>
      <c r="GF25" s="16"/>
      <c r="GG25" s="16"/>
      <c r="GH25" s="16"/>
      <c r="GI25" s="16"/>
      <c r="GJ25" s="16"/>
      <c r="GK25" s="16"/>
      <c r="GL25" s="16"/>
      <c r="GM25" s="16"/>
      <c r="GN25" s="16"/>
      <c r="GO25" s="16"/>
      <c r="GP25" s="16"/>
      <c r="GQ25" s="16"/>
      <c r="GR25" s="16"/>
      <c r="GS25" s="16"/>
      <c r="GT25" s="16"/>
      <c r="GU25" s="16"/>
      <c r="GV25" s="16"/>
      <c r="GW25" s="16"/>
      <c r="GX25" s="16"/>
      <c r="GY25" s="16"/>
      <c r="GZ25" s="16"/>
      <c r="HA25" s="16"/>
      <c r="HB25" s="16"/>
      <c r="HC25" s="16"/>
      <c r="HD25" s="16"/>
      <c r="HE25" s="16"/>
      <c r="HF25" s="16"/>
      <c r="HG25" s="16"/>
      <c r="HH25" s="16"/>
      <c r="HI25" s="16"/>
      <c r="HJ25" s="16"/>
      <c r="HK25" s="16"/>
      <c r="HL25" s="16"/>
      <c r="HM25" s="16"/>
      <c r="HN25" s="16"/>
      <c r="HO25" s="16"/>
      <c r="HP25" s="16"/>
      <c r="HQ25" s="16"/>
      <c r="HR25" s="16"/>
      <c r="HS25" s="16"/>
      <c r="HT25" s="16"/>
      <c r="HU25" s="16"/>
      <c r="HV25" s="16"/>
      <c r="HW25" s="16"/>
      <c r="HX25" s="16"/>
      <c r="HY25" s="16"/>
      <c r="HZ25" s="16"/>
      <c r="IA25" s="16"/>
      <c r="IB25" s="16"/>
      <c r="IC25" s="16"/>
      <c r="ID25" s="16"/>
      <c r="IE25" s="16"/>
      <c r="IF25" s="16"/>
      <c r="IG25" s="16"/>
      <c r="IH25" s="16"/>
      <c r="II25" s="16"/>
      <c r="IJ25" s="16"/>
      <c r="IK25" s="16"/>
      <c r="IL25" s="16"/>
      <c r="IM25" s="16"/>
      <c r="IN25" s="16"/>
      <c r="IO25" s="16"/>
      <c r="IP25" s="16"/>
      <c r="IQ25" s="16"/>
      <c r="IR25" s="16"/>
      <c r="IS25" s="16"/>
      <c r="IT25" s="16"/>
      <c r="IU25" s="16"/>
      <c r="IV25" s="16"/>
      <c r="IW25" s="16"/>
      <c r="IX25" s="21"/>
    </row>
    <row r="26" spans="1:259" x14ac:dyDescent="0.25">
      <c r="A26" s="561"/>
      <c r="B26" s="39"/>
      <c r="C26" s="23" t="s">
        <v>15</v>
      </c>
      <c r="D26" s="26"/>
      <c r="E26" s="16"/>
      <c r="F26" s="27"/>
      <c r="G26" s="27"/>
      <c r="H26" s="27"/>
      <c r="I26" s="27"/>
      <c r="J26" s="27"/>
      <c r="K26" s="27"/>
      <c r="L26" s="27"/>
      <c r="M26" s="27"/>
      <c r="N26" s="27"/>
      <c r="O26" s="27"/>
      <c r="P26" s="27"/>
      <c r="Q26" s="27"/>
      <c r="R26" s="27"/>
      <c r="S26" s="27"/>
      <c r="T26" s="27"/>
      <c r="U26" s="27"/>
      <c r="V26" s="27"/>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16"/>
      <c r="BM26" s="16"/>
      <c r="BN26" s="16"/>
      <c r="BO26" s="16"/>
      <c r="BP26" s="16"/>
      <c r="BQ26" s="16"/>
      <c r="BR26" s="16"/>
      <c r="BS26" s="16"/>
      <c r="BT26" s="16"/>
      <c r="BU26" s="16"/>
      <c r="BV26" s="16"/>
      <c r="BW26" s="16"/>
      <c r="BX26" s="16"/>
      <c r="BY26" s="16"/>
      <c r="BZ26" s="16"/>
      <c r="CA26" s="16"/>
      <c r="CB26" s="16"/>
      <c r="CC26" s="16"/>
      <c r="CD26" s="16"/>
      <c r="CE26" s="16"/>
      <c r="CF26" s="16"/>
      <c r="CG26" s="16">
        <v>0.02</v>
      </c>
      <c r="CH26" s="16">
        <v>0.02</v>
      </c>
      <c r="CI26" s="16">
        <v>0.04</v>
      </c>
      <c r="CJ26" s="33"/>
      <c r="CK26" s="16"/>
      <c r="CL26" s="16"/>
      <c r="CM26" s="27"/>
      <c r="CN26" s="16"/>
      <c r="CO26" s="16"/>
      <c r="CP26" s="16"/>
      <c r="CQ26" s="16"/>
      <c r="CR26" s="16"/>
      <c r="CS26" s="16"/>
      <c r="CT26" s="16"/>
      <c r="CU26" s="16"/>
      <c r="CV26" s="16"/>
      <c r="CW26" s="16"/>
      <c r="CX26" s="16"/>
      <c r="CY26" s="16"/>
      <c r="CZ26" s="16"/>
      <c r="DA26" s="16"/>
      <c r="DB26" s="16"/>
      <c r="DC26" s="16"/>
      <c r="DD26" s="16"/>
      <c r="DE26" s="16"/>
      <c r="DF26" s="16"/>
      <c r="DG26" s="16"/>
      <c r="DH26" s="16"/>
      <c r="DI26" s="16"/>
      <c r="DJ26" s="16"/>
      <c r="DK26" s="16"/>
      <c r="DL26" s="16"/>
      <c r="DM26" s="16"/>
      <c r="DN26" s="16"/>
      <c r="DO26" s="16"/>
      <c r="DP26" s="16"/>
      <c r="DQ26" s="16"/>
      <c r="DR26" s="16"/>
      <c r="DS26" s="16"/>
      <c r="DT26" s="16"/>
      <c r="DU26" s="16"/>
      <c r="DV26" s="16"/>
      <c r="DW26" s="16"/>
      <c r="DX26" s="16"/>
      <c r="DY26" s="16"/>
      <c r="DZ26" s="16"/>
      <c r="EA26" s="16"/>
      <c r="EB26" s="16"/>
      <c r="EC26" s="16"/>
      <c r="ED26" s="16"/>
      <c r="EE26" s="16"/>
      <c r="EF26" s="16"/>
      <c r="EG26" s="16"/>
      <c r="EH26" s="16"/>
      <c r="EI26" s="16"/>
      <c r="EJ26" s="16"/>
      <c r="EK26" s="16"/>
      <c r="EL26" s="16"/>
      <c r="EM26" s="16"/>
      <c r="EN26" s="16"/>
      <c r="EO26" s="16"/>
      <c r="EP26" s="16"/>
      <c r="EQ26" s="16"/>
      <c r="ER26" s="16"/>
      <c r="ES26" s="16"/>
      <c r="ET26" s="16"/>
      <c r="EU26" s="16"/>
      <c r="EV26" s="16"/>
      <c r="EW26" s="16"/>
      <c r="EX26" s="16"/>
      <c r="EY26" s="16"/>
      <c r="EZ26" s="16"/>
      <c r="FA26" s="16"/>
      <c r="FB26" s="16"/>
      <c r="FC26" s="16"/>
      <c r="FD26" s="16"/>
      <c r="FE26" s="16"/>
      <c r="FF26" s="16"/>
      <c r="FG26" s="16"/>
      <c r="FH26" s="16"/>
      <c r="FI26" s="16"/>
      <c r="FJ26" s="16"/>
      <c r="FK26" s="16"/>
      <c r="FL26" s="16"/>
      <c r="FM26" s="16"/>
      <c r="FN26" s="16"/>
      <c r="FO26" s="16"/>
      <c r="FP26" s="16"/>
      <c r="FQ26" s="16"/>
      <c r="FR26" s="16"/>
      <c r="FS26" s="16"/>
      <c r="FT26" s="16"/>
      <c r="FU26" s="16"/>
      <c r="FV26" s="16"/>
      <c r="FW26" s="16"/>
      <c r="FX26" s="16"/>
      <c r="FY26" s="16"/>
      <c r="FZ26" s="16"/>
      <c r="GA26" s="16"/>
      <c r="GB26" s="16"/>
      <c r="GC26" s="16"/>
      <c r="GD26" s="16"/>
      <c r="GE26" s="16"/>
      <c r="GF26" s="16"/>
      <c r="GG26" s="16"/>
      <c r="GH26" s="16"/>
      <c r="GI26" s="16"/>
      <c r="GJ26" s="16"/>
      <c r="GK26" s="16"/>
      <c r="GL26" s="16"/>
      <c r="GM26" s="16"/>
      <c r="GN26" s="16"/>
      <c r="GO26" s="16"/>
      <c r="GP26" s="16"/>
      <c r="GQ26" s="16"/>
      <c r="GR26" s="16"/>
      <c r="GS26" s="16"/>
      <c r="GT26" s="16"/>
      <c r="GU26" s="16"/>
      <c r="GV26" s="16"/>
      <c r="GW26" s="16"/>
      <c r="GX26" s="16"/>
      <c r="GY26" s="16"/>
      <c r="GZ26" s="16"/>
      <c r="HA26" s="16"/>
      <c r="HB26" s="16"/>
      <c r="HC26" s="16"/>
      <c r="HD26" s="16"/>
      <c r="HE26" s="16"/>
      <c r="HF26" s="16"/>
      <c r="HG26" s="16"/>
      <c r="HH26" s="16"/>
      <c r="HI26" s="16"/>
      <c r="HJ26" s="16"/>
      <c r="HK26" s="16"/>
      <c r="HL26" s="16"/>
      <c r="HM26" s="16"/>
      <c r="HN26" s="16"/>
      <c r="HO26" s="16"/>
      <c r="HP26" s="16"/>
      <c r="HQ26" s="16"/>
      <c r="HR26" s="16"/>
      <c r="HS26" s="16"/>
      <c r="HT26" s="16"/>
      <c r="HU26" s="16"/>
      <c r="HV26" s="16"/>
      <c r="HW26" s="16"/>
      <c r="HX26" s="16"/>
      <c r="HY26" s="16"/>
      <c r="HZ26" s="16"/>
      <c r="IA26" s="16"/>
      <c r="IB26" s="16"/>
      <c r="IC26" s="16"/>
      <c r="ID26" s="16"/>
      <c r="IE26" s="16"/>
      <c r="IF26" s="16"/>
      <c r="IG26" s="16"/>
      <c r="IH26" s="16"/>
      <c r="II26" s="16"/>
      <c r="IJ26" s="16"/>
      <c r="IK26" s="16"/>
      <c r="IL26" s="16"/>
      <c r="IM26" s="16"/>
      <c r="IN26" s="16"/>
      <c r="IO26" s="16"/>
      <c r="IP26" s="16"/>
      <c r="IQ26" s="16"/>
      <c r="IR26" s="16"/>
      <c r="IS26" s="16"/>
      <c r="IT26" s="16"/>
      <c r="IU26" s="16"/>
      <c r="IV26" s="16"/>
      <c r="IW26" s="16"/>
      <c r="IX26" s="21"/>
    </row>
    <row r="27" spans="1:259" x14ac:dyDescent="0.25">
      <c r="A27" s="561"/>
      <c r="B27" s="39"/>
      <c r="C27" s="23" t="s">
        <v>14</v>
      </c>
      <c r="D27" s="26"/>
      <c r="E27" s="16"/>
      <c r="F27" s="27"/>
      <c r="G27" s="27"/>
      <c r="H27" s="27"/>
      <c r="I27" s="27"/>
      <c r="J27" s="27"/>
      <c r="K27" s="27"/>
      <c r="L27" s="27"/>
      <c r="M27" s="27"/>
      <c r="N27" s="27"/>
      <c r="O27" s="27"/>
      <c r="P27" s="27"/>
      <c r="Q27" s="27"/>
      <c r="R27" s="27"/>
      <c r="S27" s="27"/>
      <c r="T27" s="27"/>
      <c r="U27" s="27"/>
      <c r="V27" s="27"/>
      <c r="W27" s="16"/>
      <c r="X27" s="16"/>
      <c r="Y27" s="16"/>
      <c r="Z27" s="16"/>
      <c r="AA27" s="16"/>
      <c r="AB27" s="16"/>
      <c r="AC27" s="16"/>
      <c r="AD27" s="16"/>
      <c r="AE27" s="16"/>
      <c r="AF27" s="16"/>
      <c r="AG27" s="16"/>
      <c r="AH27" s="16"/>
      <c r="AI27" s="16"/>
      <c r="AJ27" s="16"/>
      <c r="AK27" s="16"/>
      <c r="AL27" s="16"/>
      <c r="AM27" s="16"/>
      <c r="AN27" s="16"/>
      <c r="AO27" s="16"/>
      <c r="AP27" s="16"/>
      <c r="AQ27" s="16"/>
      <c r="AR27" s="16"/>
      <c r="AS27" s="16"/>
      <c r="AT27" s="16"/>
      <c r="AU27" s="16"/>
      <c r="AV27" s="16"/>
      <c r="AW27" s="16"/>
      <c r="AX27" s="16"/>
      <c r="AY27" s="16"/>
      <c r="AZ27" s="16"/>
      <c r="BA27" s="16"/>
      <c r="BB27" s="16"/>
      <c r="BC27" s="16"/>
      <c r="BD27" s="16"/>
      <c r="BE27" s="16"/>
      <c r="BF27" s="16"/>
      <c r="BG27" s="16"/>
      <c r="BH27" s="16"/>
      <c r="BI27" s="16"/>
      <c r="BJ27" s="16"/>
      <c r="BK27" s="16"/>
      <c r="BL27" s="16"/>
      <c r="BM27" s="16"/>
      <c r="BN27" s="16"/>
      <c r="BO27" s="16"/>
      <c r="BP27" s="16"/>
      <c r="BQ27" s="16"/>
      <c r="BR27" s="16"/>
      <c r="BS27" s="16"/>
      <c r="BT27" s="16"/>
      <c r="BU27" s="16"/>
      <c r="BV27" s="16"/>
      <c r="BW27" s="16"/>
      <c r="BX27" s="16"/>
      <c r="BY27" s="16"/>
      <c r="BZ27" s="16"/>
      <c r="CA27" s="16"/>
      <c r="CB27" s="16"/>
      <c r="CC27" s="16"/>
      <c r="CD27" s="16"/>
      <c r="CE27" s="16"/>
      <c r="CF27" s="16"/>
      <c r="CG27" s="16">
        <v>0.01</v>
      </c>
      <c r="CH27" s="16">
        <v>0.04</v>
      </c>
      <c r="CI27" s="16">
        <v>0.02</v>
      </c>
      <c r="CJ27" s="33"/>
      <c r="CK27" s="16"/>
      <c r="CL27" s="16"/>
      <c r="CM27" s="27"/>
      <c r="CN27" s="16"/>
      <c r="CO27" s="16"/>
      <c r="CP27" s="16"/>
      <c r="CQ27" s="16"/>
      <c r="CR27" s="16"/>
      <c r="CS27" s="16"/>
      <c r="CT27" s="16"/>
      <c r="CU27" s="16"/>
      <c r="CV27" s="16"/>
      <c r="CW27" s="16"/>
      <c r="CX27" s="16"/>
      <c r="CY27" s="16"/>
      <c r="CZ27" s="16"/>
      <c r="DA27" s="16"/>
      <c r="DB27" s="16"/>
      <c r="DC27" s="16"/>
      <c r="DD27" s="16"/>
      <c r="DE27" s="16"/>
      <c r="DF27" s="16"/>
      <c r="DG27" s="16"/>
      <c r="DH27" s="16"/>
      <c r="DI27" s="16"/>
      <c r="DJ27" s="16"/>
      <c r="DK27" s="16"/>
      <c r="DL27" s="16"/>
      <c r="DM27" s="16"/>
      <c r="DN27" s="16"/>
      <c r="DO27" s="16"/>
      <c r="DP27" s="16"/>
      <c r="DQ27" s="16"/>
      <c r="DR27" s="16"/>
      <c r="DS27" s="16"/>
      <c r="DT27" s="16"/>
      <c r="DU27" s="16"/>
      <c r="DV27" s="16"/>
      <c r="DW27" s="16"/>
      <c r="DX27" s="16"/>
      <c r="DY27" s="16"/>
      <c r="DZ27" s="16"/>
      <c r="EA27" s="16"/>
      <c r="EB27" s="16"/>
      <c r="EC27" s="16"/>
      <c r="ED27" s="16"/>
      <c r="EE27" s="16"/>
      <c r="EF27" s="16"/>
      <c r="EG27" s="16"/>
      <c r="EH27" s="16"/>
      <c r="EI27" s="16"/>
      <c r="EJ27" s="16"/>
      <c r="EK27" s="16"/>
      <c r="EL27" s="16"/>
      <c r="EM27" s="16"/>
      <c r="EN27" s="16"/>
      <c r="EO27" s="16"/>
      <c r="EP27" s="16"/>
      <c r="EQ27" s="16"/>
      <c r="ER27" s="16"/>
      <c r="ES27" s="16"/>
      <c r="ET27" s="16"/>
      <c r="EU27" s="16"/>
      <c r="EV27" s="16"/>
      <c r="EW27" s="16"/>
      <c r="EX27" s="16"/>
      <c r="EY27" s="16"/>
      <c r="EZ27" s="16"/>
      <c r="FA27" s="16"/>
      <c r="FB27" s="16"/>
      <c r="FC27" s="16"/>
      <c r="FD27" s="16"/>
      <c r="FE27" s="16"/>
      <c r="FF27" s="16"/>
      <c r="FG27" s="16"/>
      <c r="FH27" s="16"/>
      <c r="FI27" s="16"/>
      <c r="FJ27" s="16"/>
      <c r="FK27" s="16"/>
      <c r="FL27" s="16"/>
      <c r="FM27" s="16"/>
      <c r="FN27" s="16"/>
      <c r="FO27" s="16"/>
      <c r="FP27" s="16"/>
      <c r="FQ27" s="16"/>
      <c r="FR27" s="16"/>
      <c r="FS27" s="16"/>
      <c r="FT27" s="16"/>
      <c r="FU27" s="16"/>
      <c r="FV27" s="16"/>
      <c r="FW27" s="16"/>
      <c r="FX27" s="16"/>
      <c r="FY27" s="16"/>
      <c r="FZ27" s="16"/>
      <c r="GA27" s="16"/>
      <c r="GB27" s="16"/>
      <c r="GC27" s="16"/>
      <c r="GD27" s="16"/>
      <c r="GE27" s="16"/>
      <c r="GF27" s="16"/>
      <c r="GG27" s="16"/>
      <c r="GH27" s="16"/>
      <c r="GI27" s="16"/>
      <c r="GJ27" s="16"/>
      <c r="GK27" s="16"/>
      <c r="GL27" s="16"/>
      <c r="GM27" s="16"/>
      <c r="GN27" s="16"/>
      <c r="GO27" s="16"/>
      <c r="GP27" s="16"/>
      <c r="GQ27" s="16"/>
      <c r="GR27" s="16"/>
      <c r="GS27" s="16"/>
      <c r="GT27" s="16"/>
      <c r="GU27" s="16"/>
      <c r="GV27" s="16"/>
      <c r="GW27" s="16"/>
      <c r="GX27" s="16"/>
      <c r="GY27" s="16"/>
      <c r="GZ27" s="16"/>
      <c r="HA27" s="16"/>
      <c r="HB27" s="16"/>
      <c r="HC27" s="16"/>
      <c r="HD27" s="16"/>
      <c r="HE27" s="16"/>
      <c r="HF27" s="16"/>
      <c r="HG27" s="16"/>
      <c r="HH27" s="16"/>
      <c r="HI27" s="16"/>
      <c r="HJ27" s="16"/>
      <c r="HK27" s="16"/>
      <c r="HL27" s="16"/>
      <c r="HM27" s="16"/>
      <c r="HN27" s="16"/>
      <c r="HO27" s="16"/>
      <c r="HP27" s="16"/>
      <c r="HQ27" s="16"/>
      <c r="HR27" s="16"/>
      <c r="HS27" s="16"/>
      <c r="HT27" s="16"/>
      <c r="HU27" s="16"/>
      <c r="HV27" s="16"/>
      <c r="HW27" s="16"/>
      <c r="HX27" s="16"/>
      <c r="HY27" s="16"/>
      <c r="HZ27" s="16"/>
      <c r="IA27" s="16"/>
      <c r="IB27" s="16"/>
      <c r="IC27" s="16"/>
      <c r="ID27" s="16"/>
      <c r="IE27" s="16"/>
      <c r="IF27" s="16"/>
      <c r="IG27" s="16"/>
      <c r="IH27" s="16"/>
      <c r="II27" s="16"/>
      <c r="IJ27" s="16"/>
      <c r="IK27" s="16"/>
      <c r="IL27" s="16"/>
      <c r="IM27" s="16"/>
      <c r="IN27" s="16"/>
      <c r="IO27" s="16"/>
      <c r="IP27" s="16"/>
      <c r="IQ27" s="16"/>
      <c r="IR27" s="16"/>
      <c r="IS27" s="16"/>
      <c r="IT27" s="16"/>
      <c r="IU27" s="16"/>
      <c r="IV27" s="16"/>
      <c r="IW27" s="16"/>
      <c r="IX27" s="21"/>
    </row>
    <row r="28" spans="1:259" x14ac:dyDescent="0.25">
      <c r="A28" s="561"/>
      <c r="B28" s="39"/>
      <c r="C28" s="23" t="s">
        <v>13</v>
      </c>
      <c r="D28" s="26"/>
      <c r="E28" s="16"/>
      <c r="F28" s="27"/>
      <c r="G28" s="27"/>
      <c r="H28" s="27"/>
      <c r="I28" s="27"/>
      <c r="J28" s="27"/>
      <c r="K28" s="27"/>
      <c r="L28" s="27"/>
      <c r="M28" s="27"/>
      <c r="N28" s="27"/>
      <c r="O28" s="27"/>
      <c r="P28" s="27"/>
      <c r="Q28" s="27"/>
      <c r="R28" s="27"/>
      <c r="S28" s="27"/>
      <c r="T28" s="27"/>
      <c r="U28" s="27"/>
      <c r="V28" s="27"/>
      <c r="W28" s="16"/>
      <c r="X28" s="16"/>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c r="BK28" s="16"/>
      <c r="BL28" s="16"/>
      <c r="BM28" s="16"/>
      <c r="BN28" s="16"/>
      <c r="BO28" s="16"/>
      <c r="BP28" s="16"/>
      <c r="BQ28" s="16"/>
      <c r="BR28" s="16"/>
      <c r="BS28" s="16"/>
      <c r="BT28" s="16"/>
      <c r="BU28" s="16"/>
      <c r="BV28" s="16"/>
      <c r="BW28" s="16"/>
      <c r="BX28" s="16"/>
      <c r="BY28" s="16"/>
      <c r="BZ28" s="16"/>
      <c r="CA28" s="16"/>
      <c r="CB28" s="16"/>
      <c r="CC28" s="16"/>
      <c r="CD28" s="16"/>
      <c r="CE28" s="16"/>
      <c r="CF28" s="16"/>
      <c r="CG28" s="16">
        <v>0.31</v>
      </c>
      <c r="CH28" s="16">
        <v>0.51</v>
      </c>
      <c r="CI28" s="16">
        <v>0.43</v>
      </c>
      <c r="CJ28" s="33"/>
      <c r="CK28" s="16"/>
      <c r="CL28" s="16"/>
      <c r="CM28" s="27"/>
      <c r="CN28" s="16"/>
      <c r="CO28" s="16"/>
      <c r="CP28" s="16"/>
      <c r="CQ28" s="16"/>
      <c r="CR28" s="16"/>
      <c r="CS28" s="16"/>
      <c r="CT28" s="16"/>
      <c r="CU28" s="16"/>
      <c r="CV28" s="16"/>
      <c r="CW28" s="16"/>
      <c r="CX28" s="16"/>
      <c r="CY28" s="16"/>
      <c r="CZ28" s="16"/>
      <c r="DA28" s="16"/>
      <c r="DB28" s="16"/>
      <c r="DC28" s="16"/>
      <c r="DD28" s="16"/>
      <c r="DE28" s="16"/>
      <c r="DF28" s="16"/>
      <c r="DG28" s="16"/>
      <c r="DH28" s="16"/>
      <c r="DI28" s="16"/>
      <c r="DJ28" s="16"/>
      <c r="DK28" s="16"/>
      <c r="DL28" s="16"/>
      <c r="DM28" s="16"/>
      <c r="DN28" s="16"/>
      <c r="DO28" s="16"/>
      <c r="DP28" s="16"/>
      <c r="DQ28" s="16"/>
      <c r="DR28" s="16"/>
      <c r="DS28" s="16"/>
      <c r="DT28" s="16"/>
      <c r="DU28" s="16"/>
      <c r="DV28" s="16"/>
      <c r="DW28" s="16"/>
      <c r="DX28" s="16"/>
      <c r="DY28" s="16"/>
      <c r="DZ28" s="16"/>
      <c r="EA28" s="16"/>
      <c r="EB28" s="16"/>
      <c r="EC28" s="16"/>
      <c r="ED28" s="16"/>
      <c r="EE28" s="16"/>
      <c r="EF28" s="16"/>
      <c r="EG28" s="16"/>
      <c r="EH28" s="16"/>
      <c r="EI28" s="16"/>
      <c r="EJ28" s="16"/>
      <c r="EK28" s="16"/>
      <c r="EL28" s="16"/>
      <c r="EM28" s="16"/>
      <c r="EN28" s="16"/>
      <c r="EO28" s="16"/>
      <c r="EP28" s="16"/>
      <c r="EQ28" s="16"/>
      <c r="ER28" s="16"/>
      <c r="ES28" s="16"/>
      <c r="ET28" s="16"/>
      <c r="EU28" s="16"/>
      <c r="EV28" s="16"/>
      <c r="EW28" s="16"/>
      <c r="EX28" s="16"/>
      <c r="EY28" s="16"/>
      <c r="EZ28" s="16"/>
      <c r="FA28" s="16"/>
      <c r="FB28" s="16"/>
      <c r="FC28" s="16"/>
      <c r="FD28" s="16"/>
      <c r="FE28" s="16"/>
      <c r="FF28" s="16"/>
      <c r="FG28" s="16"/>
      <c r="FH28" s="16"/>
      <c r="FI28" s="16"/>
      <c r="FJ28" s="16"/>
      <c r="FK28" s="16"/>
      <c r="FL28" s="16"/>
      <c r="FM28" s="16"/>
      <c r="FN28" s="16"/>
      <c r="FO28" s="16"/>
      <c r="FP28" s="16"/>
      <c r="FQ28" s="16"/>
      <c r="FR28" s="16"/>
      <c r="FS28" s="16"/>
      <c r="FT28" s="16"/>
      <c r="FU28" s="16"/>
      <c r="FV28" s="16"/>
      <c r="FW28" s="16"/>
      <c r="FX28" s="16"/>
      <c r="FY28" s="16"/>
      <c r="FZ28" s="16"/>
      <c r="GA28" s="16"/>
      <c r="GB28" s="16"/>
      <c r="GC28" s="16"/>
      <c r="GD28" s="16"/>
      <c r="GE28" s="16"/>
      <c r="GF28" s="16"/>
      <c r="GG28" s="16"/>
      <c r="GH28" s="16"/>
      <c r="GI28" s="16"/>
      <c r="GJ28" s="16"/>
      <c r="GK28" s="16"/>
      <c r="GL28" s="16"/>
      <c r="GM28" s="16"/>
      <c r="GN28" s="16"/>
      <c r="GO28" s="16"/>
      <c r="GP28" s="16"/>
      <c r="GQ28" s="16"/>
      <c r="GR28" s="16"/>
      <c r="GS28" s="16"/>
      <c r="GT28" s="16"/>
      <c r="GU28" s="16"/>
      <c r="GV28" s="16"/>
      <c r="GW28" s="16"/>
      <c r="GX28" s="16"/>
      <c r="GY28" s="16"/>
      <c r="GZ28" s="16"/>
      <c r="HA28" s="16"/>
      <c r="HB28" s="16"/>
      <c r="HC28" s="16"/>
      <c r="HD28" s="16"/>
      <c r="HE28" s="16"/>
      <c r="HF28" s="16"/>
      <c r="HG28" s="16"/>
      <c r="HH28" s="16"/>
      <c r="HI28" s="16"/>
      <c r="HJ28" s="16"/>
      <c r="HK28" s="16"/>
      <c r="HL28" s="16"/>
      <c r="HM28" s="16"/>
      <c r="HN28" s="16"/>
      <c r="HO28" s="16"/>
      <c r="HP28" s="16"/>
      <c r="HQ28" s="16"/>
      <c r="HR28" s="16"/>
      <c r="HS28" s="16"/>
      <c r="HT28" s="16"/>
      <c r="HU28" s="16"/>
      <c r="HV28" s="16"/>
      <c r="HW28" s="16"/>
      <c r="HX28" s="16"/>
      <c r="HY28" s="16"/>
      <c r="HZ28" s="16"/>
      <c r="IA28" s="16"/>
      <c r="IB28" s="16"/>
      <c r="IC28" s="16"/>
      <c r="ID28" s="16"/>
      <c r="IE28" s="16"/>
      <c r="IF28" s="16"/>
      <c r="IG28" s="16"/>
      <c r="IH28" s="16"/>
      <c r="II28" s="16"/>
      <c r="IJ28" s="16"/>
      <c r="IK28" s="16"/>
      <c r="IL28" s="16"/>
      <c r="IM28" s="16"/>
      <c r="IN28" s="16"/>
      <c r="IO28" s="16"/>
      <c r="IP28" s="16"/>
      <c r="IQ28" s="16"/>
      <c r="IR28" s="16"/>
      <c r="IS28" s="16"/>
      <c r="IT28" s="16"/>
      <c r="IU28" s="16"/>
      <c r="IV28" s="16"/>
      <c r="IW28" s="16"/>
      <c r="IX28" s="21"/>
    </row>
    <row r="29" spans="1:259" x14ac:dyDescent="0.25">
      <c r="A29" s="562"/>
      <c r="B29" s="39"/>
      <c r="C29" s="23" t="s">
        <v>12</v>
      </c>
      <c r="D29" s="26"/>
      <c r="E29" s="16"/>
      <c r="F29" s="27"/>
      <c r="G29" s="27"/>
      <c r="H29" s="27"/>
      <c r="I29" s="27"/>
      <c r="J29" s="27"/>
      <c r="K29" s="27"/>
      <c r="L29" s="27"/>
      <c r="M29" s="27"/>
      <c r="N29" s="27"/>
      <c r="O29" s="27"/>
      <c r="P29" s="27"/>
      <c r="Q29" s="27"/>
      <c r="R29" s="27"/>
      <c r="S29" s="27"/>
      <c r="T29" s="27"/>
      <c r="U29" s="27"/>
      <c r="V29" s="27"/>
      <c r="W29" s="16"/>
      <c r="X29" s="16"/>
      <c r="Y29" s="16"/>
      <c r="Z29" s="16"/>
      <c r="AA29" s="16"/>
      <c r="AB29" s="16"/>
      <c r="AC29" s="16"/>
      <c r="AD29" s="16"/>
      <c r="AE29" s="16"/>
      <c r="AF29" s="16"/>
      <c r="AG29" s="16"/>
      <c r="AH29" s="16"/>
      <c r="AI29" s="16"/>
      <c r="AJ29" s="16"/>
      <c r="AK29" s="16"/>
      <c r="AL29" s="16"/>
      <c r="AM29" s="16"/>
      <c r="AN29" s="16"/>
      <c r="AO29" s="16"/>
      <c r="AP29" s="16"/>
      <c r="AQ29" s="16"/>
      <c r="AR29" s="16"/>
      <c r="AS29" s="16"/>
      <c r="AT29" s="16"/>
      <c r="AU29" s="16"/>
      <c r="AV29" s="16"/>
      <c r="AW29" s="16"/>
      <c r="AX29" s="16"/>
      <c r="AY29" s="16"/>
      <c r="AZ29" s="16"/>
      <c r="BA29" s="16"/>
      <c r="BB29" s="16"/>
      <c r="BC29" s="16"/>
      <c r="BD29" s="16"/>
      <c r="BE29" s="16"/>
      <c r="BF29" s="16"/>
      <c r="BG29" s="16"/>
      <c r="BH29" s="16"/>
      <c r="BI29" s="16"/>
      <c r="BJ29" s="16"/>
      <c r="BK29" s="16"/>
      <c r="BL29" s="16"/>
      <c r="BM29" s="16"/>
      <c r="BN29" s="16"/>
      <c r="BO29" s="16"/>
      <c r="BP29" s="16"/>
      <c r="BQ29" s="16"/>
      <c r="BR29" s="16"/>
      <c r="BS29" s="16"/>
      <c r="BT29" s="16"/>
      <c r="BU29" s="16"/>
      <c r="BV29" s="16"/>
      <c r="BW29" s="16"/>
      <c r="BX29" s="16"/>
      <c r="BY29" s="16"/>
      <c r="BZ29" s="16"/>
      <c r="CA29" s="16"/>
      <c r="CB29" s="16"/>
      <c r="CC29" s="16"/>
      <c r="CD29" s="16"/>
      <c r="CE29" s="16"/>
      <c r="CF29" s="16"/>
      <c r="CG29" s="16">
        <v>0.3</v>
      </c>
      <c r="CH29" s="16">
        <v>0.42</v>
      </c>
      <c r="CI29" s="16">
        <v>0.35</v>
      </c>
      <c r="CJ29" s="33"/>
      <c r="CK29" s="16"/>
      <c r="CL29" s="16"/>
      <c r="CM29" s="27"/>
      <c r="CN29" s="16"/>
      <c r="CO29" s="16"/>
      <c r="CP29" s="16"/>
      <c r="CQ29" s="16"/>
      <c r="CR29" s="16"/>
      <c r="CS29" s="16"/>
      <c r="CT29" s="16"/>
      <c r="CU29" s="16"/>
      <c r="CV29" s="16"/>
      <c r="CW29" s="16"/>
      <c r="CX29" s="16"/>
      <c r="CY29" s="16"/>
      <c r="CZ29" s="16"/>
      <c r="DA29" s="16"/>
      <c r="DB29" s="16"/>
      <c r="DC29" s="16"/>
      <c r="DD29" s="16"/>
      <c r="DE29" s="16"/>
      <c r="DF29" s="16"/>
      <c r="DG29" s="16"/>
      <c r="DH29" s="16"/>
      <c r="DI29" s="16"/>
      <c r="DJ29" s="16"/>
      <c r="DK29" s="16"/>
      <c r="DL29" s="16"/>
      <c r="DM29" s="16"/>
      <c r="DN29" s="16"/>
      <c r="DO29" s="16"/>
      <c r="DP29" s="16"/>
      <c r="DQ29" s="16"/>
      <c r="DR29" s="16"/>
      <c r="DS29" s="16"/>
      <c r="DT29" s="16"/>
      <c r="DU29" s="16"/>
      <c r="DV29" s="16"/>
      <c r="DW29" s="16"/>
      <c r="DX29" s="16"/>
      <c r="DY29" s="16"/>
      <c r="DZ29" s="16"/>
      <c r="EA29" s="16"/>
      <c r="EB29" s="16"/>
      <c r="EC29" s="16"/>
      <c r="ED29" s="16"/>
      <c r="EE29" s="16"/>
      <c r="EF29" s="16"/>
      <c r="EG29" s="16"/>
      <c r="EH29" s="16"/>
      <c r="EI29" s="16"/>
      <c r="EJ29" s="16"/>
      <c r="EK29" s="16"/>
      <c r="EL29" s="16"/>
      <c r="EM29" s="16"/>
      <c r="EN29" s="16"/>
      <c r="EO29" s="16"/>
      <c r="EP29" s="16"/>
      <c r="EQ29" s="16"/>
      <c r="ER29" s="16"/>
      <c r="ES29" s="16"/>
      <c r="ET29" s="16"/>
      <c r="EU29" s="16"/>
      <c r="EV29" s="16"/>
      <c r="EW29" s="16"/>
      <c r="EX29" s="16"/>
      <c r="EY29" s="16"/>
      <c r="EZ29" s="16"/>
      <c r="FA29" s="16"/>
      <c r="FB29" s="16"/>
      <c r="FC29" s="16"/>
      <c r="FD29" s="16"/>
      <c r="FE29" s="16"/>
      <c r="FF29" s="16"/>
      <c r="FG29" s="16"/>
      <c r="FH29" s="16"/>
      <c r="FI29" s="16"/>
      <c r="FJ29" s="16"/>
      <c r="FK29" s="16"/>
      <c r="FL29" s="16"/>
      <c r="FM29" s="16"/>
      <c r="FN29" s="16"/>
      <c r="FO29" s="16"/>
      <c r="FP29" s="16"/>
      <c r="FQ29" s="16"/>
      <c r="FR29" s="16"/>
      <c r="FS29" s="16"/>
      <c r="FT29" s="16"/>
      <c r="FU29" s="16"/>
      <c r="FV29" s="16"/>
      <c r="FW29" s="16"/>
      <c r="FX29" s="16"/>
      <c r="FY29" s="16"/>
      <c r="FZ29" s="16"/>
      <c r="GA29" s="16"/>
      <c r="GB29" s="16"/>
      <c r="GC29" s="16"/>
      <c r="GD29" s="16"/>
      <c r="GE29" s="16"/>
      <c r="GF29" s="16"/>
      <c r="GG29" s="16"/>
      <c r="GH29" s="16"/>
      <c r="GI29" s="16"/>
      <c r="GJ29" s="16"/>
      <c r="GK29" s="16"/>
      <c r="GL29" s="16"/>
      <c r="GM29" s="16"/>
      <c r="GN29" s="16"/>
      <c r="GO29" s="16"/>
      <c r="GP29" s="16"/>
      <c r="GQ29" s="16"/>
      <c r="GR29" s="16"/>
      <c r="GS29" s="16"/>
      <c r="GT29" s="16"/>
      <c r="GU29" s="16"/>
      <c r="GV29" s="16"/>
      <c r="GW29" s="16"/>
      <c r="GX29" s="16"/>
      <c r="GY29" s="16"/>
      <c r="GZ29" s="16"/>
      <c r="HA29" s="16"/>
      <c r="HB29" s="16"/>
      <c r="HC29" s="16"/>
      <c r="HD29" s="16"/>
      <c r="HE29" s="16"/>
      <c r="HF29" s="16"/>
      <c r="HG29" s="16"/>
      <c r="HH29" s="16"/>
      <c r="HI29" s="16"/>
      <c r="HJ29" s="16"/>
      <c r="HK29" s="16"/>
      <c r="HL29" s="16"/>
      <c r="HM29" s="16"/>
      <c r="HN29" s="16"/>
      <c r="HO29" s="16"/>
      <c r="HP29" s="16"/>
      <c r="HQ29" s="16"/>
      <c r="HR29" s="16"/>
      <c r="HS29" s="16"/>
      <c r="HT29" s="16"/>
      <c r="HU29" s="16"/>
      <c r="HV29" s="16"/>
      <c r="HW29" s="16"/>
      <c r="HX29" s="16"/>
      <c r="HY29" s="16"/>
      <c r="HZ29" s="16"/>
      <c r="IA29" s="16"/>
      <c r="IB29" s="16"/>
      <c r="IC29" s="16"/>
      <c r="ID29" s="16"/>
      <c r="IE29" s="16"/>
      <c r="IF29" s="16"/>
      <c r="IG29" s="16"/>
      <c r="IH29" s="16"/>
      <c r="II29" s="16"/>
      <c r="IJ29" s="16"/>
      <c r="IK29" s="16"/>
      <c r="IL29" s="16"/>
      <c r="IM29" s="16"/>
      <c r="IN29" s="16"/>
      <c r="IO29" s="16"/>
      <c r="IP29" s="16"/>
      <c r="IQ29" s="16"/>
      <c r="IR29" s="16"/>
      <c r="IS29" s="16"/>
      <c r="IT29" s="16"/>
      <c r="IU29" s="16"/>
      <c r="IV29" s="16"/>
      <c r="IW29" s="16"/>
      <c r="IX29" s="21"/>
    </row>
    <row r="30" spans="1:259" x14ac:dyDescent="0.25">
      <c r="A30" s="518" t="s">
        <v>143</v>
      </c>
      <c r="C30" s="519" t="s">
        <v>11</v>
      </c>
      <c r="D30" s="35"/>
      <c r="E30" s="36"/>
      <c r="F30" s="36"/>
      <c r="G30" s="36"/>
      <c r="H30" s="36"/>
      <c r="I30" s="36"/>
      <c r="J30" s="36"/>
      <c r="K30" s="36"/>
      <c r="L30" s="36"/>
      <c r="M30" s="36"/>
      <c r="N30" s="36"/>
      <c r="O30" s="36"/>
      <c r="P30" s="36"/>
      <c r="Q30" s="36"/>
      <c r="R30" s="36"/>
      <c r="S30" s="36"/>
      <c r="T30" s="36"/>
      <c r="U30" s="36"/>
      <c r="V30" s="37"/>
      <c r="W30" s="36"/>
      <c r="X30" s="36"/>
      <c r="Y30" s="36"/>
      <c r="Z30" s="36"/>
      <c r="AA30" s="36"/>
      <c r="AB30" s="36"/>
      <c r="AC30" s="36"/>
      <c r="AD30" s="36"/>
      <c r="AE30" s="36"/>
      <c r="AF30" s="36"/>
      <c r="AG30" s="36"/>
      <c r="AH30" s="36"/>
      <c r="AI30" s="36"/>
      <c r="AJ30" s="36"/>
      <c r="AK30" s="36"/>
      <c r="AL30" s="36"/>
      <c r="AM30" s="36"/>
      <c r="AN30" s="36"/>
      <c r="AO30" s="36"/>
      <c r="AP30" s="36"/>
      <c r="BT30" s="163"/>
      <c r="BU30" s="36"/>
      <c r="BV30" s="36"/>
      <c r="BW30" s="36"/>
      <c r="BX30" s="36"/>
      <c r="BY30" s="36"/>
      <c r="BZ30" s="509">
        <v>125</v>
      </c>
      <c r="CA30" s="27"/>
      <c r="CB30" s="27"/>
      <c r="CC30" s="27"/>
      <c r="CD30" s="27"/>
      <c r="CE30" s="27"/>
      <c r="CF30" s="510">
        <v>125</v>
      </c>
      <c r="CG30" s="27"/>
      <c r="CH30" s="27"/>
      <c r="CI30" s="27"/>
      <c r="CJ30" s="27"/>
      <c r="CK30" s="27"/>
      <c r="CL30" s="509">
        <v>125</v>
      </c>
      <c r="CO30" s="27"/>
      <c r="CP30" s="27"/>
      <c r="CQ30" s="27"/>
      <c r="CR30" s="27"/>
      <c r="CY30" s="36"/>
      <c r="CZ30" s="36"/>
      <c r="DA30" s="36"/>
      <c r="DB30" s="36"/>
      <c r="DC30" s="36"/>
      <c r="DD30" s="163"/>
      <c r="DE30" s="28"/>
      <c r="DF30" s="28"/>
      <c r="DG30" s="28"/>
      <c r="DH30" s="28"/>
      <c r="DI30" s="28"/>
      <c r="DJ30" s="28"/>
      <c r="DK30" s="28"/>
      <c r="DL30" s="28"/>
      <c r="DM30" s="28"/>
      <c r="DN30" s="28"/>
      <c r="DO30" s="28"/>
      <c r="DP30" s="28"/>
      <c r="DQ30" s="28"/>
      <c r="DR30" s="28"/>
      <c r="DS30" s="28"/>
      <c r="DT30" s="28"/>
      <c r="DU30" s="28"/>
      <c r="DV30" s="28"/>
      <c r="DW30" s="28"/>
      <c r="DX30" s="28"/>
      <c r="DY30" s="28"/>
      <c r="DZ30" s="28"/>
      <c r="EA30" s="28"/>
      <c r="EB30" s="28"/>
      <c r="EC30" s="28"/>
      <c r="ED30" s="28"/>
      <c r="EE30" s="28"/>
      <c r="EF30" s="28"/>
      <c r="EG30" s="28"/>
      <c r="EH30" s="28"/>
      <c r="EI30" s="28"/>
      <c r="EJ30" s="28"/>
      <c r="EK30" s="28"/>
      <c r="EL30" s="28"/>
      <c r="EM30" s="28"/>
      <c r="EN30" s="28"/>
      <c r="EO30" s="28"/>
      <c r="EP30" s="28"/>
      <c r="EQ30" s="28"/>
      <c r="ER30" s="28"/>
      <c r="ES30" s="28"/>
      <c r="ET30" s="28"/>
      <c r="EU30" s="28"/>
      <c r="EV30" s="28"/>
      <c r="EW30" s="28"/>
      <c r="EX30" s="28"/>
      <c r="EY30" s="28"/>
      <c r="EZ30" s="28"/>
      <c r="FA30" s="28"/>
      <c r="FB30" s="28"/>
      <c r="FC30" s="28"/>
      <c r="FD30" s="28"/>
      <c r="FE30" s="28"/>
      <c r="FF30" s="28"/>
      <c r="FG30" s="28"/>
      <c r="FH30" s="28"/>
      <c r="FI30" s="28"/>
      <c r="FJ30" s="28"/>
      <c r="FK30" s="28"/>
      <c r="FL30" s="28"/>
      <c r="FM30" s="28"/>
      <c r="FN30" s="28"/>
      <c r="FO30" s="28"/>
      <c r="FP30" s="28"/>
      <c r="FQ30" s="28"/>
      <c r="FR30" s="28"/>
      <c r="FS30" s="28"/>
      <c r="FT30" s="28"/>
      <c r="FU30" s="28"/>
      <c r="FV30" s="28"/>
      <c r="FW30" s="28"/>
      <c r="FX30" s="28"/>
      <c r="FY30" s="28"/>
      <c r="FZ30" s="28"/>
      <c r="GA30" s="28"/>
      <c r="GB30" s="28"/>
      <c r="GC30" s="28"/>
      <c r="GD30" s="28"/>
      <c r="GE30" s="28"/>
      <c r="GF30" s="28"/>
      <c r="GG30" s="28"/>
      <c r="GH30" s="28"/>
      <c r="GI30" s="28"/>
      <c r="GJ30" s="28"/>
      <c r="GK30" s="28"/>
      <c r="GL30" s="28"/>
      <c r="GM30" s="28"/>
      <c r="GN30" s="28"/>
      <c r="GO30" s="28"/>
      <c r="GP30" s="28"/>
      <c r="GQ30" s="28"/>
      <c r="GR30" s="28"/>
      <c r="GS30" s="28"/>
      <c r="GT30" s="28"/>
      <c r="GU30" s="28"/>
      <c r="GV30" s="28"/>
      <c r="GW30" s="28"/>
      <c r="GX30" s="28"/>
      <c r="GY30" s="28"/>
      <c r="GZ30" s="28"/>
      <c r="HA30" s="28"/>
      <c r="HB30" s="28"/>
      <c r="HC30" s="28"/>
      <c r="HD30" s="28"/>
      <c r="HE30" s="28"/>
      <c r="HF30" s="28"/>
      <c r="HG30" s="28"/>
      <c r="HH30" s="28"/>
      <c r="HI30" s="28"/>
      <c r="HJ30" s="28"/>
      <c r="HK30" s="28"/>
      <c r="HL30" s="28"/>
      <c r="HM30" s="28"/>
      <c r="HN30" s="28"/>
      <c r="HO30" s="28"/>
      <c r="HP30" s="28"/>
      <c r="HQ30" s="28"/>
      <c r="HR30" s="28"/>
      <c r="HS30" s="28"/>
      <c r="HT30" s="28"/>
      <c r="HU30" s="28"/>
      <c r="HV30" s="28"/>
      <c r="HW30" s="28"/>
      <c r="HX30" s="28"/>
      <c r="HY30" s="28"/>
      <c r="HZ30" s="28"/>
      <c r="IA30" s="28"/>
      <c r="IB30" s="28"/>
      <c r="IC30" s="28"/>
      <c r="ID30" s="28"/>
      <c r="IE30" s="28"/>
      <c r="IF30" s="28"/>
      <c r="IG30" s="28"/>
      <c r="IH30" s="28"/>
      <c r="II30" s="28"/>
      <c r="IJ30" s="28"/>
      <c r="IK30" s="28"/>
      <c r="IL30" s="28"/>
      <c r="IM30" s="28"/>
      <c r="IN30" s="28"/>
      <c r="IO30" s="28"/>
      <c r="IP30" s="28"/>
      <c r="IQ30" s="28"/>
      <c r="IR30" s="28"/>
      <c r="IS30" s="28"/>
      <c r="IT30" s="28"/>
      <c r="IU30" s="28"/>
      <c r="IV30" s="28"/>
      <c r="IW30" s="28"/>
      <c r="IX30" s="29"/>
    </row>
    <row r="31" spans="1:259" ht="15.75" thickBot="1" x14ac:dyDescent="0.3">
      <c r="C31" s="17"/>
      <c r="D31" s="171"/>
      <c r="E31" s="171"/>
      <c r="F31" s="171"/>
      <c r="G31" s="171"/>
      <c r="H31" s="171"/>
      <c r="I31" s="171"/>
      <c r="J31" s="171"/>
      <c r="K31" s="171"/>
      <c r="L31" s="171"/>
      <c r="M31" s="171"/>
      <c r="N31" s="171"/>
      <c r="O31" s="171"/>
      <c r="P31" s="171"/>
      <c r="Q31" s="171"/>
      <c r="R31" s="171"/>
      <c r="S31" s="171"/>
      <c r="T31" s="171"/>
      <c r="U31" s="171"/>
      <c r="V31" s="171"/>
      <c r="W31" s="171"/>
      <c r="X31" s="171"/>
      <c r="Y31" s="171"/>
      <c r="Z31" s="171"/>
      <c r="AA31" s="171"/>
      <c r="AB31" s="171"/>
      <c r="AC31" s="171"/>
      <c r="AD31" s="171"/>
      <c r="AE31" s="171"/>
      <c r="AF31" s="171"/>
      <c r="AG31" s="171"/>
      <c r="AH31" s="171"/>
      <c r="AI31" s="171"/>
      <c r="AJ31" s="171"/>
      <c r="AK31" s="171"/>
      <c r="AL31" s="171"/>
      <c r="AM31" s="171"/>
      <c r="AN31" s="171"/>
      <c r="AO31" s="171"/>
      <c r="AP31" s="171"/>
      <c r="AQ31" s="171"/>
      <c r="AR31" s="171"/>
      <c r="AS31" s="171"/>
      <c r="AT31" s="171"/>
      <c r="AU31" s="171"/>
      <c r="AV31" s="171"/>
      <c r="AW31" s="171"/>
      <c r="AX31" s="171"/>
      <c r="AY31" s="171"/>
      <c r="AZ31" s="171"/>
      <c r="BA31" s="171"/>
      <c r="BB31" s="171"/>
      <c r="BC31" s="171"/>
      <c r="BD31" s="171"/>
      <c r="BE31" s="171"/>
      <c r="BF31" s="171"/>
      <c r="BG31" s="171"/>
      <c r="BH31" s="171"/>
      <c r="BI31" s="171"/>
      <c r="BJ31" s="171"/>
      <c r="BK31" s="171"/>
      <c r="BL31" s="171"/>
      <c r="BM31" s="171"/>
      <c r="BN31" s="171"/>
      <c r="BO31" s="171"/>
      <c r="BP31" s="171"/>
      <c r="BQ31" s="171"/>
      <c r="BR31" s="171"/>
      <c r="BS31" s="171"/>
      <c r="BT31" s="171"/>
      <c r="BU31" s="171"/>
      <c r="BV31" s="171"/>
      <c r="BW31" s="171"/>
      <c r="BX31" s="171"/>
      <c r="BY31" s="171"/>
      <c r="BZ31" s="171"/>
      <c r="CA31" s="171"/>
      <c r="CB31" s="171"/>
      <c r="CC31" s="171"/>
      <c r="CD31" s="171"/>
      <c r="CE31" s="171"/>
      <c r="CF31" s="171"/>
      <c r="CG31" s="171"/>
      <c r="CH31" s="171"/>
      <c r="CI31" s="171"/>
      <c r="CJ31" s="171"/>
      <c r="CK31" s="171"/>
      <c r="CL31" s="171"/>
      <c r="CM31" s="171"/>
      <c r="CN31" s="171"/>
      <c r="CO31" s="171"/>
      <c r="CP31" s="171"/>
      <c r="CQ31" s="171"/>
      <c r="CR31" s="171"/>
      <c r="CS31" s="171"/>
      <c r="CT31" s="171"/>
      <c r="CU31" s="171"/>
      <c r="CV31" s="171"/>
      <c r="CW31" s="171"/>
      <c r="CX31" s="171"/>
      <c r="CY31" s="171"/>
      <c r="CZ31" s="171"/>
      <c r="DA31" s="171"/>
      <c r="DB31" s="171"/>
      <c r="DC31" s="171"/>
      <c r="DD31" s="171"/>
    </row>
    <row r="32" spans="1:259" x14ac:dyDescent="0.25">
      <c r="A32" s="566" t="s">
        <v>45</v>
      </c>
      <c r="C32" s="9" t="s">
        <v>40</v>
      </c>
      <c r="D32" s="197">
        <f t="shared" ref="D32:D37" si="1">D12</f>
        <v>1</v>
      </c>
      <c r="E32" s="197">
        <f t="shared" ref="E32:AJ32" si="2">D32+E12</f>
        <v>1</v>
      </c>
      <c r="F32" s="197">
        <f t="shared" si="2"/>
        <v>1</v>
      </c>
      <c r="G32" s="197">
        <f t="shared" si="2"/>
        <v>2</v>
      </c>
      <c r="H32" s="197">
        <f t="shared" si="2"/>
        <v>2</v>
      </c>
      <c r="I32" s="197">
        <f t="shared" si="2"/>
        <v>2</v>
      </c>
      <c r="J32" s="197">
        <f t="shared" si="2"/>
        <v>4</v>
      </c>
      <c r="K32" s="197">
        <f t="shared" si="2"/>
        <v>7</v>
      </c>
      <c r="L32" s="197">
        <f t="shared" si="2"/>
        <v>9</v>
      </c>
      <c r="M32" s="197">
        <f t="shared" si="2"/>
        <v>10</v>
      </c>
      <c r="N32" s="197">
        <f t="shared" si="2"/>
        <v>13</v>
      </c>
      <c r="O32" s="197">
        <f t="shared" si="2"/>
        <v>16</v>
      </c>
      <c r="P32" s="197">
        <f t="shared" si="2"/>
        <v>18</v>
      </c>
      <c r="Q32" s="197">
        <f t="shared" si="2"/>
        <v>20</v>
      </c>
      <c r="R32" s="197">
        <f t="shared" si="2"/>
        <v>25</v>
      </c>
      <c r="S32" s="197">
        <f t="shared" si="2"/>
        <v>35</v>
      </c>
      <c r="T32" s="197">
        <f t="shared" si="2"/>
        <v>39</v>
      </c>
      <c r="U32" s="197">
        <f t="shared" si="2"/>
        <v>41</v>
      </c>
      <c r="V32" s="197">
        <f t="shared" si="2"/>
        <v>44</v>
      </c>
      <c r="W32" s="197">
        <f t="shared" si="2"/>
        <v>45</v>
      </c>
      <c r="X32" s="197">
        <f t="shared" si="2"/>
        <v>48</v>
      </c>
      <c r="Y32" s="197">
        <f t="shared" si="2"/>
        <v>58</v>
      </c>
      <c r="Z32" s="197">
        <f t="shared" si="2"/>
        <v>67</v>
      </c>
      <c r="AA32" s="197">
        <f t="shared" si="2"/>
        <v>75</v>
      </c>
      <c r="AB32" s="197">
        <f t="shared" si="2"/>
        <v>86</v>
      </c>
      <c r="AC32" s="197">
        <f t="shared" si="2"/>
        <v>105</v>
      </c>
      <c r="AD32" s="197">
        <f t="shared" si="2"/>
        <v>118</v>
      </c>
      <c r="AE32" s="197">
        <f t="shared" si="2"/>
        <v>124</v>
      </c>
      <c r="AF32" s="197">
        <f t="shared" si="2"/>
        <v>131</v>
      </c>
      <c r="AG32" s="197">
        <f t="shared" si="2"/>
        <v>133</v>
      </c>
      <c r="AH32" s="197">
        <f t="shared" si="2"/>
        <v>133</v>
      </c>
      <c r="AI32" s="197">
        <f t="shared" si="2"/>
        <v>133</v>
      </c>
      <c r="AJ32" s="197">
        <f t="shared" si="2"/>
        <v>137</v>
      </c>
      <c r="AK32" s="197">
        <f t="shared" ref="AK32:BP32" si="3">AJ32+AK12</f>
        <v>148</v>
      </c>
      <c r="AL32" s="197">
        <f t="shared" si="3"/>
        <v>153</v>
      </c>
      <c r="AM32" s="197">
        <f t="shared" si="3"/>
        <v>172</v>
      </c>
      <c r="AN32" s="197">
        <f t="shared" si="3"/>
        <v>196</v>
      </c>
      <c r="AO32" s="197">
        <f t="shared" si="3"/>
        <v>230</v>
      </c>
      <c r="AP32" s="197">
        <f t="shared" si="3"/>
        <v>256</v>
      </c>
      <c r="AQ32" s="197">
        <f t="shared" si="3"/>
        <v>275</v>
      </c>
      <c r="AR32" s="197">
        <f t="shared" si="3"/>
        <v>296</v>
      </c>
      <c r="AS32" s="197">
        <f t="shared" si="3"/>
        <v>356</v>
      </c>
      <c r="AT32" s="197">
        <f t="shared" si="3"/>
        <v>385</v>
      </c>
      <c r="AU32" s="197">
        <f t="shared" si="3"/>
        <v>403</v>
      </c>
      <c r="AV32" s="197">
        <f t="shared" si="3"/>
        <v>431</v>
      </c>
      <c r="AW32" s="197">
        <f t="shared" si="3"/>
        <v>469</v>
      </c>
      <c r="AX32" s="197">
        <f t="shared" si="3"/>
        <v>502</v>
      </c>
      <c r="AY32" s="197">
        <f t="shared" si="3"/>
        <v>552</v>
      </c>
      <c r="AZ32" s="197">
        <f t="shared" si="3"/>
        <v>586</v>
      </c>
      <c r="BA32" s="197">
        <f t="shared" si="3"/>
        <v>616</v>
      </c>
      <c r="BB32" s="197">
        <f t="shared" si="3"/>
        <v>690</v>
      </c>
      <c r="BC32" s="197">
        <f t="shared" si="3"/>
        <v>755</v>
      </c>
      <c r="BD32" s="197">
        <f t="shared" si="3"/>
        <v>814</v>
      </c>
      <c r="BE32" s="197">
        <f t="shared" si="3"/>
        <v>871</v>
      </c>
      <c r="BF32" s="197">
        <f t="shared" si="3"/>
        <v>918</v>
      </c>
      <c r="BG32" s="197">
        <f t="shared" si="3"/>
        <v>976</v>
      </c>
      <c r="BH32" s="197">
        <f t="shared" si="3"/>
        <v>1039</v>
      </c>
      <c r="BI32" s="197">
        <f t="shared" si="3"/>
        <v>1108</v>
      </c>
      <c r="BJ32" s="197">
        <f t="shared" si="3"/>
        <v>1158</v>
      </c>
      <c r="BK32" s="197">
        <f t="shared" si="3"/>
        <v>1207</v>
      </c>
      <c r="BL32" s="197">
        <f t="shared" si="3"/>
        <v>1265</v>
      </c>
      <c r="BM32" s="197">
        <f t="shared" si="3"/>
        <v>1309</v>
      </c>
      <c r="BN32" s="197">
        <f t="shared" si="3"/>
        <v>1361</v>
      </c>
      <c r="BO32" s="197">
        <f t="shared" si="3"/>
        <v>1374</v>
      </c>
      <c r="BP32" s="197">
        <f t="shared" si="3"/>
        <v>1408</v>
      </c>
      <c r="BQ32" s="197">
        <f t="shared" ref="BQ32:CV32" si="4">BP32+BQ12</f>
        <v>1442</v>
      </c>
      <c r="BR32" s="197">
        <f t="shared" si="4"/>
        <v>1483</v>
      </c>
      <c r="BS32" s="197">
        <f t="shared" si="4"/>
        <v>1513</v>
      </c>
      <c r="BT32" s="197">
        <f t="shared" si="4"/>
        <v>1556</v>
      </c>
      <c r="BU32" s="197">
        <f t="shared" si="4"/>
        <v>1613</v>
      </c>
      <c r="BV32" s="197">
        <f t="shared" si="4"/>
        <v>1673</v>
      </c>
      <c r="BW32" s="197">
        <f t="shared" si="4"/>
        <v>1704</v>
      </c>
      <c r="BX32" s="197">
        <f t="shared" si="4"/>
        <v>1732</v>
      </c>
      <c r="BY32" s="197">
        <f t="shared" si="4"/>
        <v>1768</v>
      </c>
      <c r="BZ32" s="197">
        <f t="shared" si="4"/>
        <v>1843</v>
      </c>
      <c r="CA32" s="197">
        <f t="shared" si="4"/>
        <v>1890</v>
      </c>
      <c r="CB32" s="197">
        <f t="shared" si="4"/>
        <v>1936</v>
      </c>
      <c r="CC32" s="197">
        <f t="shared" si="4"/>
        <v>2025</v>
      </c>
      <c r="CD32" s="197">
        <f t="shared" si="4"/>
        <v>2106</v>
      </c>
      <c r="CE32" s="197">
        <f t="shared" si="4"/>
        <v>2196</v>
      </c>
      <c r="CF32" s="197">
        <f t="shared" si="4"/>
        <v>2235</v>
      </c>
      <c r="CG32" s="197">
        <f t="shared" si="4"/>
        <v>2322</v>
      </c>
      <c r="CH32" s="197">
        <f t="shared" si="4"/>
        <v>2374</v>
      </c>
      <c r="CI32" s="197">
        <f t="shared" si="4"/>
        <v>2426</v>
      </c>
      <c r="CJ32" s="197">
        <f t="shared" si="4"/>
        <v>2461</v>
      </c>
      <c r="CK32" s="197">
        <f t="shared" si="4"/>
        <v>2471</v>
      </c>
      <c r="CL32" s="197">
        <f t="shared" si="4"/>
        <v>2501</v>
      </c>
      <c r="CM32" s="197">
        <f t="shared" si="4"/>
        <v>2527</v>
      </c>
      <c r="CN32" s="197">
        <f t="shared" si="4"/>
        <v>2535</v>
      </c>
      <c r="CO32" s="197">
        <f t="shared" si="4"/>
        <v>2542</v>
      </c>
      <c r="CP32" s="197">
        <f t="shared" si="4"/>
        <v>2543</v>
      </c>
      <c r="CQ32" s="197">
        <f t="shared" si="4"/>
        <v>2544</v>
      </c>
      <c r="CR32" s="197">
        <f t="shared" si="4"/>
        <v>2545</v>
      </c>
      <c r="CS32" s="197">
        <f t="shared" si="4"/>
        <v>2546</v>
      </c>
      <c r="CT32" s="197">
        <f t="shared" si="4"/>
        <v>2550</v>
      </c>
      <c r="CU32" s="197">
        <f t="shared" si="4"/>
        <v>2555</v>
      </c>
      <c r="CV32" s="197">
        <f t="shared" si="4"/>
        <v>2556</v>
      </c>
      <c r="CW32" s="197">
        <f t="shared" ref="CW32:DD32" si="5">CV32+CW12</f>
        <v>2557</v>
      </c>
      <c r="CX32" s="197">
        <f t="shared" si="5"/>
        <v>2557</v>
      </c>
      <c r="CY32" s="197">
        <f t="shared" si="5"/>
        <v>2557</v>
      </c>
      <c r="CZ32" s="197">
        <f t="shared" si="5"/>
        <v>2557</v>
      </c>
      <c r="DA32" s="197">
        <f t="shared" si="5"/>
        <v>2557</v>
      </c>
      <c r="DB32" s="197">
        <f t="shared" si="5"/>
        <v>2557</v>
      </c>
      <c r="DC32" s="197">
        <f t="shared" si="5"/>
        <v>2557</v>
      </c>
      <c r="DD32" s="197">
        <f t="shared" si="5"/>
        <v>2557</v>
      </c>
      <c r="DE32" s="27"/>
      <c r="DF32" s="27"/>
      <c r="DG32" s="27"/>
      <c r="DH32" s="27"/>
      <c r="DI32" s="27"/>
      <c r="DJ32" s="27"/>
      <c r="DK32" s="27"/>
      <c r="DL32" s="27"/>
      <c r="DM32" s="27"/>
      <c r="DN32" s="27"/>
      <c r="DO32" s="27"/>
      <c r="DP32" s="27"/>
      <c r="DQ32" s="27"/>
      <c r="DR32" s="27"/>
      <c r="DS32" s="27"/>
      <c r="DT32" s="27"/>
      <c r="DU32" s="27"/>
      <c r="DV32" s="27"/>
      <c r="DW32" s="27"/>
      <c r="DX32" s="27"/>
      <c r="DY32" s="27"/>
      <c r="DZ32" s="27"/>
      <c r="EA32" s="27"/>
      <c r="EB32" s="27"/>
      <c r="EC32" s="27"/>
      <c r="ED32" s="27"/>
      <c r="EE32" s="27"/>
      <c r="EF32" s="27"/>
      <c r="EG32" s="27"/>
      <c r="EH32" s="27"/>
      <c r="EI32" s="27"/>
      <c r="EJ32" s="27"/>
      <c r="EK32" s="27"/>
      <c r="EL32" s="27"/>
      <c r="EM32" s="27"/>
      <c r="EN32" s="27"/>
      <c r="EO32" s="27"/>
      <c r="EP32" s="27"/>
      <c r="EQ32" s="27"/>
      <c r="ER32" s="27"/>
      <c r="ES32" s="27"/>
      <c r="ET32" s="27"/>
      <c r="EU32" s="27"/>
      <c r="EV32" s="27"/>
      <c r="EW32" s="27"/>
      <c r="EX32" s="27"/>
      <c r="EY32" s="27"/>
      <c r="EZ32" s="27"/>
      <c r="FA32" s="27"/>
      <c r="FB32" s="27"/>
      <c r="FC32" s="27"/>
      <c r="FD32" s="27"/>
      <c r="FE32" s="27"/>
      <c r="FF32" s="27"/>
      <c r="FG32" s="27"/>
      <c r="FH32" s="27"/>
      <c r="FI32" s="27"/>
      <c r="FJ32" s="27"/>
      <c r="FK32" s="27"/>
      <c r="FL32" s="27"/>
      <c r="FM32" s="27"/>
      <c r="FN32" s="27"/>
      <c r="FO32" s="27"/>
      <c r="FP32" s="27"/>
      <c r="FQ32" s="27"/>
      <c r="FR32" s="27"/>
      <c r="FS32" s="27"/>
      <c r="FT32" s="27"/>
      <c r="FU32" s="27"/>
      <c r="FV32" s="27"/>
      <c r="FW32" s="27"/>
      <c r="FX32" s="27"/>
      <c r="FY32" s="27"/>
      <c r="FZ32" s="27"/>
      <c r="GA32" s="27"/>
      <c r="GB32" s="27"/>
      <c r="GC32" s="27"/>
      <c r="GD32" s="27"/>
      <c r="GE32" s="27"/>
      <c r="GF32" s="27"/>
      <c r="GG32" s="27"/>
      <c r="GH32" s="27"/>
      <c r="GI32" s="27"/>
      <c r="GJ32" s="27"/>
      <c r="GK32" s="27"/>
      <c r="GL32" s="27"/>
      <c r="GM32" s="27"/>
      <c r="GN32" s="27"/>
      <c r="GO32" s="27"/>
      <c r="GP32" s="27"/>
      <c r="GQ32" s="27"/>
      <c r="GR32" s="27"/>
      <c r="GS32" s="27"/>
      <c r="GT32" s="27"/>
      <c r="GU32" s="27"/>
      <c r="GV32" s="27"/>
      <c r="GW32" s="27"/>
      <c r="GX32" s="27"/>
      <c r="GY32" s="27"/>
      <c r="GZ32" s="27"/>
      <c r="HA32" s="27"/>
      <c r="HB32" s="27"/>
      <c r="HC32" s="27"/>
      <c r="HD32" s="27"/>
      <c r="HE32" s="27"/>
      <c r="HF32" s="27"/>
      <c r="HG32" s="27"/>
      <c r="HH32" s="27"/>
      <c r="HI32" s="27"/>
      <c r="HJ32" s="27"/>
      <c r="HK32" s="27"/>
      <c r="HL32" s="27"/>
      <c r="HM32" s="27"/>
      <c r="HN32" s="27"/>
      <c r="HO32" s="27"/>
      <c r="HP32" s="27"/>
      <c r="HQ32" s="27"/>
      <c r="HR32" s="27"/>
      <c r="HS32" s="27"/>
      <c r="HT32" s="27"/>
      <c r="HU32" s="27"/>
      <c r="HV32" s="27"/>
      <c r="HW32" s="27"/>
      <c r="HX32" s="27"/>
      <c r="HY32" s="27"/>
      <c r="HZ32" s="27"/>
      <c r="IA32" s="27"/>
      <c r="IB32" s="27"/>
      <c r="IC32" s="27"/>
      <c r="ID32" s="27"/>
      <c r="IE32" s="27"/>
      <c r="IF32" s="27"/>
      <c r="IG32" s="27"/>
      <c r="IH32" s="27"/>
      <c r="II32" s="27"/>
      <c r="IJ32" s="27"/>
      <c r="IK32" s="27"/>
      <c r="IL32" s="27"/>
      <c r="IM32" s="27"/>
      <c r="IN32" s="27"/>
      <c r="IO32" s="27"/>
    </row>
    <row r="33" spans="1:258" x14ac:dyDescent="0.25">
      <c r="A33" s="567"/>
      <c r="C33" s="11" t="s">
        <v>39</v>
      </c>
      <c r="D33" s="27">
        <f t="shared" si="1"/>
        <v>4</v>
      </c>
      <c r="E33" s="27">
        <f t="shared" ref="E33:AJ33" si="6">D33+E13</f>
        <v>4</v>
      </c>
      <c r="F33" s="27">
        <f t="shared" si="6"/>
        <v>4</v>
      </c>
      <c r="G33" s="27">
        <f t="shared" si="6"/>
        <v>5</v>
      </c>
      <c r="H33" s="27">
        <f t="shared" si="6"/>
        <v>5</v>
      </c>
      <c r="I33" s="27">
        <f t="shared" si="6"/>
        <v>5</v>
      </c>
      <c r="J33" s="27">
        <f t="shared" si="6"/>
        <v>7</v>
      </c>
      <c r="K33" s="27">
        <f t="shared" si="6"/>
        <v>10</v>
      </c>
      <c r="L33" s="27">
        <f t="shared" si="6"/>
        <v>12</v>
      </c>
      <c r="M33" s="27">
        <f t="shared" si="6"/>
        <v>13</v>
      </c>
      <c r="N33" s="27">
        <f t="shared" si="6"/>
        <v>16</v>
      </c>
      <c r="O33" s="27">
        <f t="shared" si="6"/>
        <v>19</v>
      </c>
      <c r="P33" s="27">
        <f t="shared" si="6"/>
        <v>21</v>
      </c>
      <c r="Q33" s="27">
        <f t="shared" si="6"/>
        <v>23</v>
      </c>
      <c r="R33" s="27">
        <f t="shared" si="6"/>
        <v>27</v>
      </c>
      <c r="S33" s="27">
        <f t="shared" si="6"/>
        <v>32</v>
      </c>
      <c r="T33" s="27">
        <f t="shared" si="6"/>
        <v>36</v>
      </c>
      <c r="U33" s="27">
        <f t="shared" si="6"/>
        <v>43</v>
      </c>
      <c r="V33" s="27">
        <f t="shared" si="6"/>
        <v>46</v>
      </c>
      <c r="W33" s="27">
        <f t="shared" si="6"/>
        <v>48</v>
      </c>
      <c r="X33" s="27">
        <f t="shared" si="6"/>
        <v>51</v>
      </c>
      <c r="Y33" s="27">
        <f t="shared" si="6"/>
        <v>58</v>
      </c>
      <c r="Z33" s="27">
        <f t="shared" si="6"/>
        <v>62</v>
      </c>
      <c r="AA33" s="27">
        <f t="shared" si="6"/>
        <v>69</v>
      </c>
      <c r="AB33" s="27">
        <f t="shared" si="6"/>
        <v>78</v>
      </c>
      <c r="AC33" s="27">
        <f t="shared" si="6"/>
        <v>99</v>
      </c>
      <c r="AD33" s="27">
        <f t="shared" si="6"/>
        <v>113</v>
      </c>
      <c r="AE33" s="27">
        <f t="shared" si="6"/>
        <v>116</v>
      </c>
      <c r="AF33" s="27">
        <f t="shared" si="6"/>
        <v>122</v>
      </c>
      <c r="AG33" s="27">
        <f t="shared" si="6"/>
        <v>124</v>
      </c>
      <c r="AH33" s="27">
        <f t="shared" si="6"/>
        <v>125</v>
      </c>
      <c r="AI33" s="27">
        <f t="shared" si="6"/>
        <v>125</v>
      </c>
      <c r="AJ33" s="27">
        <f t="shared" si="6"/>
        <v>129</v>
      </c>
      <c r="AK33" s="27">
        <f t="shared" ref="AK33:BP33" si="7">AJ33+AK13</f>
        <v>140</v>
      </c>
      <c r="AL33" s="27">
        <f t="shared" si="7"/>
        <v>146</v>
      </c>
      <c r="AM33" s="27">
        <f t="shared" si="7"/>
        <v>170</v>
      </c>
      <c r="AN33" s="27">
        <f t="shared" si="7"/>
        <v>195</v>
      </c>
      <c r="AO33" s="27">
        <f t="shared" si="7"/>
        <v>221</v>
      </c>
      <c r="AP33" s="27">
        <f t="shared" si="7"/>
        <v>245</v>
      </c>
      <c r="AQ33" s="27">
        <f t="shared" si="7"/>
        <v>274</v>
      </c>
      <c r="AR33" s="27">
        <f t="shared" si="7"/>
        <v>298</v>
      </c>
      <c r="AS33" s="27">
        <f t="shared" si="7"/>
        <v>350</v>
      </c>
      <c r="AT33" s="27">
        <f t="shared" si="7"/>
        <v>381</v>
      </c>
      <c r="AU33" s="27">
        <f t="shared" si="7"/>
        <v>399</v>
      </c>
      <c r="AV33" s="27">
        <f t="shared" si="7"/>
        <v>413</v>
      </c>
      <c r="AW33" s="27">
        <f t="shared" si="7"/>
        <v>430</v>
      </c>
      <c r="AX33" s="27">
        <f t="shared" si="7"/>
        <v>459</v>
      </c>
      <c r="AY33" s="27">
        <f t="shared" si="7"/>
        <v>496</v>
      </c>
      <c r="AZ33" s="27">
        <f t="shared" si="7"/>
        <v>531</v>
      </c>
      <c r="BA33" s="27">
        <f t="shared" si="7"/>
        <v>558</v>
      </c>
      <c r="BB33" s="27">
        <f t="shared" si="7"/>
        <v>619</v>
      </c>
      <c r="BC33" s="27">
        <f t="shared" si="7"/>
        <v>673</v>
      </c>
      <c r="BD33" s="27">
        <f t="shared" si="7"/>
        <v>712</v>
      </c>
      <c r="BE33" s="27">
        <f t="shared" si="7"/>
        <v>743</v>
      </c>
      <c r="BF33" s="27">
        <f t="shared" si="7"/>
        <v>790</v>
      </c>
      <c r="BG33" s="27">
        <f t="shared" si="7"/>
        <v>833</v>
      </c>
      <c r="BH33" s="27">
        <f t="shared" si="7"/>
        <v>869</v>
      </c>
      <c r="BI33" s="27">
        <f t="shared" si="7"/>
        <v>945</v>
      </c>
      <c r="BJ33" s="27">
        <f t="shared" si="7"/>
        <v>993</v>
      </c>
      <c r="BK33" s="27">
        <f t="shared" si="7"/>
        <v>1038</v>
      </c>
      <c r="BL33" s="27">
        <f t="shared" si="7"/>
        <v>1080</v>
      </c>
      <c r="BM33" s="27">
        <f t="shared" si="7"/>
        <v>1125</v>
      </c>
      <c r="BN33" s="27">
        <f t="shared" si="7"/>
        <v>1165</v>
      </c>
      <c r="BO33" s="27">
        <f t="shared" si="7"/>
        <v>1208</v>
      </c>
      <c r="BP33" s="27">
        <f t="shared" si="7"/>
        <v>1243</v>
      </c>
      <c r="BQ33" s="27">
        <f t="shared" ref="BQ33:CV33" si="8">BP33+BQ13</f>
        <v>1270</v>
      </c>
      <c r="BR33" s="27">
        <f t="shared" si="8"/>
        <v>1316</v>
      </c>
      <c r="BS33" s="27">
        <f t="shared" si="8"/>
        <v>1350</v>
      </c>
      <c r="BT33" s="27">
        <f t="shared" si="8"/>
        <v>1384</v>
      </c>
      <c r="BU33" s="27">
        <f t="shared" si="8"/>
        <v>1444</v>
      </c>
      <c r="BV33" s="27">
        <f t="shared" si="8"/>
        <v>1515</v>
      </c>
      <c r="BW33" s="27">
        <f t="shared" si="8"/>
        <v>1549</v>
      </c>
      <c r="BX33" s="27">
        <f t="shared" si="8"/>
        <v>1584</v>
      </c>
      <c r="BY33" s="27">
        <f t="shared" si="8"/>
        <v>1647</v>
      </c>
      <c r="BZ33" s="27">
        <f t="shared" si="8"/>
        <v>1708</v>
      </c>
      <c r="CA33" s="27">
        <f t="shared" si="8"/>
        <v>1767</v>
      </c>
      <c r="CB33" s="27">
        <f t="shared" si="8"/>
        <v>1807</v>
      </c>
      <c r="CC33" s="27">
        <f t="shared" si="8"/>
        <v>1856</v>
      </c>
      <c r="CD33" s="27">
        <f t="shared" si="8"/>
        <v>1902</v>
      </c>
      <c r="CE33" s="27">
        <f t="shared" si="8"/>
        <v>1937</v>
      </c>
      <c r="CF33" s="27">
        <f t="shared" si="8"/>
        <v>1962</v>
      </c>
      <c r="CG33" s="27">
        <f t="shared" si="8"/>
        <v>2032</v>
      </c>
      <c r="CH33" s="27">
        <f t="shared" si="8"/>
        <v>2095</v>
      </c>
      <c r="CI33" s="27">
        <f t="shared" si="8"/>
        <v>2166</v>
      </c>
      <c r="CJ33" s="27">
        <f t="shared" si="8"/>
        <v>2246</v>
      </c>
      <c r="CK33" s="27">
        <f t="shared" si="8"/>
        <v>2305</v>
      </c>
      <c r="CL33" s="27">
        <f t="shared" si="8"/>
        <v>2356</v>
      </c>
      <c r="CM33" s="27">
        <f t="shared" si="8"/>
        <v>2425</v>
      </c>
      <c r="CN33" s="27">
        <f t="shared" si="8"/>
        <v>2462</v>
      </c>
      <c r="CO33" s="27">
        <f t="shared" si="8"/>
        <v>2505</v>
      </c>
      <c r="CP33" s="27">
        <f t="shared" si="8"/>
        <v>2523</v>
      </c>
      <c r="CQ33" s="27">
        <f t="shared" si="8"/>
        <v>2532</v>
      </c>
      <c r="CR33" s="27">
        <f t="shared" si="8"/>
        <v>2533</v>
      </c>
      <c r="CS33" s="27">
        <f t="shared" si="8"/>
        <v>2534</v>
      </c>
      <c r="CT33" s="27">
        <f t="shared" si="8"/>
        <v>2545</v>
      </c>
      <c r="CU33" s="27">
        <f t="shared" si="8"/>
        <v>2557</v>
      </c>
      <c r="CV33" s="27">
        <f t="shared" si="8"/>
        <v>2567</v>
      </c>
      <c r="CW33" s="27">
        <f t="shared" ref="CW33:DD33" si="9">CV33+CW13</f>
        <v>2574</v>
      </c>
      <c r="CX33" s="27">
        <f t="shared" si="9"/>
        <v>2595</v>
      </c>
      <c r="CY33" s="27">
        <f t="shared" si="9"/>
        <v>2597</v>
      </c>
      <c r="CZ33" s="27">
        <f t="shared" si="9"/>
        <v>2600</v>
      </c>
      <c r="DA33" s="27">
        <f t="shared" si="9"/>
        <v>2601</v>
      </c>
      <c r="DB33" s="27">
        <f t="shared" si="9"/>
        <v>2601</v>
      </c>
      <c r="DC33" s="27">
        <f t="shared" si="9"/>
        <v>2602</v>
      </c>
      <c r="DD33" s="27">
        <f t="shared" si="9"/>
        <v>2603</v>
      </c>
      <c r="DE33" s="27"/>
      <c r="DF33" s="27"/>
      <c r="DG33" s="27"/>
      <c r="DH33" s="27"/>
      <c r="DI33" s="27"/>
      <c r="DJ33" s="27"/>
      <c r="DK33" s="27"/>
      <c r="DL33" s="27"/>
      <c r="DM33" s="27"/>
      <c r="DN33" s="27"/>
      <c r="DO33" s="27"/>
      <c r="DP33" s="27"/>
      <c r="DQ33" s="27"/>
      <c r="DR33" s="27"/>
      <c r="DS33" s="27"/>
      <c r="DT33" s="27"/>
      <c r="DU33" s="27"/>
      <c r="DV33" s="27"/>
      <c r="DW33" s="27"/>
      <c r="DX33" s="27"/>
      <c r="DY33" s="27"/>
      <c r="DZ33" s="27"/>
      <c r="EA33" s="27"/>
      <c r="EB33" s="27"/>
      <c r="EC33" s="27"/>
      <c r="ED33" s="27"/>
      <c r="EE33" s="27"/>
      <c r="EF33" s="27"/>
      <c r="EG33" s="27"/>
      <c r="EH33" s="27"/>
      <c r="EI33" s="27"/>
      <c r="EJ33" s="27"/>
      <c r="EK33" s="27"/>
      <c r="EL33" s="27"/>
      <c r="EM33" s="27"/>
      <c r="EN33" s="27"/>
      <c r="EO33" s="27"/>
      <c r="EP33" s="27"/>
      <c r="EQ33" s="27"/>
      <c r="ER33" s="27"/>
      <c r="ES33" s="27"/>
      <c r="ET33" s="27"/>
      <c r="EU33" s="27"/>
      <c r="EV33" s="27"/>
      <c r="EW33" s="27"/>
      <c r="EX33" s="27"/>
      <c r="EY33" s="27"/>
      <c r="EZ33" s="27"/>
      <c r="FA33" s="27"/>
      <c r="FB33" s="27"/>
      <c r="FC33" s="27"/>
      <c r="FD33" s="27"/>
      <c r="FE33" s="27"/>
      <c r="FF33" s="27"/>
      <c r="FG33" s="27"/>
      <c r="FH33" s="27"/>
      <c r="FI33" s="27"/>
      <c r="FJ33" s="27"/>
      <c r="FK33" s="27"/>
      <c r="FL33" s="27"/>
      <c r="FM33" s="27"/>
      <c r="FN33" s="27"/>
      <c r="FO33" s="27"/>
      <c r="FP33" s="27"/>
      <c r="FQ33" s="27"/>
      <c r="FR33" s="27"/>
      <c r="FS33" s="27"/>
      <c r="FT33" s="27"/>
      <c r="FU33" s="27"/>
      <c r="FV33" s="27"/>
      <c r="FW33" s="27"/>
      <c r="FX33" s="27"/>
      <c r="FY33" s="27"/>
      <c r="FZ33" s="27"/>
      <c r="GA33" s="27"/>
      <c r="GB33" s="27"/>
      <c r="GC33" s="27"/>
      <c r="GD33" s="27"/>
      <c r="GE33" s="27"/>
      <c r="GF33" s="27"/>
      <c r="GG33" s="27"/>
      <c r="GH33" s="27"/>
      <c r="GI33" s="27"/>
      <c r="GJ33" s="27"/>
      <c r="GK33" s="27"/>
      <c r="GL33" s="27"/>
      <c r="GM33" s="27"/>
      <c r="GN33" s="27"/>
      <c r="GO33" s="27"/>
      <c r="GP33" s="27"/>
      <c r="GQ33" s="27"/>
      <c r="GR33" s="27"/>
      <c r="GS33" s="27"/>
      <c r="GT33" s="27"/>
      <c r="GU33" s="27"/>
      <c r="GV33" s="27"/>
      <c r="GW33" s="27"/>
      <c r="GX33" s="27"/>
      <c r="GY33" s="27"/>
      <c r="GZ33" s="27"/>
      <c r="HA33" s="27"/>
      <c r="HB33" s="27"/>
      <c r="HC33" s="27"/>
      <c r="HD33" s="27"/>
      <c r="HE33" s="27"/>
      <c r="HF33" s="27"/>
      <c r="HG33" s="27"/>
      <c r="HH33" s="27"/>
      <c r="HI33" s="27"/>
      <c r="HJ33" s="27"/>
      <c r="HK33" s="27"/>
      <c r="HL33" s="27"/>
      <c r="HM33" s="27"/>
      <c r="HN33" s="27"/>
      <c r="HO33" s="27"/>
      <c r="HP33" s="27"/>
      <c r="HQ33" s="27"/>
      <c r="HR33" s="27"/>
      <c r="HS33" s="27"/>
      <c r="HT33" s="27"/>
      <c r="HU33" s="27"/>
      <c r="HV33" s="27"/>
      <c r="HW33" s="27"/>
      <c r="HX33" s="27"/>
      <c r="HY33" s="27"/>
      <c r="HZ33" s="27"/>
      <c r="IA33" s="27"/>
      <c r="IB33" s="27"/>
      <c r="IC33" s="27"/>
      <c r="ID33" s="27"/>
      <c r="IE33" s="27"/>
      <c r="IF33" s="27"/>
      <c r="IG33" s="27"/>
      <c r="IH33" s="27"/>
      <c r="II33" s="27"/>
      <c r="IJ33" s="27"/>
      <c r="IK33" s="27"/>
      <c r="IL33" s="27"/>
      <c r="IM33" s="27"/>
      <c r="IN33" s="27"/>
      <c r="IO33" s="27"/>
    </row>
    <row r="34" spans="1:258" x14ac:dyDescent="0.25">
      <c r="A34" s="567"/>
      <c r="C34" s="11" t="s">
        <v>41</v>
      </c>
      <c r="D34" s="198">
        <f t="shared" si="1"/>
        <v>4</v>
      </c>
      <c r="E34" s="198">
        <f t="shared" ref="E34:AJ34" si="10">D34+E14</f>
        <v>4</v>
      </c>
      <c r="F34" s="198">
        <f t="shared" si="10"/>
        <v>4</v>
      </c>
      <c r="G34" s="198">
        <f t="shared" si="10"/>
        <v>5</v>
      </c>
      <c r="H34" s="198">
        <f t="shared" si="10"/>
        <v>5</v>
      </c>
      <c r="I34" s="198">
        <f t="shared" si="10"/>
        <v>5</v>
      </c>
      <c r="J34" s="198">
        <f t="shared" si="10"/>
        <v>7</v>
      </c>
      <c r="K34" s="198">
        <f t="shared" si="10"/>
        <v>10</v>
      </c>
      <c r="L34" s="198">
        <f t="shared" si="10"/>
        <v>12</v>
      </c>
      <c r="M34" s="198">
        <f t="shared" si="10"/>
        <v>13</v>
      </c>
      <c r="N34" s="198">
        <f t="shared" si="10"/>
        <v>16</v>
      </c>
      <c r="O34" s="198">
        <f t="shared" si="10"/>
        <v>19</v>
      </c>
      <c r="P34" s="198">
        <f t="shared" si="10"/>
        <v>21</v>
      </c>
      <c r="Q34" s="198">
        <f t="shared" si="10"/>
        <v>23</v>
      </c>
      <c r="R34" s="198">
        <f t="shared" si="10"/>
        <v>27</v>
      </c>
      <c r="S34" s="198">
        <f t="shared" si="10"/>
        <v>32</v>
      </c>
      <c r="T34" s="198">
        <f t="shared" si="10"/>
        <v>36</v>
      </c>
      <c r="U34" s="198">
        <f t="shared" si="10"/>
        <v>43</v>
      </c>
      <c r="V34" s="198">
        <f t="shared" si="10"/>
        <v>46</v>
      </c>
      <c r="W34" s="198">
        <f t="shared" si="10"/>
        <v>48</v>
      </c>
      <c r="X34" s="198">
        <f t="shared" si="10"/>
        <v>51</v>
      </c>
      <c r="Y34" s="198">
        <f t="shared" si="10"/>
        <v>58</v>
      </c>
      <c r="Z34" s="198">
        <f t="shared" si="10"/>
        <v>62</v>
      </c>
      <c r="AA34" s="198">
        <f t="shared" si="10"/>
        <v>69</v>
      </c>
      <c r="AB34" s="198">
        <f t="shared" si="10"/>
        <v>78</v>
      </c>
      <c r="AC34" s="198">
        <f t="shared" si="10"/>
        <v>99</v>
      </c>
      <c r="AD34" s="198">
        <f t="shared" si="10"/>
        <v>113</v>
      </c>
      <c r="AE34" s="198">
        <f t="shared" si="10"/>
        <v>116</v>
      </c>
      <c r="AF34" s="198">
        <f t="shared" si="10"/>
        <v>122</v>
      </c>
      <c r="AG34" s="198">
        <f t="shared" si="10"/>
        <v>124</v>
      </c>
      <c r="AH34" s="198">
        <f t="shared" si="10"/>
        <v>125</v>
      </c>
      <c r="AI34" s="198">
        <f t="shared" si="10"/>
        <v>125</v>
      </c>
      <c r="AJ34" s="198">
        <f t="shared" si="10"/>
        <v>129</v>
      </c>
      <c r="AK34" s="198">
        <f t="shared" ref="AK34:BP34" si="11">AJ34+AK14</f>
        <v>140</v>
      </c>
      <c r="AL34" s="198">
        <f t="shared" si="11"/>
        <v>146</v>
      </c>
      <c r="AM34" s="198">
        <f t="shared" si="11"/>
        <v>170</v>
      </c>
      <c r="AN34" s="198">
        <f t="shared" si="11"/>
        <v>195</v>
      </c>
      <c r="AO34" s="198">
        <f t="shared" si="11"/>
        <v>221</v>
      </c>
      <c r="AP34" s="198">
        <f t="shared" si="11"/>
        <v>245</v>
      </c>
      <c r="AQ34" s="198">
        <f t="shared" si="11"/>
        <v>274</v>
      </c>
      <c r="AR34" s="198">
        <f t="shared" si="11"/>
        <v>298</v>
      </c>
      <c r="AS34" s="198">
        <f t="shared" si="11"/>
        <v>350</v>
      </c>
      <c r="AT34" s="198">
        <f t="shared" si="11"/>
        <v>381</v>
      </c>
      <c r="AU34" s="198">
        <f t="shared" si="11"/>
        <v>399</v>
      </c>
      <c r="AV34" s="198">
        <f t="shared" si="11"/>
        <v>413</v>
      </c>
      <c r="AW34" s="198">
        <f t="shared" si="11"/>
        <v>430</v>
      </c>
      <c r="AX34" s="198">
        <f t="shared" si="11"/>
        <v>459</v>
      </c>
      <c r="AY34" s="198">
        <f t="shared" si="11"/>
        <v>496</v>
      </c>
      <c r="AZ34" s="198">
        <f t="shared" si="11"/>
        <v>531</v>
      </c>
      <c r="BA34" s="198">
        <f t="shared" si="11"/>
        <v>558</v>
      </c>
      <c r="BB34" s="198">
        <f t="shared" si="11"/>
        <v>619</v>
      </c>
      <c r="BC34" s="198">
        <f t="shared" si="11"/>
        <v>673</v>
      </c>
      <c r="BD34" s="198">
        <f t="shared" si="11"/>
        <v>712</v>
      </c>
      <c r="BE34" s="198">
        <f t="shared" si="11"/>
        <v>743</v>
      </c>
      <c r="BF34" s="198">
        <f t="shared" si="11"/>
        <v>790</v>
      </c>
      <c r="BG34" s="198">
        <f t="shared" si="11"/>
        <v>833</v>
      </c>
      <c r="BH34" s="198">
        <f t="shared" si="11"/>
        <v>869</v>
      </c>
      <c r="BI34" s="198">
        <f t="shared" si="11"/>
        <v>945</v>
      </c>
      <c r="BJ34" s="198">
        <f t="shared" si="11"/>
        <v>993</v>
      </c>
      <c r="BK34" s="198">
        <f t="shared" si="11"/>
        <v>1038</v>
      </c>
      <c r="BL34" s="198">
        <f t="shared" si="11"/>
        <v>1080</v>
      </c>
      <c r="BM34" s="198">
        <f t="shared" si="11"/>
        <v>1125</v>
      </c>
      <c r="BN34" s="198">
        <f t="shared" si="11"/>
        <v>1165</v>
      </c>
      <c r="BO34" s="198">
        <f t="shared" si="11"/>
        <v>1208</v>
      </c>
      <c r="BP34" s="198">
        <f t="shared" si="11"/>
        <v>1243</v>
      </c>
      <c r="BQ34" s="198">
        <f t="shared" ref="BQ34:CV34" si="12">BP34+BQ14</f>
        <v>1270</v>
      </c>
      <c r="BR34" s="198">
        <f t="shared" si="12"/>
        <v>1316</v>
      </c>
      <c r="BS34" s="198">
        <f t="shared" si="12"/>
        <v>1350</v>
      </c>
      <c r="BT34" s="198">
        <f t="shared" si="12"/>
        <v>1384</v>
      </c>
      <c r="BU34" s="198">
        <f t="shared" si="12"/>
        <v>1444</v>
      </c>
      <c r="BV34" s="198">
        <f t="shared" si="12"/>
        <v>1515</v>
      </c>
      <c r="BW34" s="198">
        <f t="shared" si="12"/>
        <v>1549</v>
      </c>
      <c r="BX34" s="198">
        <f t="shared" si="12"/>
        <v>1584</v>
      </c>
      <c r="BY34" s="198">
        <f t="shared" si="12"/>
        <v>1647</v>
      </c>
      <c r="BZ34" s="198">
        <f t="shared" si="12"/>
        <v>1708</v>
      </c>
      <c r="CA34" s="198">
        <f t="shared" si="12"/>
        <v>1767</v>
      </c>
      <c r="CB34" s="198">
        <f t="shared" si="12"/>
        <v>1807</v>
      </c>
      <c r="CC34" s="198">
        <f t="shared" si="12"/>
        <v>1856</v>
      </c>
      <c r="CD34" s="198">
        <f t="shared" si="12"/>
        <v>1902</v>
      </c>
      <c r="CE34" s="198">
        <f t="shared" si="12"/>
        <v>1937</v>
      </c>
      <c r="CF34" s="198">
        <f t="shared" si="12"/>
        <v>1955</v>
      </c>
      <c r="CG34" s="198">
        <f t="shared" si="12"/>
        <v>1955</v>
      </c>
      <c r="CH34" s="198">
        <f t="shared" si="12"/>
        <v>1955</v>
      </c>
      <c r="CI34" s="198">
        <f t="shared" si="12"/>
        <v>1955</v>
      </c>
      <c r="CJ34" s="198">
        <f t="shared" si="12"/>
        <v>1955</v>
      </c>
      <c r="CK34" s="198">
        <f t="shared" si="12"/>
        <v>1955</v>
      </c>
      <c r="CL34" s="198">
        <f t="shared" si="12"/>
        <v>1955</v>
      </c>
      <c r="CM34" s="198">
        <f t="shared" si="12"/>
        <v>1955</v>
      </c>
      <c r="CN34" s="198">
        <f t="shared" si="12"/>
        <v>1955</v>
      </c>
      <c r="CO34" s="198">
        <f t="shared" si="12"/>
        <v>1955</v>
      </c>
      <c r="CP34" s="198">
        <f t="shared" si="12"/>
        <v>1955</v>
      </c>
      <c r="CQ34" s="198">
        <f t="shared" si="12"/>
        <v>1955</v>
      </c>
      <c r="CR34" s="198">
        <f t="shared" si="12"/>
        <v>1955</v>
      </c>
      <c r="CS34" s="198">
        <f t="shared" si="12"/>
        <v>1955</v>
      </c>
      <c r="CT34" s="198">
        <f t="shared" si="12"/>
        <v>1955</v>
      </c>
      <c r="CU34" s="198">
        <f t="shared" si="12"/>
        <v>1955</v>
      </c>
      <c r="CV34" s="198">
        <f t="shared" si="12"/>
        <v>1955</v>
      </c>
      <c r="CW34" s="198">
        <f t="shared" ref="CW34:DD34" si="13">CV34+CW14</f>
        <v>1955</v>
      </c>
      <c r="CX34" s="198">
        <f t="shared" si="13"/>
        <v>1955</v>
      </c>
      <c r="CY34" s="198">
        <f t="shared" si="13"/>
        <v>1955</v>
      </c>
      <c r="CZ34" s="198">
        <f t="shared" si="13"/>
        <v>1955</v>
      </c>
      <c r="DA34" s="198">
        <f t="shared" si="13"/>
        <v>1955</v>
      </c>
      <c r="DB34" s="198">
        <f t="shared" si="13"/>
        <v>1955</v>
      </c>
      <c r="DC34" s="198">
        <f t="shared" si="13"/>
        <v>1955</v>
      </c>
      <c r="DD34" s="198">
        <f t="shared" si="13"/>
        <v>1955</v>
      </c>
      <c r="DE34" s="16">
        <f t="shared" ref="DE34:EJ34" si="14">DD34+DE14</f>
        <v>1955</v>
      </c>
      <c r="DF34" s="16">
        <f t="shared" si="14"/>
        <v>1955</v>
      </c>
      <c r="DG34" s="16">
        <f t="shared" si="14"/>
        <v>1955</v>
      </c>
      <c r="DH34" s="16">
        <f t="shared" si="14"/>
        <v>1955</v>
      </c>
      <c r="DI34" s="16">
        <f t="shared" si="14"/>
        <v>1955</v>
      </c>
      <c r="DJ34" s="16">
        <f t="shared" si="14"/>
        <v>1955</v>
      </c>
      <c r="DK34" s="16">
        <f t="shared" si="14"/>
        <v>1955</v>
      </c>
      <c r="DL34" s="16">
        <f t="shared" si="14"/>
        <v>1955</v>
      </c>
      <c r="DM34" s="16">
        <f t="shared" si="14"/>
        <v>1955</v>
      </c>
      <c r="DN34" s="16">
        <f t="shared" si="14"/>
        <v>1955</v>
      </c>
      <c r="DO34" s="16">
        <f t="shared" si="14"/>
        <v>1955</v>
      </c>
      <c r="DP34" s="16">
        <f t="shared" si="14"/>
        <v>1955</v>
      </c>
      <c r="DQ34" s="16">
        <f t="shared" si="14"/>
        <v>1955</v>
      </c>
      <c r="DR34" s="16">
        <f t="shared" si="14"/>
        <v>1955</v>
      </c>
      <c r="DS34" s="16">
        <f t="shared" si="14"/>
        <v>1955</v>
      </c>
      <c r="DT34" s="16">
        <f t="shared" si="14"/>
        <v>1955</v>
      </c>
      <c r="DU34" s="16">
        <f t="shared" si="14"/>
        <v>1955</v>
      </c>
      <c r="DV34" s="16">
        <f t="shared" si="14"/>
        <v>1955</v>
      </c>
      <c r="DW34" s="16">
        <f t="shared" si="14"/>
        <v>1955</v>
      </c>
      <c r="DX34" s="16">
        <f t="shared" si="14"/>
        <v>1955</v>
      </c>
      <c r="DY34" s="16">
        <f t="shared" si="14"/>
        <v>1955</v>
      </c>
      <c r="DZ34" s="16">
        <f t="shared" si="14"/>
        <v>1955</v>
      </c>
      <c r="EA34" s="16">
        <f t="shared" si="14"/>
        <v>1955</v>
      </c>
      <c r="EB34" s="16">
        <f t="shared" si="14"/>
        <v>1955</v>
      </c>
      <c r="EC34" s="16">
        <f t="shared" si="14"/>
        <v>1955</v>
      </c>
      <c r="ED34" s="16">
        <f t="shared" si="14"/>
        <v>1955</v>
      </c>
      <c r="EE34" s="16">
        <f t="shared" si="14"/>
        <v>1955</v>
      </c>
      <c r="EF34" s="16">
        <f t="shared" si="14"/>
        <v>1955</v>
      </c>
      <c r="EG34" s="16">
        <f t="shared" si="14"/>
        <v>1955</v>
      </c>
      <c r="EH34" s="16">
        <f t="shared" si="14"/>
        <v>1955</v>
      </c>
      <c r="EI34" s="16">
        <f t="shared" si="14"/>
        <v>1955</v>
      </c>
      <c r="EJ34" s="16">
        <f t="shared" si="14"/>
        <v>1955</v>
      </c>
      <c r="EK34" s="16">
        <f t="shared" ref="EK34:FP34" si="15">EJ34+EK14</f>
        <v>1955</v>
      </c>
      <c r="EL34" s="16">
        <f t="shared" si="15"/>
        <v>1955</v>
      </c>
      <c r="EM34" s="16">
        <f t="shared" si="15"/>
        <v>1955</v>
      </c>
      <c r="EN34" s="16">
        <f t="shared" si="15"/>
        <v>1955</v>
      </c>
      <c r="EO34" s="16">
        <f t="shared" si="15"/>
        <v>1955</v>
      </c>
      <c r="EP34" s="16">
        <f t="shared" si="15"/>
        <v>1955</v>
      </c>
      <c r="EQ34" s="16">
        <f t="shared" si="15"/>
        <v>1955</v>
      </c>
      <c r="ER34" s="16">
        <f t="shared" si="15"/>
        <v>1955</v>
      </c>
      <c r="ES34" s="16">
        <f t="shared" si="15"/>
        <v>1955</v>
      </c>
      <c r="ET34" s="16">
        <f t="shared" si="15"/>
        <v>1955</v>
      </c>
      <c r="EU34" s="16">
        <f t="shared" si="15"/>
        <v>1955</v>
      </c>
      <c r="EV34" s="16">
        <f t="shared" si="15"/>
        <v>1955</v>
      </c>
      <c r="EW34" s="16">
        <f t="shared" si="15"/>
        <v>1955</v>
      </c>
      <c r="EX34" s="16">
        <f t="shared" si="15"/>
        <v>1955</v>
      </c>
      <c r="EY34" s="16">
        <f t="shared" si="15"/>
        <v>1955</v>
      </c>
      <c r="EZ34" s="16">
        <f t="shared" si="15"/>
        <v>1955</v>
      </c>
      <c r="FA34" s="16">
        <f t="shared" si="15"/>
        <v>1955</v>
      </c>
      <c r="FB34" s="16">
        <f t="shared" si="15"/>
        <v>1955</v>
      </c>
      <c r="FC34" s="16">
        <f t="shared" si="15"/>
        <v>1955</v>
      </c>
      <c r="FD34" s="16">
        <f t="shared" si="15"/>
        <v>1955</v>
      </c>
      <c r="FE34" s="16">
        <f t="shared" si="15"/>
        <v>1955</v>
      </c>
      <c r="FF34" s="16">
        <f t="shared" si="15"/>
        <v>1955</v>
      </c>
      <c r="FG34" s="16">
        <f t="shared" si="15"/>
        <v>1955</v>
      </c>
      <c r="FH34" s="16">
        <f t="shared" si="15"/>
        <v>1955</v>
      </c>
      <c r="FI34" s="16">
        <f t="shared" si="15"/>
        <v>1955</v>
      </c>
      <c r="FJ34" s="16">
        <f t="shared" si="15"/>
        <v>1955</v>
      </c>
      <c r="FK34" s="16">
        <f t="shared" si="15"/>
        <v>1955</v>
      </c>
      <c r="FL34" s="16">
        <f t="shared" si="15"/>
        <v>1955</v>
      </c>
      <c r="FM34" s="16">
        <f t="shared" si="15"/>
        <v>1955</v>
      </c>
      <c r="FN34" s="16">
        <f t="shared" si="15"/>
        <v>1955</v>
      </c>
      <c r="FO34" s="16">
        <f t="shared" si="15"/>
        <v>1955</v>
      </c>
      <c r="FP34" s="16">
        <f t="shared" si="15"/>
        <v>1955</v>
      </c>
      <c r="FQ34" s="16">
        <f t="shared" ref="FQ34:GV34" si="16">FP34+FQ14</f>
        <v>1955</v>
      </c>
      <c r="FR34" s="16">
        <f t="shared" si="16"/>
        <v>1955</v>
      </c>
      <c r="FS34" s="16">
        <f t="shared" si="16"/>
        <v>1955</v>
      </c>
      <c r="FT34" s="16">
        <f t="shared" si="16"/>
        <v>1955</v>
      </c>
      <c r="FU34" s="16">
        <f t="shared" si="16"/>
        <v>1955</v>
      </c>
      <c r="FV34" s="16">
        <f t="shared" si="16"/>
        <v>1955</v>
      </c>
      <c r="FW34" s="16">
        <f t="shared" si="16"/>
        <v>1955</v>
      </c>
      <c r="FX34" s="16">
        <f t="shared" si="16"/>
        <v>1955</v>
      </c>
      <c r="FY34" s="16">
        <f t="shared" si="16"/>
        <v>1955</v>
      </c>
      <c r="FZ34" s="16">
        <f t="shared" si="16"/>
        <v>1955</v>
      </c>
      <c r="GA34" s="16">
        <f t="shared" si="16"/>
        <v>1955</v>
      </c>
      <c r="GB34" s="16">
        <f t="shared" si="16"/>
        <v>1955</v>
      </c>
      <c r="GC34" s="16">
        <f t="shared" si="16"/>
        <v>1955</v>
      </c>
      <c r="GD34" s="16">
        <f t="shared" si="16"/>
        <v>1955</v>
      </c>
      <c r="GE34" s="16">
        <f t="shared" si="16"/>
        <v>1955</v>
      </c>
      <c r="GF34" s="16">
        <f t="shared" si="16"/>
        <v>1955</v>
      </c>
      <c r="GG34" s="16">
        <f t="shared" si="16"/>
        <v>1955</v>
      </c>
      <c r="GH34" s="16">
        <f t="shared" si="16"/>
        <v>1955</v>
      </c>
      <c r="GI34" s="16">
        <f t="shared" si="16"/>
        <v>1955</v>
      </c>
      <c r="GJ34" s="16">
        <f t="shared" si="16"/>
        <v>1955</v>
      </c>
      <c r="GK34" s="16">
        <f t="shared" si="16"/>
        <v>1955</v>
      </c>
      <c r="GL34" s="16">
        <f t="shared" si="16"/>
        <v>1955</v>
      </c>
      <c r="GM34" s="16">
        <f t="shared" si="16"/>
        <v>1955</v>
      </c>
      <c r="GN34" s="16">
        <f t="shared" si="16"/>
        <v>1955</v>
      </c>
      <c r="GO34" s="16">
        <f t="shared" si="16"/>
        <v>1955</v>
      </c>
      <c r="GP34" s="16">
        <f t="shared" si="16"/>
        <v>1955</v>
      </c>
      <c r="GQ34" s="16">
        <f t="shared" si="16"/>
        <v>1955</v>
      </c>
      <c r="GR34" s="16">
        <f t="shared" si="16"/>
        <v>1955</v>
      </c>
      <c r="GS34" s="16">
        <f t="shared" si="16"/>
        <v>1955</v>
      </c>
      <c r="GT34" s="16">
        <f t="shared" si="16"/>
        <v>1955</v>
      </c>
      <c r="GU34" s="16">
        <f t="shared" si="16"/>
        <v>1955</v>
      </c>
      <c r="GV34" s="16">
        <f t="shared" si="16"/>
        <v>1955</v>
      </c>
      <c r="GW34" s="16">
        <f t="shared" ref="GW34:IB34" si="17">GV34+GW14</f>
        <v>1955</v>
      </c>
      <c r="GX34" s="16">
        <f t="shared" si="17"/>
        <v>1955</v>
      </c>
      <c r="GY34" s="16">
        <f t="shared" si="17"/>
        <v>1955</v>
      </c>
      <c r="GZ34" s="16">
        <f t="shared" si="17"/>
        <v>1955</v>
      </c>
      <c r="HA34" s="16">
        <f t="shared" si="17"/>
        <v>1955</v>
      </c>
      <c r="HB34" s="16">
        <f t="shared" si="17"/>
        <v>1955</v>
      </c>
      <c r="HC34" s="16">
        <f t="shared" si="17"/>
        <v>1955</v>
      </c>
      <c r="HD34" s="16">
        <f t="shared" si="17"/>
        <v>1955</v>
      </c>
      <c r="HE34" s="16">
        <f t="shared" si="17"/>
        <v>1955</v>
      </c>
      <c r="HF34" s="16">
        <f t="shared" si="17"/>
        <v>1955</v>
      </c>
      <c r="HG34" s="16">
        <f t="shared" si="17"/>
        <v>1955</v>
      </c>
      <c r="HH34" s="16">
        <f t="shared" si="17"/>
        <v>1955</v>
      </c>
      <c r="HI34" s="16">
        <f t="shared" si="17"/>
        <v>1955</v>
      </c>
      <c r="HJ34" s="16">
        <f t="shared" si="17"/>
        <v>1955</v>
      </c>
      <c r="HK34" s="16">
        <f t="shared" si="17"/>
        <v>1955</v>
      </c>
      <c r="HL34" s="16">
        <f t="shared" si="17"/>
        <v>1955</v>
      </c>
      <c r="HM34" s="16">
        <f t="shared" si="17"/>
        <v>1955</v>
      </c>
      <c r="HN34" s="16">
        <f t="shared" si="17"/>
        <v>1955</v>
      </c>
      <c r="HO34" s="16">
        <f t="shared" si="17"/>
        <v>1955</v>
      </c>
      <c r="HP34" s="16">
        <f t="shared" si="17"/>
        <v>1955</v>
      </c>
      <c r="HQ34" s="16">
        <f t="shared" si="17"/>
        <v>1955</v>
      </c>
      <c r="HR34" s="16">
        <f t="shared" si="17"/>
        <v>1955</v>
      </c>
      <c r="HS34" s="16">
        <f t="shared" si="17"/>
        <v>1955</v>
      </c>
      <c r="HT34" s="16">
        <f t="shared" si="17"/>
        <v>1955</v>
      </c>
      <c r="HU34" s="16">
        <f t="shared" si="17"/>
        <v>1955</v>
      </c>
      <c r="HV34" s="16">
        <f t="shared" si="17"/>
        <v>1955</v>
      </c>
      <c r="HW34" s="16">
        <f t="shared" si="17"/>
        <v>1955</v>
      </c>
      <c r="HX34" s="16">
        <f t="shared" si="17"/>
        <v>1955</v>
      </c>
      <c r="HY34" s="16">
        <f t="shared" si="17"/>
        <v>1955</v>
      </c>
      <c r="HZ34" s="16">
        <f t="shared" si="17"/>
        <v>1955</v>
      </c>
      <c r="IA34" s="16">
        <f t="shared" si="17"/>
        <v>1955</v>
      </c>
      <c r="IB34" s="16">
        <f t="shared" si="17"/>
        <v>1955</v>
      </c>
      <c r="IC34" s="16">
        <f t="shared" ref="IC34:IX34" si="18">IB34+IC14</f>
        <v>1955</v>
      </c>
      <c r="ID34" s="16">
        <f t="shared" si="18"/>
        <v>1955</v>
      </c>
      <c r="IE34" s="16">
        <f t="shared" si="18"/>
        <v>1955</v>
      </c>
      <c r="IF34" s="16">
        <f t="shared" si="18"/>
        <v>1955</v>
      </c>
      <c r="IG34" s="16">
        <f t="shared" si="18"/>
        <v>1955</v>
      </c>
      <c r="IH34" s="16">
        <f t="shared" si="18"/>
        <v>1955</v>
      </c>
      <c r="II34" s="16">
        <f t="shared" si="18"/>
        <v>1955</v>
      </c>
      <c r="IJ34" s="16">
        <f t="shared" si="18"/>
        <v>1955</v>
      </c>
      <c r="IK34" s="16">
        <f t="shared" si="18"/>
        <v>1955</v>
      </c>
      <c r="IL34" s="16">
        <f t="shared" si="18"/>
        <v>1955</v>
      </c>
      <c r="IM34" s="16">
        <f t="shared" si="18"/>
        <v>1955</v>
      </c>
      <c r="IN34" s="16">
        <f t="shared" si="18"/>
        <v>1955</v>
      </c>
      <c r="IO34" s="16">
        <f t="shared" si="18"/>
        <v>1955</v>
      </c>
      <c r="IP34" s="16">
        <f t="shared" si="18"/>
        <v>1955</v>
      </c>
      <c r="IQ34" s="16">
        <f t="shared" si="18"/>
        <v>1955</v>
      </c>
      <c r="IR34" s="16">
        <f t="shared" si="18"/>
        <v>1955</v>
      </c>
      <c r="IS34" s="16">
        <f t="shared" si="18"/>
        <v>1955</v>
      </c>
      <c r="IT34" s="16">
        <f t="shared" si="18"/>
        <v>1955</v>
      </c>
      <c r="IU34" s="16">
        <f t="shared" si="18"/>
        <v>1955</v>
      </c>
      <c r="IV34" s="16">
        <f t="shared" si="18"/>
        <v>1955</v>
      </c>
      <c r="IW34" s="16">
        <f t="shared" si="18"/>
        <v>1955</v>
      </c>
      <c r="IX34" s="16">
        <f t="shared" si="18"/>
        <v>1955</v>
      </c>
    </row>
    <row r="35" spans="1:258" x14ac:dyDescent="0.25">
      <c r="A35" s="567"/>
      <c r="C35" s="11" t="s">
        <v>42</v>
      </c>
      <c r="D35" s="27">
        <f t="shared" si="1"/>
        <v>1</v>
      </c>
      <c r="E35" s="27">
        <f t="shared" ref="E35:AJ35" si="19">D35+E15</f>
        <v>1</v>
      </c>
      <c r="F35" s="27">
        <f t="shared" si="19"/>
        <v>1</v>
      </c>
      <c r="G35" s="27">
        <f t="shared" si="19"/>
        <v>1</v>
      </c>
      <c r="H35" s="27">
        <f t="shared" si="19"/>
        <v>1</v>
      </c>
      <c r="I35" s="27">
        <f t="shared" si="19"/>
        <v>1</v>
      </c>
      <c r="J35" s="27">
        <f t="shared" si="19"/>
        <v>3</v>
      </c>
      <c r="K35" s="27">
        <f t="shared" si="19"/>
        <v>6</v>
      </c>
      <c r="L35" s="27">
        <f t="shared" si="19"/>
        <v>9</v>
      </c>
      <c r="M35" s="27">
        <f t="shared" si="19"/>
        <v>10</v>
      </c>
      <c r="N35" s="27">
        <f t="shared" si="19"/>
        <v>13</v>
      </c>
      <c r="O35" s="27">
        <f t="shared" si="19"/>
        <v>14</v>
      </c>
      <c r="P35" s="27">
        <f t="shared" si="19"/>
        <v>16</v>
      </c>
      <c r="Q35" s="27">
        <f t="shared" si="19"/>
        <v>19</v>
      </c>
      <c r="R35" s="27">
        <f t="shared" si="19"/>
        <v>22</v>
      </c>
      <c r="S35" s="27">
        <f t="shared" si="19"/>
        <v>32</v>
      </c>
      <c r="T35" s="27">
        <f t="shared" si="19"/>
        <v>37</v>
      </c>
      <c r="U35" s="27">
        <f t="shared" si="19"/>
        <v>38</v>
      </c>
      <c r="V35" s="27">
        <f t="shared" si="19"/>
        <v>41</v>
      </c>
      <c r="W35" s="27">
        <f t="shared" si="19"/>
        <v>42</v>
      </c>
      <c r="X35" s="27">
        <f t="shared" si="19"/>
        <v>45</v>
      </c>
      <c r="Y35" s="27">
        <f t="shared" si="19"/>
        <v>53</v>
      </c>
      <c r="Z35" s="27">
        <f t="shared" si="19"/>
        <v>61</v>
      </c>
      <c r="AA35" s="27">
        <f t="shared" si="19"/>
        <v>69</v>
      </c>
      <c r="AB35" s="27">
        <f t="shared" si="19"/>
        <v>77</v>
      </c>
      <c r="AC35" s="27">
        <f t="shared" si="19"/>
        <v>91</v>
      </c>
      <c r="AD35" s="27">
        <f t="shared" si="19"/>
        <v>102</v>
      </c>
      <c r="AE35" s="27">
        <f t="shared" si="19"/>
        <v>107</v>
      </c>
      <c r="AF35" s="27">
        <f t="shared" si="19"/>
        <v>120</v>
      </c>
      <c r="AG35" s="27">
        <f t="shared" si="19"/>
        <v>125</v>
      </c>
      <c r="AH35" s="27">
        <f t="shared" si="19"/>
        <v>125</v>
      </c>
      <c r="AI35" s="27">
        <f t="shared" si="19"/>
        <v>127</v>
      </c>
      <c r="AJ35" s="27">
        <f t="shared" si="19"/>
        <v>130</v>
      </c>
      <c r="AK35" s="27">
        <f t="shared" ref="AK35:BP35" si="20">AJ35+AK15</f>
        <v>138</v>
      </c>
      <c r="AL35" s="27">
        <f t="shared" si="20"/>
        <v>143</v>
      </c>
      <c r="AM35" s="27">
        <f t="shared" si="20"/>
        <v>155</v>
      </c>
      <c r="AN35" s="27">
        <f t="shared" si="20"/>
        <v>180</v>
      </c>
      <c r="AO35" s="27">
        <f t="shared" si="20"/>
        <v>209</v>
      </c>
      <c r="AP35" s="27">
        <f t="shared" si="20"/>
        <v>235</v>
      </c>
      <c r="AQ35" s="27">
        <f t="shared" si="20"/>
        <v>255</v>
      </c>
      <c r="AR35" s="27">
        <f t="shared" si="20"/>
        <v>266</v>
      </c>
      <c r="AS35" s="27">
        <f t="shared" si="20"/>
        <v>296</v>
      </c>
      <c r="AT35" s="27">
        <f t="shared" si="20"/>
        <v>309</v>
      </c>
      <c r="AU35" s="27">
        <f t="shared" si="20"/>
        <v>329</v>
      </c>
      <c r="AV35" s="27">
        <f t="shared" si="20"/>
        <v>369</v>
      </c>
      <c r="AW35" s="27">
        <f t="shared" si="20"/>
        <v>405</v>
      </c>
      <c r="AX35" s="27">
        <f t="shared" si="20"/>
        <v>443</v>
      </c>
      <c r="AY35" s="27">
        <f t="shared" si="20"/>
        <v>501</v>
      </c>
      <c r="AZ35" s="27">
        <f t="shared" si="20"/>
        <v>537</v>
      </c>
      <c r="BA35" s="27">
        <f t="shared" si="20"/>
        <v>575</v>
      </c>
      <c r="BB35" s="27">
        <f t="shared" si="20"/>
        <v>636</v>
      </c>
      <c r="BC35" s="27">
        <f t="shared" si="20"/>
        <v>698</v>
      </c>
      <c r="BD35" s="27">
        <f t="shared" si="20"/>
        <v>758</v>
      </c>
      <c r="BE35" s="27">
        <f t="shared" si="20"/>
        <v>814</v>
      </c>
      <c r="BF35" s="27">
        <f t="shared" si="20"/>
        <v>866</v>
      </c>
      <c r="BG35" s="27">
        <f t="shared" si="20"/>
        <v>928</v>
      </c>
      <c r="BH35" s="27">
        <f t="shared" si="20"/>
        <v>992</v>
      </c>
      <c r="BI35" s="27">
        <f t="shared" si="20"/>
        <v>1052</v>
      </c>
      <c r="BJ35" s="27">
        <f t="shared" si="20"/>
        <v>1104</v>
      </c>
      <c r="BK35" s="27">
        <f t="shared" si="20"/>
        <v>1166</v>
      </c>
      <c r="BL35" s="27">
        <f t="shared" si="20"/>
        <v>1219</v>
      </c>
      <c r="BM35" s="27">
        <f t="shared" si="20"/>
        <v>1268</v>
      </c>
      <c r="BN35" s="27">
        <f t="shared" si="20"/>
        <v>1309</v>
      </c>
      <c r="BO35" s="27">
        <f t="shared" si="20"/>
        <v>1324</v>
      </c>
      <c r="BP35" s="27">
        <f t="shared" si="20"/>
        <v>1379</v>
      </c>
      <c r="BQ35" s="27">
        <f t="shared" ref="BQ35:CV35" si="21">BP35+BQ15</f>
        <v>1406</v>
      </c>
      <c r="BR35" s="27">
        <f t="shared" si="21"/>
        <v>1425</v>
      </c>
      <c r="BS35" s="27">
        <f t="shared" si="21"/>
        <v>1458</v>
      </c>
      <c r="BT35" s="27">
        <f t="shared" si="21"/>
        <v>1501</v>
      </c>
      <c r="BU35" s="27">
        <f t="shared" si="21"/>
        <v>1547</v>
      </c>
      <c r="BV35" s="27">
        <f t="shared" si="21"/>
        <v>1598</v>
      </c>
      <c r="BW35" s="27">
        <f t="shared" si="21"/>
        <v>1644</v>
      </c>
      <c r="BX35" s="27">
        <f t="shared" si="21"/>
        <v>1690</v>
      </c>
      <c r="BY35" s="27">
        <f t="shared" si="21"/>
        <v>1729</v>
      </c>
      <c r="BZ35" s="27">
        <f t="shared" si="21"/>
        <v>1793</v>
      </c>
      <c r="CA35" s="27">
        <f t="shared" si="21"/>
        <v>1842</v>
      </c>
      <c r="CB35" s="27">
        <f t="shared" si="21"/>
        <v>1898</v>
      </c>
      <c r="CC35" s="27">
        <f t="shared" si="21"/>
        <v>1978</v>
      </c>
      <c r="CD35" s="27">
        <f t="shared" si="21"/>
        <v>2057</v>
      </c>
      <c r="CE35" s="27">
        <f t="shared" si="21"/>
        <v>2164</v>
      </c>
      <c r="CF35" s="27">
        <f t="shared" si="21"/>
        <v>2224</v>
      </c>
      <c r="CG35" s="27">
        <f t="shared" si="21"/>
        <v>2316</v>
      </c>
      <c r="CH35" s="27">
        <f t="shared" si="21"/>
        <v>2362</v>
      </c>
      <c r="CI35" s="27">
        <f t="shared" si="21"/>
        <v>2411</v>
      </c>
      <c r="CJ35" s="27">
        <f t="shared" si="21"/>
        <v>2449</v>
      </c>
      <c r="CK35" s="27">
        <f t="shared" si="21"/>
        <v>2465</v>
      </c>
      <c r="CL35" s="27">
        <f t="shared" si="21"/>
        <v>2494</v>
      </c>
      <c r="CM35" s="27">
        <f t="shared" si="21"/>
        <v>2519</v>
      </c>
      <c r="CN35" s="27">
        <f t="shared" si="21"/>
        <v>2531</v>
      </c>
      <c r="CO35" s="27">
        <f t="shared" si="21"/>
        <v>2539</v>
      </c>
      <c r="CP35" s="27">
        <f t="shared" si="21"/>
        <v>2541</v>
      </c>
      <c r="CQ35" s="27">
        <f t="shared" si="21"/>
        <v>2542</v>
      </c>
      <c r="CR35" s="27">
        <f t="shared" si="21"/>
        <v>2544</v>
      </c>
      <c r="CS35" s="27">
        <f t="shared" si="21"/>
        <v>2546</v>
      </c>
      <c r="CT35" s="27">
        <f t="shared" si="21"/>
        <v>2548</v>
      </c>
      <c r="CU35" s="27">
        <f t="shared" si="21"/>
        <v>2553</v>
      </c>
      <c r="CV35" s="27">
        <f t="shared" si="21"/>
        <v>2556</v>
      </c>
      <c r="CW35" s="27">
        <f t="shared" ref="CW35:DD35" si="22">CV35+CW15</f>
        <v>2557</v>
      </c>
      <c r="CX35" s="27">
        <f t="shared" si="22"/>
        <v>2557</v>
      </c>
      <c r="CY35" s="27">
        <f t="shared" si="22"/>
        <v>2557</v>
      </c>
      <c r="CZ35" s="27">
        <f t="shared" si="22"/>
        <v>2557</v>
      </c>
      <c r="DA35" s="27">
        <f t="shared" si="22"/>
        <v>2557</v>
      </c>
      <c r="DB35" s="27">
        <f t="shared" si="22"/>
        <v>2557</v>
      </c>
      <c r="DC35" s="27">
        <f t="shared" si="22"/>
        <v>2557</v>
      </c>
      <c r="DD35" s="27">
        <f t="shared" si="22"/>
        <v>2557</v>
      </c>
      <c r="DE35" s="27">
        <f t="shared" ref="DE35:EJ35" si="23">DD35+DE15</f>
        <v>2557</v>
      </c>
      <c r="DF35" s="27">
        <f t="shared" si="23"/>
        <v>2557</v>
      </c>
      <c r="DG35" s="27">
        <f t="shared" si="23"/>
        <v>2557</v>
      </c>
      <c r="DH35" s="27">
        <f t="shared" si="23"/>
        <v>2557</v>
      </c>
      <c r="DI35" s="27">
        <f t="shared" si="23"/>
        <v>2557</v>
      </c>
      <c r="DJ35" s="27">
        <f t="shared" si="23"/>
        <v>2557</v>
      </c>
      <c r="DK35" s="27">
        <f t="shared" si="23"/>
        <v>2557</v>
      </c>
      <c r="DL35" s="27">
        <f t="shared" si="23"/>
        <v>2557</v>
      </c>
      <c r="DM35" s="27">
        <f t="shared" si="23"/>
        <v>2557</v>
      </c>
      <c r="DN35" s="27">
        <f t="shared" si="23"/>
        <v>2557</v>
      </c>
      <c r="DO35" s="27">
        <f t="shared" si="23"/>
        <v>2557</v>
      </c>
      <c r="DP35" s="27">
        <f t="shared" si="23"/>
        <v>2557</v>
      </c>
      <c r="DQ35" s="27">
        <f t="shared" si="23"/>
        <v>2557</v>
      </c>
      <c r="DR35" s="27">
        <f t="shared" si="23"/>
        <v>2557</v>
      </c>
      <c r="DS35" s="27">
        <f t="shared" si="23"/>
        <v>2557</v>
      </c>
      <c r="DT35" s="27">
        <f t="shared" si="23"/>
        <v>2557</v>
      </c>
      <c r="DU35" s="27">
        <f t="shared" si="23"/>
        <v>2557</v>
      </c>
      <c r="DV35" s="27">
        <f t="shared" si="23"/>
        <v>2557</v>
      </c>
      <c r="DW35" s="27">
        <f t="shared" si="23"/>
        <v>2557</v>
      </c>
      <c r="DX35" s="27">
        <f t="shared" si="23"/>
        <v>2557</v>
      </c>
      <c r="DY35" s="27">
        <f t="shared" si="23"/>
        <v>2557</v>
      </c>
      <c r="DZ35" s="27">
        <f t="shared" si="23"/>
        <v>2557</v>
      </c>
      <c r="EA35" s="27">
        <f t="shared" si="23"/>
        <v>2557</v>
      </c>
      <c r="EB35" s="27">
        <f t="shared" si="23"/>
        <v>2557</v>
      </c>
      <c r="EC35" s="27">
        <f t="shared" si="23"/>
        <v>2557</v>
      </c>
      <c r="ED35" s="27">
        <f t="shared" si="23"/>
        <v>2557</v>
      </c>
      <c r="EE35" s="27">
        <f t="shared" si="23"/>
        <v>2557</v>
      </c>
      <c r="EF35" s="27">
        <f t="shared" si="23"/>
        <v>2557</v>
      </c>
      <c r="EG35" s="27">
        <f t="shared" si="23"/>
        <v>2557</v>
      </c>
      <c r="EH35" s="27">
        <f t="shared" si="23"/>
        <v>2557</v>
      </c>
      <c r="EI35" s="27">
        <f t="shared" si="23"/>
        <v>2557</v>
      </c>
      <c r="EJ35" s="27">
        <f t="shared" si="23"/>
        <v>2557</v>
      </c>
      <c r="EK35" s="27">
        <f t="shared" ref="EK35:FP35" si="24">EJ35+EK15</f>
        <v>2557</v>
      </c>
      <c r="EL35" s="27">
        <f t="shared" si="24"/>
        <v>2557</v>
      </c>
      <c r="EM35" s="27">
        <f t="shared" si="24"/>
        <v>2557</v>
      </c>
      <c r="EN35" s="27">
        <f t="shared" si="24"/>
        <v>2557</v>
      </c>
      <c r="EO35" s="27">
        <f t="shared" si="24"/>
        <v>2557</v>
      </c>
      <c r="EP35" s="27">
        <f t="shared" si="24"/>
        <v>2557</v>
      </c>
      <c r="EQ35" s="27">
        <f t="shared" si="24"/>
        <v>2557</v>
      </c>
      <c r="ER35" s="27">
        <f t="shared" si="24"/>
        <v>2557</v>
      </c>
      <c r="ES35" s="27">
        <f t="shared" si="24"/>
        <v>2557</v>
      </c>
      <c r="ET35" s="27">
        <f t="shared" si="24"/>
        <v>2557</v>
      </c>
      <c r="EU35" s="27">
        <f t="shared" si="24"/>
        <v>2557</v>
      </c>
      <c r="EV35" s="27">
        <f t="shared" si="24"/>
        <v>2557</v>
      </c>
      <c r="EW35" s="27">
        <f t="shared" si="24"/>
        <v>2557</v>
      </c>
      <c r="EX35" s="27">
        <f t="shared" si="24"/>
        <v>2557</v>
      </c>
      <c r="EY35" s="27">
        <f t="shared" si="24"/>
        <v>2557</v>
      </c>
      <c r="EZ35" s="27">
        <f t="shared" si="24"/>
        <v>2557</v>
      </c>
      <c r="FA35" s="27">
        <f t="shared" si="24"/>
        <v>2557</v>
      </c>
      <c r="FB35" s="27">
        <f t="shared" si="24"/>
        <v>2557</v>
      </c>
      <c r="FC35" s="27">
        <f t="shared" si="24"/>
        <v>2557</v>
      </c>
      <c r="FD35" s="27">
        <f t="shared" si="24"/>
        <v>2557</v>
      </c>
      <c r="FE35" s="27">
        <f t="shared" si="24"/>
        <v>2557</v>
      </c>
      <c r="FF35" s="27">
        <f t="shared" si="24"/>
        <v>2557</v>
      </c>
      <c r="FG35" s="27">
        <f t="shared" si="24"/>
        <v>2557</v>
      </c>
      <c r="FH35" s="27">
        <f t="shared" si="24"/>
        <v>2557</v>
      </c>
      <c r="FI35" s="27">
        <f t="shared" si="24"/>
        <v>2557</v>
      </c>
      <c r="FJ35" s="27">
        <f t="shared" si="24"/>
        <v>2557</v>
      </c>
      <c r="FK35" s="27">
        <f t="shared" si="24"/>
        <v>2557</v>
      </c>
      <c r="FL35" s="27">
        <f t="shared" si="24"/>
        <v>2557</v>
      </c>
      <c r="FM35" s="27">
        <f t="shared" si="24"/>
        <v>2557</v>
      </c>
      <c r="FN35" s="27">
        <f t="shared" si="24"/>
        <v>2557</v>
      </c>
      <c r="FO35" s="27">
        <f t="shared" si="24"/>
        <v>2557</v>
      </c>
      <c r="FP35" s="27">
        <f t="shared" si="24"/>
        <v>2557</v>
      </c>
      <c r="FQ35" s="27">
        <f t="shared" ref="FQ35:GV35" si="25">FP35+FQ15</f>
        <v>2557</v>
      </c>
      <c r="FR35" s="27">
        <f t="shared" si="25"/>
        <v>2557</v>
      </c>
      <c r="FS35" s="27">
        <f t="shared" si="25"/>
        <v>2557</v>
      </c>
      <c r="FT35" s="27">
        <f t="shared" si="25"/>
        <v>2557</v>
      </c>
      <c r="FU35" s="27">
        <f t="shared" si="25"/>
        <v>2557</v>
      </c>
      <c r="FV35" s="27">
        <f t="shared" si="25"/>
        <v>2557</v>
      </c>
      <c r="FW35" s="27">
        <f t="shared" si="25"/>
        <v>2557</v>
      </c>
      <c r="FX35" s="27">
        <f t="shared" si="25"/>
        <v>2557</v>
      </c>
      <c r="FY35" s="27">
        <f t="shared" si="25"/>
        <v>2557</v>
      </c>
      <c r="FZ35" s="27">
        <f t="shared" si="25"/>
        <v>2557</v>
      </c>
      <c r="GA35" s="27">
        <f t="shared" si="25"/>
        <v>2557</v>
      </c>
      <c r="GB35" s="27">
        <f t="shared" si="25"/>
        <v>2557</v>
      </c>
      <c r="GC35" s="27">
        <f t="shared" si="25"/>
        <v>2557</v>
      </c>
      <c r="GD35" s="27">
        <f t="shared" si="25"/>
        <v>2557</v>
      </c>
      <c r="GE35" s="27">
        <f t="shared" si="25"/>
        <v>2557</v>
      </c>
      <c r="GF35" s="27">
        <f t="shared" si="25"/>
        <v>2557</v>
      </c>
      <c r="GG35" s="27">
        <f t="shared" si="25"/>
        <v>2557</v>
      </c>
      <c r="GH35" s="27">
        <f t="shared" si="25"/>
        <v>2557</v>
      </c>
      <c r="GI35" s="27">
        <f t="shared" si="25"/>
        <v>2557</v>
      </c>
      <c r="GJ35" s="27">
        <f t="shared" si="25"/>
        <v>2557</v>
      </c>
      <c r="GK35" s="27">
        <f t="shared" si="25"/>
        <v>2557</v>
      </c>
      <c r="GL35" s="27">
        <f t="shared" si="25"/>
        <v>2557</v>
      </c>
      <c r="GM35" s="27">
        <f t="shared" si="25"/>
        <v>2557</v>
      </c>
      <c r="GN35" s="27">
        <f t="shared" si="25"/>
        <v>2557</v>
      </c>
      <c r="GO35" s="27">
        <f t="shared" si="25"/>
        <v>2557</v>
      </c>
      <c r="GP35" s="27">
        <f t="shared" si="25"/>
        <v>2557</v>
      </c>
      <c r="GQ35" s="27">
        <f t="shared" si="25"/>
        <v>2557</v>
      </c>
      <c r="GR35" s="27">
        <f t="shared" si="25"/>
        <v>2557</v>
      </c>
      <c r="GS35" s="27">
        <f t="shared" si="25"/>
        <v>2557</v>
      </c>
      <c r="GT35" s="27">
        <f t="shared" si="25"/>
        <v>2557</v>
      </c>
      <c r="GU35" s="27">
        <f t="shared" si="25"/>
        <v>2557</v>
      </c>
      <c r="GV35" s="27">
        <f t="shared" si="25"/>
        <v>2557</v>
      </c>
      <c r="GW35" s="27">
        <f t="shared" ref="GW35:IB35" si="26">GV35+GW15</f>
        <v>2557</v>
      </c>
      <c r="GX35" s="27">
        <f t="shared" si="26"/>
        <v>2557</v>
      </c>
      <c r="GY35" s="27">
        <f t="shared" si="26"/>
        <v>2557</v>
      </c>
      <c r="GZ35" s="27">
        <f t="shared" si="26"/>
        <v>2557</v>
      </c>
      <c r="HA35" s="27">
        <f t="shared" si="26"/>
        <v>2557</v>
      </c>
      <c r="HB35" s="27">
        <f t="shared" si="26"/>
        <v>2557</v>
      </c>
      <c r="HC35" s="27">
        <f t="shared" si="26"/>
        <v>2557</v>
      </c>
      <c r="HD35" s="27">
        <f t="shared" si="26"/>
        <v>2557</v>
      </c>
      <c r="HE35" s="27">
        <f t="shared" si="26"/>
        <v>2557</v>
      </c>
      <c r="HF35" s="27">
        <f t="shared" si="26"/>
        <v>2557</v>
      </c>
      <c r="HG35" s="27">
        <f t="shared" si="26"/>
        <v>2557</v>
      </c>
      <c r="HH35" s="27">
        <f t="shared" si="26"/>
        <v>2557</v>
      </c>
      <c r="HI35" s="27">
        <f t="shared" si="26"/>
        <v>2557</v>
      </c>
      <c r="HJ35" s="27">
        <f t="shared" si="26"/>
        <v>2557</v>
      </c>
      <c r="HK35" s="27">
        <f t="shared" si="26"/>
        <v>2557</v>
      </c>
      <c r="HL35" s="27">
        <f t="shared" si="26"/>
        <v>2557</v>
      </c>
      <c r="HM35" s="27">
        <f t="shared" si="26"/>
        <v>2557</v>
      </c>
      <c r="HN35" s="27">
        <f t="shared" si="26"/>
        <v>2557</v>
      </c>
      <c r="HO35" s="27">
        <f t="shared" si="26"/>
        <v>2557</v>
      </c>
      <c r="HP35" s="27">
        <f t="shared" si="26"/>
        <v>2557</v>
      </c>
      <c r="HQ35" s="27">
        <f t="shared" si="26"/>
        <v>2557</v>
      </c>
      <c r="HR35" s="27">
        <f t="shared" si="26"/>
        <v>2557</v>
      </c>
      <c r="HS35" s="27">
        <f t="shared" si="26"/>
        <v>2557</v>
      </c>
      <c r="HT35" s="27">
        <f t="shared" si="26"/>
        <v>2557</v>
      </c>
      <c r="HU35" s="27">
        <f t="shared" si="26"/>
        <v>2557</v>
      </c>
      <c r="HV35" s="27">
        <f t="shared" si="26"/>
        <v>2557</v>
      </c>
      <c r="HW35" s="27">
        <f t="shared" si="26"/>
        <v>2557</v>
      </c>
      <c r="HX35" s="27">
        <f t="shared" si="26"/>
        <v>2557</v>
      </c>
      <c r="HY35" s="27">
        <f t="shared" si="26"/>
        <v>2557</v>
      </c>
      <c r="HZ35" s="27">
        <f t="shared" si="26"/>
        <v>2557</v>
      </c>
      <c r="IA35" s="27">
        <f t="shared" si="26"/>
        <v>2557</v>
      </c>
      <c r="IB35" s="27">
        <f t="shared" si="26"/>
        <v>2557</v>
      </c>
      <c r="IC35" s="27">
        <f t="shared" ref="IC35:IW35" si="27">IB35+IC15</f>
        <v>2557</v>
      </c>
      <c r="ID35" s="27">
        <f t="shared" si="27"/>
        <v>2557</v>
      </c>
      <c r="IE35" s="27">
        <f t="shared" si="27"/>
        <v>2557</v>
      </c>
      <c r="IF35" s="27">
        <f t="shared" si="27"/>
        <v>2557</v>
      </c>
      <c r="IG35" s="27">
        <f t="shared" si="27"/>
        <v>2557</v>
      </c>
      <c r="IH35" s="27">
        <f t="shared" si="27"/>
        <v>2557</v>
      </c>
      <c r="II35" s="27">
        <f t="shared" si="27"/>
        <v>2557</v>
      </c>
      <c r="IJ35" s="27">
        <f t="shared" si="27"/>
        <v>2557</v>
      </c>
      <c r="IK35" s="27">
        <f t="shared" si="27"/>
        <v>2557</v>
      </c>
      <c r="IL35" s="27">
        <f t="shared" si="27"/>
        <v>2557</v>
      </c>
      <c r="IM35" s="27">
        <f t="shared" si="27"/>
        <v>2557</v>
      </c>
      <c r="IN35" s="27">
        <f t="shared" si="27"/>
        <v>2557</v>
      </c>
      <c r="IO35" s="27">
        <f t="shared" si="27"/>
        <v>2557</v>
      </c>
      <c r="IP35" s="27">
        <f t="shared" si="27"/>
        <v>2557</v>
      </c>
      <c r="IQ35" s="27">
        <f t="shared" si="27"/>
        <v>2557</v>
      </c>
      <c r="IR35" s="27">
        <f t="shared" si="27"/>
        <v>2557</v>
      </c>
      <c r="IS35" s="27">
        <f t="shared" si="27"/>
        <v>2557</v>
      </c>
      <c r="IT35" s="27">
        <f t="shared" si="27"/>
        <v>2557</v>
      </c>
      <c r="IU35" s="27">
        <f t="shared" si="27"/>
        <v>2557</v>
      </c>
      <c r="IV35" s="27">
        <f t="shared" si="27"/>
        <v>2557</v>
      </c>
      <c r="IW35" s="27">
        <f t="shared" si="27"/>
        <v>2557</v>
      </c>
    </row>
    <row r="36" spans="1:258" x14ac:dyDescent="0.25">
      <c r="A36" s="567"/>
      <c r="C36" s="11" t="s">
        <v>43</v>
      </c>
      <c r="D36" s="27">
        <f t="shared" si="1"/>
        <v>3</v>
      </c>
      <c r="E36" s="27">
        <f t="shared" ref="E36:AJ36" si="28">D36+E16</f>
        <v>4</v>
      </c>
      <c r="F36" s="27">
        <f t="shared" si="28"/>
        <v>4</v>
      </c>
      <c r="G36" s="27">
        <f t="shared" si="28"/>
        <v>4</v>
      </c>
      <c r="H36" s="27">
        <f t="shared" si="28"/>
        <v>4</v>
      </c>
      <c r="I36" s="27">
        <f t="shared" si="28"/>
        <v>4</v>
      </c>
      <c r="J36" s="27">
        <f t="shared" si="28"/>
        <v>6</v>
      </c>
      <c r="K36" s="27">
        <f t="shared" si="28"/>
        <v>9</v>
      </c>
      <c r="L36" s="27">
        <f t="shared" si="28"/>
        <v>12</v>
      </c>
      <c r="M36" s="27">
        <f t="shared" si="28"/>
        <v>13</v>
      </c>
      <c r="N36" s="27">
        <f t="shared" si="28"/>
        <v>16</v>
      </c>
      <c r="O36" s="27">
        <f t="shared" si="28"/>
        <v>17</v>
      </c>
      <c r="P36" s="27">
        <f t="shared" si="28"/>
        <v>19</v>
      </c>
      <c r="Q36" s="27">
        <f t="shared" si="28"/>
        <v>22</v>
      </c>
      <c r="R36" s="27">
        <f t="shared" si="28"/>
        <v>24</v>
      </c>
      <c r="S36" s="27">
        <f t="shared" si="28"/>
        <v>30</v>
      </c>
      <c r="T36" s="27">
        <f t="shared" si="28"/>
        <v>35</v>
      </c>
      <c r="U36" s="27">
        <f t="shared" si="28"/>
        <v>41</v>
      </c>
      <c r="V36" s="27">
        <f t="shared" si="28"/>
        <v>44</v>
      </c>
      <c r="W36" s="27">
        <f t="shared" si="28"/>
        <v>45</v>
      </c>
      <c r="X36" s="27">
        <f t="shared" si="28"/>
        <v>48</v>
      </c>
      <c r="Y36" s="27">
        <f t="shared" si="28"/>
        <v>50</v>
      </c>
      <c r="Z36" s="27">
        <f t="shared" si="28"/>
        <v>56</v>
      </c>
      <c r="AA36" s="27">
        <f t="shared" si="28"/>
        <v>63</v>
      </c>
      <c r="AB36" s="27">
        <f t="shared" si="28"/>
        <v>70</v>
      </c>
      <c r="AC36" s="27">
        <f t="shared" si="28"/>
        <v>84</v>
      </c>
      <c r="AD36" s="27">
        <f t="shared" si="28"/>
        <v>96</v>
      </c>
      <c r="AE36" s="27">
        <f t="shared" si="28"/>
        <v>100</v>
      </c>
      <c r="AF36" s="27">
        <f t="shared" si="28"/>
        <v>110</v>
      </c>
      <c r="AG36" s="27">
        <f t="shared" si="28"/>
        <v>115</v>
      </c>
      <c r="AH36" s="27">
        <f t="shared" si="28"/>
        <v>116</v>
      </c>
      <c r="AI36" s="27">
        <f t="shared" si="28"/>
        <v>118</v>
      </c>
      <c r="AJ36" s="27">
        <f t="shared" si="28"/>
        <v>121</v>
      </c>
      <c r="AK36" s="27">
        <f t="shared" ref="AK36:BP36" si="29">AJ36+AK16</f>
        <v>129</v>
      </c>
      <c r="AL36" s="27">
        <f t="shared" si="29"/>
        <v>135</v>
      </c>
      <c r="AM36" s="27">
        <f t="shared" si="29"/>
        <v>152</v>
      </c>
      <c r="AN36" s="27">
        <f t="shared" si="29"/>
        <v>178</v>
      </c>
      <c r="AO36" s="27">
        <f t="shared" si="29"/>
        <v>206</v>
      </c>
      <c r="AP36" s="27">
        <f t="shared" si="29"/>
        <v>227</v>
      </c>
      <c r="AQ36" s="27">
        <f t="shared" si="29"/>
        <v>255</v>
      </c>
      <c r="AR36" s="27">
        <f t="shared" si="29"/>
        <v>268</v>
      </c>
      <c r="AS36" s="27">
        <f t="shared" si="29"/>
        <v>287</v>
      </c>
      <c r="AT36" s="27">
        <f t="shared" si="29"/>
        <v>304</v>
      </c>
      <c r="AU36" s="27">
        <f t="shared" si="29"/>
        <v>323</v>
      </c>
      <c r="AV36" s="27">
        <f t="shared" si="29"/>
        <v>347</v>
      </c>
      <c r="AW36" s="27">
        <f t="shared" si="29"/>
        <v>363</v>
      </c>
      <c r="AX36" s="27">
        <f t="shared" si="29"/>
        <v>387</v>
      </c>
      <c r="AY36" s="27">
        <f t="shared" si="29"/>
        <v>431</v>
      </c>
      <c r="AZ36" s="27">
        <f t="shared" si="29"/>
        <v>464</v>
      </c>
      <c r="BA36" s="27">
        <f t="shared" si="29"/>
        <v>494</v>
      </c>
      <c r="BB36" s="27">
        <f t="shared" si="29"/>
        <v>553</v>
      </c>
      <c r="BC36" s="27">
        <f t="shared" si="29"/>
        <v>626</v>
      </c>
      <c r="BD36" s="27">
        <f t="shared" si="29"/>
        <v>667</v>
      </c>
      <c r="BE36" s="27">
        <f t="shared" si="29"/>
        <v>690</v>
      </c>
      <c r="BF36" s="27">
        <f t="shared" si="29"/>
        <v>732</v>
      </c>
      <c r="BG36" s="27">
        <f t="shared" si="29"/>
        <v>767</v>
      </c>
      <c r="BH36" s="27">
        <f t="shared" si="29"/>
        <v>797</v>
      </c>
      <c r="BI36" s="27">
        <f t="shared" si="29"/>
        <v>867</v>
      </c>
      <c r="BJ36" s="27">
        <f t="shared" si="29"/>
        <v>916</v>
      </c>
      <c r="BK36" s="27">
        <f t="shared" si="29"/>
        <v>957</v>
      </c>
      <c r="BL36" s="27">
        <f t="shared" si="29"/>
        <v>1008</v>
      </c>
      <c r="BM36" s="27">
        <f t="shared" si="29"/>
        <v>1050</v>
      </c>
      <c r="BN36" s="27">
        <f t="shared" si="29"/>
        <v>1097</v>
      </c>
      <c r="BO36" s="27">
        <f t="shared" si="29"/>
        <v>1140</v>
      </c>
      <c r="BP36" s="27">
        <f t="shared" si="29"/>
        <v>1176</v>
      </c>
      <c r="BQ36" s="27">
        <f t="shared" ref="BQ36:CV36" si="30">BP36+BQ16</f>
        <v>1203</v>
      </c>
      <c r="BR36" s="27">
        <f t="shared" si="30"/>
        <v>1232</v>
      </c>
      <c r="BS36" s="27">
        <f t="shared" si="30"/>
        <v>1259</v>
      </c>
      <c r="BT36" s="27">
        <f t="shared" si="30"/>
        <v>1298</v>
      </c>
      <c r="BU36" s="27">
        <f t="shared" si="30"/>
        <v>1358</v>
      </c>
      <c r="BV36" s="27">
        <f t="shared" si="30"/>
        <v>1417</v>
      </c>
      <c r="BW36" s="27">
        <f t="shared" si="30"/>
        <v>1454</v>
      </c>
      <c r="BX36" s="27">
        <f t="shared" si="30"/>
        <v>1503</v>
      </c>
      <c r="BY36" s="27">
        <f t="shared" si="30"/>
        <v>1580</v>
      </c>
      <c r="BZ36" s="27">
        <f t="shared" si="30"/>
        <v>1650</v>
      </c>
      <c r="CA36" s="27">
        <f t="shared" si="30"/>
        <v>1706</v>
      </c>
      <c r="CB36" s="27">
        <f t="shared" si="30"/>
        <v>1749</v>
      </c>
      <c r="CC36" s="27">
        <f t="shared" si="30"/>
        <v>1796</v>
      </c>
      <c r="CD36" s="27">
        <f t="shared" si="30"/>
        <v>1838</v>
      </c>
      <c r="CE36" s="27">
        <f t="shared" si="30"/>
        <v>1888</v>
      </c>
      <c r="CF36" s="27">
        <f t="shared" si="30"/>
        <v>1919</v>
      </c>
      <c r="CG36" s="27">
        <f t="shared" si="30"/>
        <v>1988</v>
      </c>
      <c r="CH36" s="27">
        <f t="shared" si="30"/>
        <v>2051</v>
      </c>
      <c r="CI36" s="27">
        <f t="shared" si="30"/>
        <v>2130</v>
      </c>
      <c r="CJ36" s="27">
        <f t="shared" si="30"/>
        <v>2219</v>
      </c>
      <c r="CK36" s="27">
        <f t="shared" si="30"/>
        <v>2278</v>
      </c>
      <c r="CL36" s="27">
        <f t="shared" si="30"/>
        <v>2333</v>
      </c>
      <c r="CM36" s="27">
        <f t="shared" si="30"/>
        <v>2403</v>
      </c>
      <c r="CN36" s="27">
        <f t="shared" si="30"/>
        <v>2452</v>
      </c>
      <c r="CO36" s="27">
        <f t="shared" si="30"/>
        <v>2497</v>
      </c>
      <c r="CP36" s="27">
        <f t="shared" si="30"/>
        <v>2519</v>
      </c>
      <c r="CQ36" s="27">
        <f t="shared" si="30"/>
        <v>2530</v>
      </c>
      <c r="CR36" s="27">
        <f t="shared" si="30"/>
        <v>2532</v>
      </c>
      <c r="CS36" s="27">
        <f t="shared" si="30"/>
        <v>2533</v>
      </c>
      <c r="CT36" s="27">
        <f t="shared" si="30"/>
        <v>2543</v>
      </c>
      <c r="CU36" s="27">
        <f t="shared" si="30"/>
        <v>2552</v>
      </c>
      <c r="CV36" s="27">
        <f t="shared" si="30"/>
        <v>2565</v>
      </c>
      <c r="CW36" s="27">
        <f t="shared" ref="CW36:DD36" si="31">CV36+CW16</f>
        <v>2573</v>
      </c>
      <c r="CX36" s="27">
        <f t="shared" si="31"/>
        <v>2592</v>
      </c>
      <c r="CY36" s="27">
        <f t="shared" si="31"/>
        <v>2595</v>
      </c>
      <c r="CZ36" s="27">
        <f t="shared" si="31"/>
        <v>2598</v>
      </c>
      <c r="DA36" s="27">
        <f t="shared" si="31"/>
        <v>2600</v>
      </c>
      <c r="DB36" s="27">
        <f t="shared" si="31"/>
        <v>2600</v>
      </c>
      <c r="DC36" s="27">
        <f t="shared" si="31"/>
        <v>2601</v>
      </c>
      <c r="DD36" s="27">
        <f t="shared" si="31"/>
        <v>2603</v>
      </c>
      <c r="DE36" s="27">
        <f t="shared" ref="DE36:EJ36" si="32">DD36+DE16</f>
        <v>2603</v>
      </c>
      <c r="DF36" s="27">
        <f t="shared" si="32"/>
        <v>2603</v>
      </c>
      <c r="DG36" s="27">
        <f t="shared" si="32"/>
        <v>2603</v>
      </c>
      <c r="DH36" s="27">
        <f t="shared" si="32"/>
        <v>2603</v>
      </c>
      <c r="DI36" s="27">
        <f t="shared" si="32"/>
        <v>2603</v>
      </c>
      <c r="DJ36" s="27">
        <f t="shared" si="32"/>
        <v>2603</v>
      </c>
      <c r="DK36" s="27">
        <f t="shared" si="32"/>
        <v>2603</v>
      </c>
      <c r="DL36" s="27">
        <f t="shared" si="32"/>
        <v>2603</v>
      </c>
      <c r="DM36" s="27">
        <f t="shared" si="32"/>
        <v>2603</v>
      </c>
      <c r="DN36" s="27">
        <f t="shared" si="32"/>
        <v>2603</v>
      </c>
      <c r="DO36" s="27">
        <f t="shared" si="32"/>
        <v>2603</v>
      </c>
      <c r="DP36" s="27">
        <f t="shared" si="32"/>
        <v>2603</v>
      </c>
      <c r="DQ36" s="27">
        <f t="shared" si="32"/>
        <v>2603</v>
      </c>
      <c r="DR36" s="27">
        <f t="shared" si="32"/>
        <v>2603</v>
      </c>
      <c r="DS36" s="27">
        <f t="shared" si="32"/>
        <v>2603</v>
      </c>
      <c r="DT36" s="27">
        <f t="shared" si="32"/>
        <v>2603</v>
      </c>
      <c r="DU36" s="27">
        <f t="shared" si="32"/>
        <v>2603</v>
      </c>
      <c r="DV36" s="27">
        <f t="shared" si="32"/>
        <v>2603</v>
      </c>
      <c r="DW36" s="27">
        <f t="shared" si="32"/>
        <v>2603</v>
      </c>
      <c r="DX36" s="27">
        <f t="shared" si="32"/>
        <v>2603</v>
      </c>
      <c r="DY36" s="27">
        <f t="shared" si="32"/>
        <v>2603</v>
      </c>
      <c r="DZ36" s="27">
        <f t="shared" si="32"/>
        <v>2603</v>
      </c>
      <c r="EA36" s="27">
        <f t="shared" si="32"/>
        <v>2603</v>
      </c>
      <c r="EB36" s="27">
        <f t="shared" si="32"/>
        <v>2603</v>
      </c>
      <c r="EC36" s="27">
        <f t="shared" si="32"/>
        <v>2603</v>
      </c>
      <c r="ED36" s="27">
        <f t="shared" si="32"/>
        <v>2603</v>
      </c>
      <c r="EE36" s="27">
        <f t="shared" si="32"/>
        <v>2603</v>
      </c>
      <c r="EF36" s="27">
        <f t="shared" si="32"/>
        <v>2603</v>
      </c>
      <c r="EG36" s="27">
        <f t="shared" si="32"/>
        <v>2603</v>
      </c>
      <c r="EH36" s="27">
        <f t="shared" si="32"/>
        <v>2603</v>
      </c>
      <c r="EI36" s="27">
        <f t="shared" si="32"/>
        <v>2603</v>
      </c>
      <c r="EJ36" s="27">
        <f t="shared" si="32"/>
        <v>2603</v>
      </c>
      <c r="EK36" s="27">
        <f t="shared" ref="EK36:FP36" si="33">EJ36+EK16</f>
        <v>2603</v>
      </c>
      <c r="EL36" s="27">
        <f t="shared" si="33"/>
        <v>2603</v>
      </c>
      <c r="EM36" s="27">
        <f t="shared" si="33"/>
        <v>2603</v>
      </c>
      <c r="EN36" s="27">
        <f t="shared" si="33"/>
        <v>2603</v>
      </c>
      <c r="EO36" s="27">
        <f t="shared" si="33"/>
        <v>2603</v>
      </c>
      <c r="EP36" s="27">
        <f t="shared" si="33"/>
        <v>2603</v>
      </c>
      <c r="EQ36" s="27">
        <f t="shared" si="33"/>
        <v>2603</v>
      </c>
      <c r="ER36" s="27">
        <f t="shared" si="33"/>
        <v>2603</v>
      </c>
      <c r="ES36" s="27">
        <f t="shared" si="33"/>
        <v>2603</v>
      </c>
      <c r="ET36" s="27">
        <f t="shared" si="33"/>
        <v>2603</v>
      </c>
      <c r="EU36" s="27">
        <f t="shared" si="33"/>
        <v>2603</v>
      </c>
      <c r="EV36" s="27">
        <f t="shared" si="33"/>
        <v>2603</v>
      </c>
      <c r="EW36" s="27">
        <f t="shared" si="33"/>
        <v>2603</v>
      </c>
      <c r="EX36" s="27">
        <f t="shared" si="33"/>
        <v>2603</v>
      </c>
      <c r="EY36" s="27">
        <f t="shared" si="33"/>
        <v>2603</v>
      </c>
      <c r="EZ36" s="27">
        <f t="shared" si="33"/>
        <v>2603</v>
      </c>
      <c r="FA36" s="27">
        <f t="shared" si="33"/>
        <v>2603</v>
      </c>
      <c r="FB36" s="27">
        <f t="shared" si="33"/>
        <v>2603</v>
      </c>
      <c r="FC36" s="27">
        <f t="shared" si="33"/>
        <v>2603</v>
      </c>
      <c r="FD36" s="27">
        <f t="shared" si="33"/>
        <v>2603</v>
      </c>
      <c r="FE36" s="27">
        <f t="shared" si="33"/>
        <v>2603</v>
      </c>
      <c r="FF36" s="27">
        <f t="shared" si="33"/>
        <v>2603</v>
      </c>
      <c r="FG36" s="27">
        <f t="shared" si="33"/>
        <v>2603</v>
      </c>
      <c r="FH36" s="27">
        <f t="shared" si="33"/>
        <v>2603</v>
      </c>
      <c r="FI36" s="27">
        <f t="shared" si="33"/>
        <v>2603</v>
      </c>
      <c r="FJ36" s="27">
        <f t="shared" si="33"/>
        <v>2603</v>
      </c>
      <c r="FK36" s="27">
        <f t="shared" si="33"/>
        <v>2603</v>
      </c>
      <c r="FL36" s="27">
        <f t="shared" si="33"/>
        <v>2603</v>
      </c>
      <c r="FM36" s="27">
        <f t="shared" si="33"/>
        <v>2603</v>
      </c>
      <c r="FN36" s="27">
        <f t="shared" si="33"/>
        <v>2603</v>
      </c>
      <c r="FO36" s="27">
        <f t="shared" si="33"/>
        <v>2603</v>
      </c>
      <c r="FP36" s="27">
        <f t="shared" si="33"/>
        <v>2603</v>
      </c>
      <c r="FQ36" s="27">
        <f t="shared" ref="FQ36:GV36" si="34">FP36+FQ16</f>
        <v>2603</v>
      </c>
      <c r="FR36" s="27">
        <f t="shared" si="34"/>
        <v>2603</v>
      </c>
      <c r="FS36" s="27">
        <f t="shared" si="34"/>
        <v>2603</v>
      </c>
      <c r="FT36" s="27">
        <f t="shared" si="34"/>
        <v>2603</v>
      </c>
      <c r="FU36" s="27">
        <f t="shared" si="34"/>
        <v>2603</v>
      </c>
      <c r="FV36" s="27">
        <f t="shared" si="34"/>
        <v>2603</v>
      </c>
      <c r="FW36" s="27">
        <f t="shared" si="34"/>
        <v>2603</v>
      </c>
      <c r="FX36" s="27">
        <f t="shared" si="34"/>
        <v>2603</v>
      </c>
      <c r="FY36" s="27">
        <f t="shared" si="34"/>
        <v>2603</v>
      </c>
      <c r="FZ36" s="27">
        <f t="shared" si="34"/>
        <v>2603</v>
      </c>
      <c r="GA36" s="27">
        <f t="shared" si="34"/>
        <v>2603</v>
      </c>
      <c r="GB36" s="27">
        <f t="shared" si="34"/>
        <v>2603</v>
      </c>
      <c r="GC36" s="27">
        <f t="shared" si="34"/>
        <v>2603</v>
      </c>
      <c r="GD36" s="27">
        <f t="shared" si="34"/>
        <v>2603</v>
      </c>
      <c r="GE36" s="27">
        <f t="shared" si="34"/>
        <v>2603</v>
      </c>
      <c r="GF36" s="27">
        <f t="shared" si="34"/>
        <v>2603</v>
      </c>
      <c r="GG36" s="27">
        <f t="shared" si="34"/>
        <v>2603</v>
      </c>
      <c r="GH36" s="27">
        <f t="shared" si="34"/>
        <v>2603</v>
      </c>
      <c r="GI36" s="27">
        <f t="shared" si="34"/>
        <v>2603</v>
      </c>
      <c r="GJ36" s="27">
        <f t="shared" si="34"/>
        <v>2603</v>
      </c>
      <c r="GK36" s="27">
        <f t="shared" si="34"/>
        <v>2603</v>
      </c>
      <c r="GL36" s="27">
        <f t="shared" si="34"/>
        <v>2603</v>
      </c>
      <c r="GM36" s="27">
        <f t="shared" si="34"/>
        <v>2603</v>
      </c>
      <c r="GN36" s="27">
        <f t="shared" si="34"/>
        <v>2603</v>
      </c>
      <c r="GO36" s="27">
        <f t="shared" si="34"/>
        <v>2603</v>
      </c>
      <c r="GP36" s="27">
        <f t="shared" si="34"/>
        <v>2603</v>
      </c>
      <c r="GQ36" s="27">
        <f t="shared" si="34"/>
        <v>2603</v>
      </c>
      <c r="GR36" s="27">
        <f t="shared" si="34"/>
        <v>2603</v>
      </c>
      <c r="GS36" s="27">
        <f t="shared" si="34"/>
        <v>2603</v>
      </c>
      <c r="GT36" s="27">
        <f t="shared" si="34"/>
        <v>2603</v>
      </c>
      <c r="GU36" s="27">
        <f t="shared" si="34"/>
        <v>2603</v>
      </c>
      <c r="GV36" s="27">
        <f t="shared" si="34"/>
        <v>2603</v>
      </c>
      <c r="GW36" s="27">
        <f t="shared" ref="GW36:IB36" si="35">GV36+GW16</f>
        <v>2603</v>
      </c>
      <c r="GX36" s="27">
        <f t="shared" si="35"/>
        <v>2603</v>
      </c>
      <c r="GY36" s="27">
        <f t="shared" si="35"/>
        <v>2603</v>
      </c>
      <c r="GZ36" s="27">
        <f t="shared" si="35"/>
        <v>2603</v>
      </c>
      <c r="HA36" s="27">
        <f t="shared" si="35"/>
        <v>2603</v>
      </c>
      <c r="HB36" s="27">
        <f t="shared" si="35"/>
        <v>2603</v>
      </c>
      <c r="HC36" s="27">
        <f t="shared" si="35"/>
        <v>2603</v>
      </c>
      <c r="HD36" s="27">
        <f t="shared" si="35"/>
        <v>2603</v>
      </c>
      <c r="HE36" s="27">
        <f t="shared" si="35"/>
        <v>2603</v>
      </c>
      <c r="HF36" s="27">
        <f t="shared" si="35"/>
        <v>2603</v>
      </c>
      <c r="HG36" s="27">
        <f t="shared" si="35"/>
        <v>2603</v>
      </c>
      <c r="HH36" s="27">
        <f t="shared" si="35"/>
        <v>2603</v>
      </c>
      <c r="HI36" s="27">
        <f t="shared" si="35"/>
        <v>2603</v>
      </c>
      <c r="HJ36" s="27">
        <f t="shared" si="35"/>
        <v>2603</v>
      </c>
      <c r="HK36" s="27">
        <f t="shared" si="35"/>
        <v>2603</v>
      </c>
      <c r="HL36" s="27">
        <f t="shared" si="35"/>
        <v>2603</v>
      </c>
      <c r="HM36" s="27">
        <f t="shared" si="35"/>
        <v>2603</v>
      </c>
      <c r="HN36" s="27">
        <f t="shared" si="35"/>
        <v>2603</v>
      </c>
      <c r="HO36" s="27">
        <f t="shared" si="35"/>
        <v>2603</v>
      </c>
      <c r="HP36" s="27">
        <f t="shared" si="35"/>
        <v>2603</v>
      </c>
      <c r="HQ36" s="27">
        <f t="shared" si="35"/>
        <v>2603</v>
      </c>
      <c r="HR36" s="27">
        <f t="shared" si="35"/>
        <v>2603</v>
      </c>
      <c r="HS36" s="27">
        <f t="shared" si="35"/>
        <v>2603</v>
      </c>
      <c r="HT36" s="27">
        <f t="shared" si="35"/>
        <v>2603</v>
      </c>
      <c r="HU36" s="27">
        <f t="shared" si="35"/>
        <v>2603</v>
      </c>
      <c r="HV36" s="27">
        <f t="shared" si="35"/>
        <v>2603</v>
      </c>
      <c r="HW36" s="27">
        <f t="shared" si="35"/>
        <v>2603</v>
      </c>
      <c r="HX36" s="27">
        <f t="shared" si="35"/>
        <v>2603</v>
      </c>
      <c r="HY36" s="27">
        <f t="shared" si="35"/>
        <v>2603</v>
      </c>
      <c r="HZ36" s="27">
        <f t="shared" si="35"/>
        <v>2603</v>
      </c>
      <c r="IA36" s="27">
        <f t="shared" si="35"/>
        <v>2603</v>
      </c>
      <c r="IB36" s="27">
        <f t="shared" si="35"/>
        <v>2603</v>
      </c>
      <c r="IC36" s="27">
        <f t="shared" ref="IC36:IW36" si="36">IB36+IC16</f>
        <v>2603</v>
      </c>
      <c r="ID36" s="27">
        <f t="shared" si="36"/>
        <v>2603</v>
      </c>
      <c r="IE36" s="27">
        <f t="shared" si="36"/>
        <v>2603</v>
      </c>
      <c r="IF36" s="27">
        <f t="shared" si="36"/>
        <v>2603</v>
      </c>
      <c r="IG36" s="27">
        <f t="shared" si="36"/>
        <v>2603</v>
      </c>
      <c r="IH36" s="27">
        <f t="shared" si="36"/>
        <v>2603</v>
      </c>
      <c r="II36" s="27">
        <f t="shared" si="36"/>
        <v>2603</v>
      </c>
      <c r="IJ36" s="27">
        <f t="shared" si="36"/>
        <v>2603</v>
      </c>
      <c r="IK36" s="27">
        <f t="shared" si="36"/>
        <v>2603</v>
      </c>
      <c r="IL36" s="27">
        <f t="shared" si="36"/>
        <v>2603</v>
      </c>
      <c r="IM36" s="27">
        <f t="shared" si="36"/>
        <v>2603</v>
      </c>
      <c r="IN36" s="27">
        <f t="shared" si="36"/>
        <v>2603</v>
      </c>
      <c r="IO36" s="27">
        <f t="shared" si="36"/>
        <v>2603</v>
      </c>
      <c r="IP36" s="27">
        <f t="shared" si="36"/>
        <v>2603</v>
      </c>
      <c r="IQ36" s="27">
        <f t="shared" si="36"/>
        <v>2603</v>
      </c>
      <c r="IR36" s="27">
        <f t="shared" si="36"/>
        <v>2603</v>
      </c>
      <c r="IS36" s="27">
        <f t="shared" si="36"/>
        <v>2603</v>
      </c>
      <c r="IT36" s="27">
        <f t="shared" si="36"/>
        <v>2603</v>
      </c>
      <c r="IU36" s="27">
        <f t="shared" si="36"/>
        <v>2603</v>
      </c>
      <c r="IV36" s="27">
        <f t="shared" si="36"/>
        <v>2603</v>
      </c>
      <c r="IW36" s="27">
        <f t="shared" si="36"/>
        <v>2603</v>
      </c>
    </row>
    <row r="37" spans="1:258" x14ac:dyDescent="0.25">
      <c r="A37" s="567"/>
      <c r="C37" s="11" t="s">
        <v>44</v>
      </c>
      <c r="D37" s="27">
        <f t="shared" si="1"/>
        <v>3</v>
      </c>
      <c r="E37" s="27">
        <f t="shared" ref="E37:AJ37" si="37">D37+E17</f>
        <v>4</v>
      </c>
      <c r="F37" s="27">
        <f t="shared" si="37"/>
        <v>4</v>
      </c>
      <c r="G37" s="27">
        <f t="shared" si="37"/>
        <v>4</v>
      </c>
      <c r="H37" s="27">
        <f t="shared" si="37"/>
        <v>4</v>
      </c>
      <c r="I37" s="27">
        <f t="shared" si="37"/>
        <v>4</v>
      </c>
      <c r="J37" s="27">
        <f t="shared" si="37"/>
        <v>6</v>
      </c>
      <c r="K37" s="27">
        <f t="shared" si="37"/>
        <v>9</v>
      </c>
      <c r="L37" s="27">
        <f t="shared" si="37"/>
        <v>12</v>
      </c>
      <c r="M37" s="27">
        <f t="shared" si="37"/>
        <v>13</v>
      </c>
      <c r="N37" s="27">
        <f t="shared" si="37"/>
        <v>16</v>
      </c>
      <c r="O37" s="27">
        <f t="shared" si="37"/>
        <v>17</v>
      </c>
      <c r="P37" s="27">
        <f t="shared" si="37"/>
        <v>19</v>
      </c>
      <c r="Q37" s="27">
        <f t="shared" si="37"/>
        <v>22</v>
      </c>
      <c r="R37" s="27">
        <f t="shared" si="37"/>
        <v>24</v>
      </c>
      <c r="S37" s="27">
        <f t="shared" si="37"/>
        <v>30</v>
      </c>
      <c r="T37" s="27">
        <f t="shared" si="37"/>
        <v>35</v>
      </c>
      <c r="U37" s="27">
        <f t="shared" si="37"/>
        <v>41</v>
      </c>
      <c r="V37" s="27">
        <f t="shared" si="37"/>
        <v>44</v>
      </c>
      <c r="W37" s="27">
        <f t="shared" si="37"/>
        <v>45</v>
      </c>
      <c r="X37" s="27">
        <f t="shared" si="37"/>
        <v>48</v>
      </c>
      <c r="Y37" s="27">
        <f t="shared" si="37"/>
        <v>50</v>
      </c>
      <c r="Z37" s="27">
        <f t="shared" si="37"/>
        <v>56</v>
      </c>
      <c r="AA37" s="27">
        <f t="shared" si="37"/>
        <v>63</v>
      </c>
      <c r="AB37" s="27">
        <f t="shared" si="37"/>
        <v>70</v>
      </c>
      <c r="AC37" s="27">
        <f t="shared" si="37"/>
        <v>84</v>
      </c>
      <c r="AD37" s="27">
        <f t="shared" si="37"/>
        <v>96</v>
      </c>
      <c r="AE37" s="27">
        <f t="shared" si="37"/>
        <v>100</v>
      </c>
      <c r="AF37" s="27">
        <f t="shared" si="37"/>
        <v>110</v>
      </c>
      <c r="AG37" s="27">
        <f t="shared" si="37"/>
        <v>115</v>
      </c>
      <c r="AH37" s="27">
        <f t="shared" si="37"/>
        <v>116</v>
      </c>
      <c r="AI37" s="27">
        <f t="shared" si="37"/>
        <v>118</v>
      </c>
      <c r="AJ37" s="27">
        <f t="shared" si="37"/>
        <v>121</v>
      </c>
      <c r="AK37" s="27">
        <f t="shared" ref="AK37:BP37" si="38">AJ37+AK17</f>
        <v>129</v>
      </c>
      <c r="AL37" s="27">
        <f t="shared" si="38"/>
        <v>135</v>
      </c>
      <c r="AM37" s="27">
        <f t="shared" si="38"/>
        <v>152</v>
      </c>
      <c r="AN37" s="27">
        <f t="shared" si="38"/>
        <v>178</v>
      </c>
      <c r="AO37" s="27">
        <f t="shared" si="38"/>
        <v>206</v>
      </c>
      <c r="AP37" s="27">
        <f t="shared" si="38"/>
        <v>227</v>
      </c>
      <c r="AQ37" s="27">
        <f t="shared" si="38"/>
        <v>255</v>
      </c>
      <c r="AR37" s="27">
        <f t="shared" si="38"/>
        <v>268</v>
      </c>
      <c r="AS37" s="27">
        <f t="shared" si="38"/>
        <v>287</v>
      </c>
      <c r="AT37" s="27">
        <f t="shared" si="38"/>
        <v>304</v>
      </c>
      <c r="AU37" s="27">
        <f t="shared" si="38"/>
        <v>323</v>
      </c>
      <c r="AV37" s="27">
        <f t="shared" si="38"/>
        <v>347</v>
      </c>
      <c r="AW37" s="27">
        <f t="shared" si="38"/>
        <v>363</v>
      </c>
      <c r="AX37" s="27">
        <f t="shared" si="38"/>
        <v>387</v>
      </c>
      <c r="AY37" s="27">
        <f t="shared" si="38"/>
        <v>431</v>
      </c>
      <c r="AZ37" s="27">
        <f t="shared" si="38"/>
        <v>464</v>
      </c>
      <c r="BA37" s="27">
        <f t="shared" si="38"/>
        <v>494</v>
      </c>
      <c r="BB37" s="27">
        <f t="shared" si="38"/>
        <v>553</v>
      </c>
      <c r="BC37" s="27">
        <f t="shared" si="38"/>
        <v>626</v>
      </c>
      <c r="BD37" s="27">
        <f t="shared" si="38"/>
        <v>667</v>
      </c>
      <c r="BE37" s="27">
        <f t="shared" si="38"/>
        <v>690</v>
      </c>
      <c r="BF37" s="27">
        <f t="shared" si="38"/>
        <v>732</v>
      </c>
      <c r="BG37" s="27">
        <f t="shared" si="38"/>
        <v>767</v>
      </c>
      <c r="BH37" s="27">
        <f t="shared" si="38"/>
        <v>797</v>
      </c>
      <c r="BI37" s="27">
        <f t="shared" si="38"/>
        <v>867</v>
      </c>
      <c r="BJ37" s="27">
        <f t="shared" si="38"/>
        <v>916</v>
      </c>
      <c r="BK37" s="27">
        <f t="shared" si="38"/>
        <v>957</v>
      </c>
      <c r="BL37" s="27">
        <f t="shared" si="38"/>
        <v>1008</v>
      </c>
      <c r="BM37" s="27">
        <f t="shared" si="38"/>
        <v>1050</v>
      </c>
      <c r="BN37" s="27">
        <f t="shared" si="38"/>
        <v>1097</v>
      </c>
      <c r="BO37" s="27">
        <f t="shared" si="38"/>
        <v>1140</v>
      </c>
      <c r="BP37" s="27">
        <f t="shared" si="38"/>
        <v>1176</v>
      </c>
      <c r="BQ37" s="27">
        <f t="shared" ref="BQ37:CV37" si="39">BP37+BQ17</f>
        <v>1203</v>
      </c>
      <c r="BR37" s="27">
        <f t="shared" si="39"/>
        <v>1232</v>
      </c>
      <c r="BS37" s="27">
        <f t="shared" si="39"/>
        <v>1259</v>
      </c>
      <c r="BT37" s="27">
        <f t="shared" si="39"/>
        <v>1298</v>
      </c>
      <c r="BU37" s="27">
        <f t="shared" si="39"/>
        <v>1358</v>
      </c>
      <c r="BV37" s="27">
        <f t="shared" si="39"/>
        <v>1417</v>
      </c>
      <c r="BW37" s="27">
        <f t="shared" si="39"/>
        <v>1454</v>
      </c>
      <c r="BX37" s="27">
        <f t="shared" si="39"/>
        <v>1503</v>
      </c>
      <c r="BY37" s="27">
        <f t="shared" si="39"/>
        <v>1580</v>
      </c>
      <c r="BZ37" s="27">
        <f t="shared" si="39"/>
        <v>1650</v>
      </c>
      <c r="CA37" s="27">
        <f t="shared" si="39"/>
        <v>1706</v>
      </c>
      <c r="CB37" s="27">
        <f t="shared" si="39"/>
        <v>1749</v>
      </c>
      <c r="CC37" s="27">
        <f t="shared" si="39"/>
        <v>1796</v>
      </c>
      <c r="CD37" s="27">
        <f t="shared" si="39"/>
        <v>1838</v>
      </c>
      <c r="CE37" s="27">
        <f t="shared" si="39"/>
        <v>1888</v>
      </c>
      <c r="CF37" s="27">
        <f t="shared" si="39"/>
        <v>1917</v>
      </c>
      <c r="CG37" s="27">
        <f t="shared" si="39"/>
        <v>1917</v>
      </c>
      <c r="CH37" s="27">
        <f t="shared" si="39"/>
        <v>1917</v>
      </c>
      <c r="CI37" s="27">
        <f t="shared" si="39"/>
        <v>1917</v>
      </c>
      <c r="CJ37" s="27">
        <f t="shared" si="39"/>
        <v>1917</v>
      </c>
      <c r="CK37" s="27">
        <f t="shared" si="39"/>
        <v>1917</v>
      </c>
      <c r="CL37" s="27">
        <f t="shared" si="39"/>
        <v>1917</v>
      </c>
      <c r="CM37" s="27">
        <f t="shared" si="39"/>
        <v>1917</v>
      </c>
      <c r="CN37" s="27">
        <f t="shared" si="39"/>
        <v>1917</v>
      </c>
      <c r="CO37" s="27">
        <f t="shared" si="39"/>
        <v>1917</v>
      </c>
      <c r="CP37" s="27">
        <f t="shared" si="39"/>
        <v>1917</v>
      </c>
      <c r="CQ37" s="27">
        <f t="shared" si="39"/>
        <v>1917</v>
      </c>
      <c r="CR37" s="27">
        <f t="shared" si="39"/>
        <v>1917</v>
      </c>
      <c r="CS37" s="27">
        <f t="shared" si="39"/>
        <v>1917</v>
      </c>
      <c r="CT37" s="27">
        <f t="shared" si="39"/>
        <v>1917</v>
      </c>
      <c r="CU37" s="27">
        <f t="shared" si="39"/>
        <v>1917</v>
      </c>
      <c r="CV37" s="27">
        <f t="shared" si="39"/>
        <v>1917</v>
      </c>
      <c r="CW37" s="27">
        <f t="shared" ref="CW37:DD37" si="40">CV37+CW17</f>
        <v>1917</v>
      </c>
      <c r="CX37" s="27">
        <f t="shared" si="40"/>
        <v>1917</v>
      </c>
      <c r="CY37" s="27">
        <f t="shared" si="40"/>
        <v>1917</v>
      </c>
      <c r="CZ37" s="27">
        <f t="shared" si="40"/>
        <v>1917</v>
      </c>
      <c r="DA37" s="27">
        <f t="shared" si="40"/>
        <v>1917</v>
      </c>
      <c r="DB37" s="27">
        <f t="shared" si="40"/>
        <v>1917</v>
      </c>
      <c r="DC37" s="27">
        <f t="shared" si="40"/>
        <v>1917</v>
      </c>
      <c r="DD37" s="27">
        <f t="shared" si="40"/>
        <v>1917</v>
      </c>
      <c r="DE37" s="27">
        <f t="shared" ref="DE37:EJ37" si="41">DD37+DE17</f>
        <v>1917</v>
      </c>
      <c r="DF37" s="27">
        <f t="shared" si="41"/>
        <v>1917</v>
      </c>
      <c r="DG37" s="27">
        <f t="shared" si="41"/>
        <v>1917</v>
      </c>
      <c r="DH37" s="27">
        <f t="shared" si="41"/>
        <v>1917</v>
      </c>
      <c r="DI37" s="27">
        <f t="shared" si="41"/>
        <v>1917</v>
      </c>
      <c r="DJ37" s="27">
        <f t="shared" si="41"/>
        <v>1917</v>
      </c>
      <c r="DK37" s="27">
        <f t="shared" si="41"/>
        <v>1917</v>
      </c>
      <c r="DL37" s="27">
        <f t="shared" si="41"/>
        <v>1917</v>
      </c>
      <c r="DM37" s="27">
        <f t="shared" si="41"/>
        <v>1917</v>
      </c>
      <c r="DN37" s="27">
        <f t="shared" si="41"/>
        <v>1917</v>
      </c>
      <c r="DO37" s="27">
        <f t="shared" si="41"/>
        <v>1917</v>
      </c>
      <c r="DP37" s="27">
        <f t="shared" si="41"/>
        <v>1917</v>
      </c>
      <c r="DQ37" s="27">
        <f t="shared" si="41"/>
        <v>1917</v>
      </c>
      <c r="DR37" s="27">
        <f t="shared" si="41"/>
        <v>1917</v>
      </c>
      <c r="DS37" s="27">
        <f t="shared" si="41"/>
        <v>1917</v>
      </c>
      <c r="DT37" s="27">
        <f t="shared" si="41"/>
        <v>1917</v>
      </c>
      <c r="DU37" s="27">
        <f t="shared" si="41"/>
        <v>1917</v>
      </c>
      <c r="DV37" s="27">
        <f t="shared" si="41"/>
        <v>1917</v>
      </c>
      <c r="DW37" s="27">
        <f t="shared" si="41"/>
        <v>1917</v>
      </c>
      <c r="DX37" s="27">
        <f t="shared" si="41"/>
        <v>1917</v>
      </c>
      <c r="DY37" s="27">
        <f t="shared" si="41"/>
        <v>1917</v>
      </c>
      <c r="DZ37" s="27">
        <f t="shared" si="41"/>
        <v>1917</v>
      </c>
      <c r="EA37" s="27">
        <f t="shared" si="41"/>
        <v>1917</v>
      </c>
      <c r="EB37" s="27">
        <f t="shared" si="41"/>
        <v>1917</v>
      </c>
      <c r="EC37" s="27">
        <f t="shared" si="41"/>
        <v>1917</v>
      </c>
      <c r="ED37" s="27">
        <f t="shared" si="41"/>
        <v>1917</v>
      </c>
      <c r="EE37" s="27">
        <f t="shared" si="41"/>
        <v>1917</v>
      </c>
      <c r="EF37" s="27">
        <f t="shared" si="41"/>
        <v>1917</v>
      </c>
      <c r="EG37" s="27">
        <f t="shared" si="41"/>
        <v>1917</v>
      </c>
      <c r="EH37" s="27">
        <f t="shared" si="41"/>
        <v>1917</v>
      </c>
      <c r="EI37" s="27">
        <f t="shared" si="41"/>
        <v>1917</v>
      </c>
      <c r="EJ37" s="27">
        <f t="shared" si="41"/>
        <v>1917</v>
      </c>
      <c r="EK37" s="27">
        <f t="shared" ref="EK37:FP37" si="42">EJ37+EK17</f>
        <v>1917</v>
      </c>
      <c r="EL37" s="27">
        <f t="shared" si="42"/>
        <v>1917</v>
      </c>
      <c r="EM37" s="27">
        <f t="shared" si="42"/>
        <v>1917</v>
      </c>
      <c r="EN37" s="27">
        <f t="shared" si="42"/>
        <v>1917</v>
      </c>
      <c r="EO37" s="27">
        <f t="shared" si="42"/>
        <v>1917</v>
      </c>
      <c r="EP37" s="27">
        <f t="shared" si="42"/>
        <v>1917</v>
      </c>
      <c r="EQ37" s="27">
        <f t="shared" si="42"/>
        <v>1917</v>
      </c>
      <c r="ER37" s="27">
        <f t="shared" si="42"/>
        <v>1917</v>
      </c>
      <c r="ES37" s="27">
        <f t="shared" si="42"/>
        <v>1917</v>
      </c>
      <c r="ET37" s="27">
        <f t="shared" si="42"/>
        <v>1917</v>
      </c>
      <c r="EU37" s="27">
        <f t="shared" si="42"/>
        <v>1917</v>
      </c>
      <c r="EV37" s="27">
        <f t="shared" si="42"/>
        <v>1917</v>
      </c>
      <c r="EW37" s="27">
        <f t="shared" si="42"/>
        <v>1917</v>
      </c>
      <c r="EX37" s="27">
        <f t="shared" si="42"/>
        <v>1917</v>
      </c>
      <c r="EY37" s="27">
        <f t="shared" si="42"/>
        <v>1917</v>
      </c>
      <c r="EZ37" s="27">
        <f t="shared" si="42"/>
        <v>1917</v>
      </c>
      <c r="FA37" s="27">
        <f t="shared" si="42"/>
        <v>1917</v>
      </c>
      <c r="FB37" s="27">
        <f t="shared" si="42"/>
        <v>1917</v>
      </c>
      <c r="FC37" s="27">
        <f t="shared" si="42"/>
        <v>1917</v>
      </c>
      <c r="FD37" s="27">
        <f t="shared" si="42"/>
        <v>1917</v>
      </c>
      <c r="FE37" s="27">
        <f t="shared" si="42"/>
        <v>1917</v>
      </c>
      <c r="FF37" s="27">
        <f t="shared" si="42"/>
        <v>1917</v>
      </c>
      <c r="FG37" s="27">
        <f t="shared" si="42"/>
        <v>1917</v>
      </c>
      <c r="FH37" s="27">
        <f t="shared" si="42"/>
        <v>1917</v>
      </c>
      <c r="FI37" s="27">
        <f t="shared" si="42"/>
        <v>1917</v>
      </c>
      <c r="FJ37" s="27">
        <f t="shared" si="42"/>
        <v>1917</v>
      </c>
      <c r="FK37" s="27">
        <f t="shared" si="42"/>
        <v>1917</v>
      </c>
      <c r="FL37" s="27">
        <f t="shared" si="42"/>
        <v>1917</v>
      </c>
      <c r="FM37" s="27">
        <f t="shared" si="42"/>
        <v>1917</v>
      </c>
      <c r="FN37" s="27">
        <f t="shared" si="42"/>
        <v>1917</v>
      </c>
      <c r="FO37" s="27">
        <f t="shared" si="42"/>
        <v>1917</v>
      </c>
      <c r="FP37" s="27">
        <f t="shared" si="42"/>
        <v>1917</v>
      </c>
      <c r="FQ37" s="27">
        <f t="shared" ref="FQ37:GV37" si="43">FP37+FQ17</f>
        <v>1917</v>
      </c>
      <c r="FR37" s="27">
        <f t="shared" si="43"/>
        <v>1917</v>
      </c>
      <c r="FS37" s="27">
        <f t="shared" si="43"/>
        <v>1917</v>
      </c>
      <c r="FT37" s="27">
        <f t="shared" si="43"/>
        <v>1917</v>
      </c>
      <c r="FU37" s="27">
        <f t="shared" si="43"/>
        <v>1917</v>
      </c>
      <c r="FV37" s="27">
        <f t="shared" si="43"/>
        <v>1917</v>
      </c>
      <c r="FW37" s="27">
        <f t="shared" si="43"/>
        <v>1917</v>
      </c>
      <c r="FX37" s="27">
        <f t="shared" si="43"/>
        <v>1917</v>
      </c>
      <c r="FY37" s="27">
        <f t="shared" si="43"/>
        <v>1917</v>
      </c>
      <c r="FZ37" s="27">
        <f t="shared" si="43"/>
        <v>1917</v>
      </c>
      <c r="GA37" s="27">
        <f t="shared" si="43"/>
        <v>1917</v>
      </c>
      <c r="GB37" s="27">
        <f t="shared" si="43"/>
        <v>1917</v>
      </c>
      <c r="GC37" s="27">
        <f t="shared" si="43"/>
        <v>1917</v>
      </c>
      <c r="GD37" s="27">
        <f t="shared" si="43"/>
        <v>1917</v>
      </c>
      <c r="GE37" s="27">
        <f t="shared" si="43"/>
        <v>1917</v>
      </c>
      <c r="GF37" s="27">
        <f t="shared" si="43"/>
        <v>1917</v>
      </c>
      <c r="GG37" s="27">
        <f t="shared" si="43"/>
        <v>1917</v>
      </c>
      <c r="GH37" s="27">
        <f t="shared" si="43"/>
        <v>1917</v>
      </c>
      <c r="GI37" s="27">
        <f t="shared" si="43"/>
        <v>1917</v>
      </c>
      <c r="GJ37" s="27">
        <f t="shared" si="43"/>
        <v>1917</v>
      </c>
      <c r="GK37" s="27">
        <f t="shared" si="43"/>
        <v>1917</v>
      </c>
      <c r="GL37" s="27">
        <f t="shared" si="43"/>
        <v>1917</v>
      </c>
      <c r="GM37" s="27">
        <f t="shared" si="43"/>
        <v>1917</v>
      </c>
      <c r="GN37" s="27">
        <f t="shared" si="43"/>
        <v>1917</v>
      </c>
      <c r="GO37" s="27">
        <f t="shared" si="43"/>
        <v>1917</v>
      </c>
      <c r="GP37" s="27">
        <f t="shared" si="43"/>
        <v>1917</v>
      </c>
      <c r="GQ37" s="27">
        <f t="shared" si="43"/>
        <v>1917</v>
      </c>
      <c r="GR37" s="27">
        <f t="shared" si="43"/>
        <v>1917</v>
      </c>
      <c r="GS37" s="27">
        <f t="shared" si="43"/>
        <v>1917</v>
      </c>
      <c r="GT37" s="27">
        <f t="shared" si="43"/>
        <v>1917</v>
      </c>
      <c r="GU37" s="27">
        <f t="shared" si="43"/>
        <v>1917</v>
      </c>
      <c r="GV37" s="27">
        <f t="shared" si="43"/>
        <v>1917</v>
      </c>
      <c r="GW37" s="27">
        <f t="shared" ref="GW37:IB37" si="44">GV37+GW17</f>
        <v>1917</v>
      </c>
      <c r="GX37" s="27">
        <f t="shared" si="44"/>
        <v>1917</v>
      </c>
      <c r="GY37" s="27">
        <f t="shared" si="44"/>
        <v>1917</v>
      </c>
      <c r="GZ37" s="27">
        <f t="shared" si="44"/>
        <v>1917</v>
      </c>
      <c r="HA37" s="27">
        <f t="shared" si="44"/>
        <v>1917</v>
      </c>
      <c r="HB37" s="27">
        <f t="shared" si="44"/>
        <v>1917</v>
      </c>
      <c r="HC37" s="27">
        <f t="shared" si="44"/>
        <v>1917</v>
      </c>
      <c r="HD37" s="27">
        <f t="shared" si="44"/>
        <v>1917</v>
      </c>
      <c r="HE37" s="27">
        <f t="shared" si="44"/>
        <v>1917</v>
      </c>
      <c r="HF37" s="27">
        <f t="shared" si="44"/>
        <v>1917</v>
      </c>
      <c r="HG37" s="27">
        <f t="shared" si="44"/>
        <v>1917</v>
      </c>
      <c r="HH37" s="27">
        <f t="shared" si="44"/>
        <v>1917</v>
      </c>
      <c r="HI37" s="27">
        <f t="shared" si="44"/>
        <v>1917</v>
      </c>
      <c r="HJ37" s="27">
        <f t="shared" si="44"/>
        <v>1917</v>
      </c>
      <c r="HK37" s="27">
        <f t="shared" si="44"/>
        <v>1917</v>
      </c>
      <c r="HL37" s="27">
        <f t="shared" si="44"/>
        <v>1917</v>
      </c>
      <c r="HM37" s="27">
        <f t="shared" si="44"/>
        <v>1917</v>
      </c>
      <c r="HN37" s="27">
        <f t="shared" si="44"/>
        <v>1917</v>
      </c>
      <c r="HO37" s="27">
        <f t="shared" si="44"/>
        <v>1917</v>
      </c>
      <c r="HP37" s="27">
        <f t="shared" si="44"/>
        <v>1917</v>
      </c>
      <c r="HQ37" s="27">
        <f t="shared" si="44"/>
        <v>1917</v>
      </c>
      <c r="HR37" s="27">
        <f t="shared" si="44"/>
        <v>1917</v>
      </c>
      <c r="HS37" s="27">
        <f t="shared" si="44"/>
        <v>1917</v>
      </c>
      <c r="HT37" s="27">
        <f t="shared" si="44"/>
        <v>1917</v>
      </c>
      <c r="HU37" s="27">
        <f t="shared" si="44"/>
        <v>1917</v>
      </c>
      <c r="HV37" s="27">
        <f t="shared" si="44"/>
        <v>1917</v>
      </c>
      <c r="HW37" s="27">
        <f t="shared" si="44"/>
        <v>1917</v>
      </c>
      <c r="HX37" s="27">
        <f t="shared" si="44"/>
        <v>1917</v>
      </c>
      <c r="HY37" s="27">
        <f t="shared" si="44"/>
        <v>1917</v>
      </c>
      <c r="HZ37" s="27">
        <f t="shared" si="44"/>
        <v>1917</v>
      </c>
      <c r="IA37" s="27">
        <f t="shared" si="44"/>
        <v>1917</v>
      </c>
      <c r="IB37" s="27">
        <f t="shared" si="44"/>
        <v>1917</v>
      </c>
      <c r="IC37" s="27">
        <f t="shared" ref="IC37:IW37" si="45">IB37+IC17</f>
        <v>1917</v>
      </c>
      <c r="ID37" s="27">
        <f t="shared" si="45"/>
        <v>1917</v>
      </c>
      <c r="IE37" s="27">
        <f t="shared" si="45"/>
        <v>1917</v>
      </c>
      <c r="IF37" s="27">
        <f t="shared" si="45"/>
        <v>1917</v>
      </c>
      <c r="IG37" s="27">
        <f t="shared" si="45"/>
        <v>1917</v>
      </c>
      <c r="IH37" s="27">
        <f t="shared" si="45"/>
        <v>1917</v>
      </c>
      <c r="II37" s="27">
        <f t="shared" si="45"/>
        <v>1917</v>
      </c>
      <c r="IJ37" s="27">
        <f t="shared" si="45"/>
        <v>1917</v>
      </c>
      <c r="IK37" s="27">
        <f t="shared" si="45"/>
        <v>1917</v>
      </c>
      <c r="IL37" s="27">
        <f t="shared" si="45"/>
        <v>1917</v>
      </c>
      <c r="IM37" s="27">
        <f t="shared" si="45"/>
        <v>1917</v>
      </c>
      <c r="IN37" s="27">
        <f t="shared" si="45"/>
        <v>1917</v>
      </c>
      <c r="IO37" s="27">
        <f t="shared" si="45"/>
        <v>1917</v>
      </c>
      <c r="IP37" s="27">
        <f t="shared" si="45"/>
        <v>1917</v>
      </c>
      <c r="IQ37" s="27">
        <f t="shared" si="45"/>
        <v>1917</v>
      </c>
      <c r="IR37" s="27">
        <f t="shared" si="45"/>
        <v>1917</v>
      </c>
      <c r="IS37" s="27">
        <f t="shared" si="45"/>
        <v>1917</v>
      </c>
      <c r="IT37" s="27">
        <f t="shared" si="45"/>
        <v>1917</v>
      </c>
      <c r="IU37" s="27">
        <f t="shared" si="45"/>
        <v>1917</v>
      </c>
      <c r="IV37" s="27">
        <f t="shared" si="45"/>
        <v>1917</v>
      </c>
      <c r="IW37" s="27">
        <f t="shared" si="45"/>
        <v>1917</v>
      </c>
    </row>
    <row r="38" spans="1:258" x14ac:dyDescent="0.25">
      <c r="D38" s="27"/>
      <c r="E38" s="27"/>
      <c r="F38" s="27"/>
      <c r="G38" s="27"/>
      <c r="H38" s="27"/>
      <c r="I38" s="27"/>
      <c r="J38" s="27"/>
      <c r="K38" s="27"/>
      <c r="L38" s="27"/>
      <c r="M38" s="27"/>
      <c r="N38" s="27"/>
      <c r="O38" s="27"/>
      <c r="P38" s="27"/>
      <c r="Q38" s="27"/>
      <c r="R38" s="27"/>
      <c r="S38" s="27"/>
      <c r="T38" s="27"/>
      <c r="U38" s="27"/>
      <c r="V38" s="27"/>
      <c r="W38" s="27"/>
      <c r="X38" s="27"/>
      <c r="Y38" s="27"/>
      <c r="Z38" s="27"/>
      <c r="AA38" s="27"/>
      <c r="AB38" s="27"/>
      <c r="AC38" s="27"/>
      <c r="AD38" s="27"/>
      <c r="AE38" s="27"/>
      <c r="AF38" s="27"/>
      <c r="AG38" s="27"/>
      <c r="AH38" s="27"/>
      <c r="AI38" s="27"/>
      <c r="AJ38" s="27"/>
      <c r="AK38" s="27"/>
      <c r="AL38" s="27"/>
      <c r="AM38" s="27"/>
      <c r="AN38" s="27"/>
      <c r="AO38" s="27"/>
      <c r="AP38" s="27"/>
      <c r="AQ38" s="27"/>
      <c r="AR38" s="27"/>
      <c r="AS38" s="27"/>
      <c r="AT38" s="27"/>
      <c r="AU38" s="27"/>
      <c r="AV38" s="27"/>
      <c r="AW38" s="27"/>
      <c r="AX38" s="27"/>
      <c r="AY38" s="27"/>
      <c r="AZ38" s="27"/>
      <c r="BA38" s="27"/>
      <c r="BB38" s="27"/>
      <c r="BC38" s="27"/>
      <c r="BD38" s="27"/>
      <c r="BE38" s="27"/>
      <c r="BF38" s="27"/>
      <c r="BG38" s="27"/>
      <c r="BH38" s="27"/>
      <c r="BI38" s="27"/>
      <c r="BJ38" s="27"/>
      <c r="BK38" s="27"/>
      <c r="BL38" s="27"/>
      <c r="BM38" s="27"/>
      <c r="BN38" s="27"/>
      <c r="BO38" s="27"/>
      <c r="BP38" s="27"/>
      <c r="BQ38" s="27"/>
      <c r="BR38" s="27"/>
      <c r="BS38" s="27"/>
      <c r="BT38" s="27"/>
      <c r="BU38" s="27"/>
      <c r="BV38" s="27"/>
      <c r="BW38" s="27"/>
      <c r="BX38" s="27"/>
      <c r="BY38" s="27"/>
      <c r="BZ38" s="27"/>
      <c r="CA38" s="27"/>
      <c r="CB38" s="27"/>
      <c r="CC38" s="27"/>
      <c r="CD38" s="27"/>
      <c r="CE38" s="27"/>
      <c r="CF38" s="27"/>
      <c r="CG38" s="27"/>
      <c r="CH38" s="27"/>
      <c r="CI38" s="27"/>
      <c r="CJ38" s="27"/>
      <c r="CK38" s="27"/>
      <c r="CL38" s="27"/>
      <c r="CM38" s="27"/>
      <c r="CN38" s="27"/>
      <c r="CO38" s="27"/>
      <c r="CP38" s="27"/>
      <c r="CQ38" s="27"/>
      <c r="CR38" s="27"/>
      <c r="CS38" s="27"/>
      <c r="CT38" s="27"/>
      <c r="CU38" s="27"/>
      <c r="CV38" s="27"/>
      <c r="CW38" s="27"/>
      <c r="CX38" s="27"/>
      <c r="CY38" s="27"/>
      <c r="CZ38" s="27"/>
      <c r="DA38" s="27"/>
      <c r="DB38" s="27"/>
      <c r="DC38" s="27"/>
      <c r="DD38" s="27"/>
    </row>
    <row r="41" spans="1:258" x14ac:dyDescent="0.25">
      <c r="A41" s="518" t="s">
        <v>143</v>
      </c>
      <c r="C41" s="17" t="s">
        <v>144</v>
      </c>
    </row>
    <row r="45" spans="1:258" x14ac:dyDescent="0.25">
      <c r="C45" s="17"/>
    </row>
    <row r="48" spans="1:258" x14ac:dyDescent="0.25">
      <c r="C48" s="17"/>
    </row>
    <row r="51" spans="3:3" x14ac:dyDescent="0.25">
      <c r="C51" s="17"/>
    </row>
    <row r="54" spans="3:3" x14ac:dyDescent="0.25">
      <c r="C54" s="17"/>
    </row>
    <row r="57" spans="3:3" x14ac:dyDescent="0.25">
      <c r="C57" s="17"/>
    </row>
    <row r="59" spans="3:3" x14ac:dyDescent="0.25">
      <c r="C59" s="517"/>
    </row>
    <row r="60" spans="3:3" x14ac:dyDescent="0.25">
      <c r="C60" s="517"/>
    </row>
    <row r="61" spans="3:3" x14ac:dyDescent="0.25">
      <c r="C61" s="517"/>
    </row>
    <row r="62" spans="3:3" x14ac:dyDescent="0.25">
      <c r="C62" s="517"/>
    </row>
    <row r="63" spans="3:3" x14ac:dyDescent="0.25">
      <c r="C63" s="517"/>
    </row>
    <row r="69" spans="260:298" x14ac:dyDescent="0.25">
      <c r="IZ69" s="523" t="s">
        <v>163</v>
      </c>
      <c r="KL69" s="523" t="s">
        <v>164</v>
      </c>
    </row>
    <row r="70" spans="260:298" x14ac:dyDescent="0.25">
      <c r="IZ70" s="524"/>
      <c r="KL70" s="524"/>
    </row>
    <row r="71" spans="260:298" x14ac:dyDescent="0.25">
      <c r="IZ71" s="523" t="s">
        <v>165</v>
      </c>
      <c r="KL71" s="523" t="s">
        <v>166</v>
      </c>
    </row>
    <row r="72" spans="260:298" x14ac:dyDescent="0.25">
      <c r="IZ72" s="524"/>
      <c r="KL72" s="524"/>
    </row>
    <row r="73" spans="260:298" x14ac:dyDescent="0.25">
      <c r="IZ73" s="523" t="s">
        <v>167</v>
      </c>
      <c r="KL73" s="523" t="s">
        <v>168</v>
      </c>
    </row>
    <row r="74" spans="260:298" x14ac:dyDescent="0.25">
      <c r="IZ74" s="524"/>
      <c r="KL74" s="525"/>
    </row>
    <row r="75" spans="260:298" x14ac:dyDescent="0.25">
      <c r="IZ75" s="523" t="s">
        <v>169</v>
      </c>
      <c r="KL75" s="526" t="s">
        <v>149</v>
      </c>
    </row>
    <row r="76" spans="260:298" x14ac:dyDescent="0.25">
      <c r="IZ76" s="524"/>
      <c r="KL76" s="526" t="s">
        <v>150</v>
      </c>
    </row>
    <row r="77" spans="260:298" x14ac:dyDescent="0.25">
      <c r="IZ77" s="523" t="s">
        <v>170</v>
      </c>
      <c r="KL77" s="524"/>
    </row>
    <row r="78" spans="260:298" x14ac:dyDescent="0.25">
      <c r="IZ78" s="524"/>
      <c r="KL78" s="523" t="s">
        <v>171</v>
      </c>
    </row>
    <row r="79" spans="260:298" x14ac:dyDescent="0.25">
      <c r="IZ79" s="523" t="s">
        <v>172</v>
      </c>
      <c r="KL79" s="527"/>
    </row>
    <row r="80" spans="260:298" x14ac:dyDescent="0.25">
      <c r="IZ80" s="525"/>
      <c r="KL80" s="526" t="s">
        <v>151</v>
      </c>
    </row>
    <row r="81" spans="260:298" x14ac:dyDescent="0.25">
      <c r="IZ81" s="528" t="s">
        <v>173</v>
      </c>
      <c r="KL81" s="526" t="s">
        <v>152</v>
      </c>
    </row>
    <row r="82" spans="260:298" x14ac:dyDescent="0.25">
      <c r="IZ82" s="528" t="s">
        <v>174</v>
      </c>
      <c r="KL82" s="524"/>
    </row>
    <row r="83" spans="260:298" x14ac:dyDescent="0.25">
      <c r="IZ83" s="528" t="s">
        <v>175</v>
      </c>
      <c r="KL83" s="523" t="s">
        <v>176</v>
      </c>
    </row>
    <row r="84" spans="260:298" x14ac:dyDescent="0.25">
      <c r="IZ84" s="528" t="s">
        <v>177</v>
      </c>
      <c r="KL84" s="527"/>
    </row>
    <row r="85" spans="260:298" x14ac:dyDescent="0.25">
      <c r="JA85" s="517"/>
      <c r="KL85" s="526" t="s">
        <v>153</v>
      </c>
    </row>
    <row r="86" spans="260:298" x14ac:dyDescent="0.25">
      <c r="JA86" s="517"/>
      <c r="KL86" s="526" t="s">
        <v>154</v>
      </c>
    </row>
    <row r="87" spans="260:298" x14ac:dyDescent="0.25">
      <c r="JA87" s="517"/>
    </row>
    <row r="88" spans="260:298" x14ac:dyDescent="0.25">
      <c r="JA88" s="517"/>
      <c r="KL88" s="517"/>
    </row>
    <row r="89" spans="260:298" x14ac:dyDescent="0.25">
      <c r="JA89" s="517"/>
      <c r="KL89" s="517"/>
    </row>
  </sheetData>
  <mergeCells count="6">
    <mergeCell ref="A32:A37"/>
    <mergeCell ref="B7:IX7"/>
    <mergeCell ref="B9:IX9"/>
    <mergeCell ref="D10:IX10"/>
    <mergeCell ref="A24:A29"/>
    <mergeCell ref="A11:A23"/>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56C9F-44F4-492B-B88A-E0ED539E7C6A}">
  <sheetPr codeName="Sheet2">
    <tabColor rgb="FF92D050"/>
  </sheetPr>
  <dimension ref="A1:DE58"/>
  <sheetViews>
    <sheetView topLeftCell="CL35" zoomScale="85" zoomScaleNormal="85" workbookViewId="0">
      <selection activeCell="DE56" sqref="DE56"/>
    </sheetView>
  </sheetViews>
  <sheetFormatPr defaultRowHeight="15" x14ac:dyDescent="0.25"/>
  <cols>
    <col min="1" max="1" width="2.85546875" bestFit="1" customWidth="1"/>
    <col min="2" max="2" width="51.7109375" bestFit="1" customWidth="1"/>
    <col min="3" max="3" width="1.85546875" hidden="1" customWidth="1"/>
    <col min="4" max="4" width="1.7109375" hidden="1" customWidth="1"/>
    <col min="5" max="5" width="1.85546875" hidden="1" customWidth="1"/>
    <col min="6" max="6" width="1.7109375" hidden="1" customWidth="1"/>
    <col min="7" max="7" width="1.85546875" hidden="1" customWidth="1"/>
    <col min="8" max="8" width="1.7109375" hidden="1" customWidth="1"/>
    <col min="9" max="10" width="1.85546875" hidden="1" customWidth="1"/>
    <col min="11" max="11" width="1.7109375" hidden="1" customWidth="1"/>
    <col min="12" max="12" width="1.85546875" hidden="1" customWidth="1"/>
    <col min="13" max="13" width="1.7109375" hidden="1" customWidth="1"/>
    <col min="14" max="15" width="1.85546875" hidden="1" customWidth="1"/>
    <col min="16" max="16" width="1.7109375" hidden="1" customWidth="1"/>
    <col min="17" max="17" width="1.85546875" hidden="1" customWidth="1"/>
    <col min="18" max="18" width="1.7109375" hidden="1" customWidth="1"/>
    <col min="19" max="19" width="1.85546875" hidden="1" customWidth="1"/>
    <col min="20" max="20" width="1.7109375" hidden="1" customWidth="1"/>
    <col min="21" max="22" width="1.85546875" hidden="1" customWidth="1"/>
    <col min="23" max="23" width="1.7109375" hidden="1" customWidth="1"/>
    <col min="24" max="24" width="1.85546875" hidden="1" customWidth="1"/>
    <col min="25" max="25" width="1.7109375" hidden="1" customWidth="1"/>
    <col min="26" max="27" width="1.85546875" hidden="1" customWidth="1"/>
    <col min="28" max="28" width="1.7109375" hidden="1" customWidth="1"/>
    <col min="29" max="29" width="1.85546875" hidden="1" customWidth="1"/>
    <col min="30" max="30" width="1.7109375" hidden="1" customWidth="1"/>
    <col min="31" max="31" width="1.85546875" hidden="1" customWidth="1"/>
    <col min="32" max="32" width="1.7109375" hidden="1" customWidth="1"/>
    <col min="33" max="34" width="1.85546875" hidden="1" customWidth="1"/>
    <col min="35" max="35" width="1.7109375" hidden="1" customWidth="1"/>
    <col min="36" max="36" width="1.85546875" hidden="1" customWidth="1"/>
    <col min="37" max="37" width="1.7109375" hidden="1" customWidth="1"/>
    <col min="38" max="39" width="1.85546875" hidden="1" customWidth="1"/>
    <col min="40" max="40" width="1.7109375" hidden="1" customWidth="1"/>
    <col min="41" max="41" width="1.85546875" hidden="1" customWidth="1"/>
    <col min="42" max="42" width="1.7109375" hidden="1" customWidth="1"/>
    <col min="43" max="43" width="1.85546875" hidden="1" customWidth="1"/>
    <col min="44" max="44" width="1.7109375" hidden="1" customWidth="1"/>
    <col min="45" max="46" width="1.85546875" hidden="1" customWidth="1"/>
    <col min="47" max="47" width="1.7109375" hidden="1" customWidth="1"/>
    <col min="48" max="48" width="1.85546875" hidden="1" customWidth="1"/>
    <col min="49" max="49" width="1.7109375" hidden="1" customWidth="1"/>
    <col min="50" max="51" width="1.85546875" hidden="1" customWidth="1"/>
    <col min="52" max="52" width="1.7109375" hidden="1" customWidth="1"/>
    <col min="53" max="53" width="1.85546875" hidden="1" customWidth="1"/>
    <col min="54" max="54" width="1.7109375" hidden="1" customWidth="1"/>
    <col min="55" max="55" width="1.85546875" hidden="1" customWidth="1"/>
    <col min="56" max="56" width="1.7109375" hidden="1" customWidth="1"/>
    <col min="57" max="58" width="1.85546875" hidden="1" customWidth="1"/>
    <col min="59" max="59" width="1.7109375" hidden="1" customWidth="1"/>
    <col min="60" max="60" width="1.85546875" hidden="1" customWidth="1"/>
    <col min="61" max="61" width="1.7109375" hidden="1" customWidth="1"/>
    <col min="62" max="63" width="1.85546875" hidden="1" customWidth="1"/>
    <col min="64" max="64" width="1.7109375" hidden="1" customWidth="1"/>
    <col min="65" max="65" width="1.85546875" hidden="1" customWidth="1"/>
    <col min="66" max="66" width="1.7109375" hidden="1" customWidth="1"/>
    <col min="67" max="67" width="1.85546875" hidden="1" customWidth="1"/>
    <col min="68" max="68" width="1.7109375" hidden="1" customWidth="1"/>
    <col min="69" max="70" width="1.85546875" hidden="1" customWidth="1"/>
    <col min="71" max="71" width="1.7109375" hidden="1" customWidth="1"/>
    <col min="72" max="72" width="1.85546875" hidden="1" customWidth="1"/>
    <col min="73" max="73" width="1.7109375" hidden="1" customWidth="1"/>
    <col min="74" max="75" width="1.85546875" hidden="1" customWidth="1"/>
    <col min="76" max="76" width="1.7109375" hidden="1" customWidth="1"/>
    <col min="77" max="77" width="8" bestFit="1" customWidth="1"/>
    <col min="78" max="78" width="7.5703125" bestFit="1" customWidth="1"/>
    <col min="79" max="79" width="8.28515625" bestFit="1" customWidth="1"/>
    <col min="80" max="80" width="7.28515625" bestFit="1" customWidth="1"/>
    <col min="81" max="81" width="6.5703125" bestFit="1" customWidth="1"/>
    <col min="82" max="82" width="7.85546875" bestFit="1" customWidth="1"/>
    <col min="83" max="83" width="7.5703125" bestFit="1" customWidth="1"/>
    <col min="84" max="84" width="7.42578125" bestFit="1" customWidth="1"/>
    <col min="85" max="85" width="8" bestFit="1" customWidth="1"/>
    <col min="86" max="86" width="7.5703125" bestFit="1" customWidth="1"/>
    <col min="87" max="87" width="7.140625" bestFit="1" customWidth="1"/>
    <col min="88" max="88" width="7.42578125" bestFit="1" customWidth="1"/>
    <col min="89" max="89" width="8" bestFit="1" customWidth="1"/>
    <col min="90" max="90" width="7.5703125" bestFit="1" customWidth="1"/>
    <col min="91" max="91" width="8.28515625" bestFit="1" customWidth="1"/>
    <col min="92" max="92" width="7.28515625" bestFit="1" customWidth="1"/>
    <col min="93" max="93" width="6.5703125" bestFit="1" customWidth="1"/>
    <col min="94" max="94" width="7.85546875" bestFit="1" customWidth="1"/>
    <col min="95" max="95" width="7.5703125" bestFit="1" customWidth="1"/>
    <col min="96" max="96" width="7.42578125" bestFit="1" customWidth="1"/>
    <col min="97" max="97" width="8" bestFit="1" customWidth="1"/>
    <col min="98" max="98" width="7.5703125" bestFit="1" customWidth="1"/>
    <col min="99" max="99" width="7.140625" bestFit="1" customWidth="1"/>
    <col min="100" max="100" width="7.42578125" bestFit="1" customWidth="1"/>
    <col min="101" max="101" width="8" bestFit="1" customWidth="1"/>
    <col min="102" max="102" width="7.5703125" bestFit="1" customWidth="1"/>
    <col min="103" max="103" width="8.28515625" bestFit="1" customWidth="1"/>
    <col min="104" max="104" width="7.28515625" bestFit="1" customWidth="1"/>
    <col min="105" max="105" width="6.5703125" bestFit="1" customWidth="1"/>
    <col min="106" max="106" width="7.85546875" bestFit="1" customWidth="1"/>
  </cols>
  <sheetData>
    <row r="1" spans="1:106" ht="18.75" x14ac:dyDescent="0.3">
      <c r="A1" s="10"/>
      <c r="B1" s="231" t="s">
        <v>296</v>
      </c>
    </row>
    <row r="3" spans="1:106" ht="21" x14ac:dyDescent="0.25">
      <c r="A3" s="552" t="s">
        <v>8</v>
      </c>
      <c r="B3" s="552" t="s">
        <v>8</v>
      </c>
      <c r="C3" s="552" t="s">
        <v>8</v>
      </c>
      <c r="D3" s="552" t="s">
        <v>8</v>
      </c>
      <c r="E3" s="552" t="s">
        <v>8</v>
      </c>
      <c r="F3" s="552" t="s">
        <v>8</v>
      </c>
      <c r="G3" s="552" t="s">
        <v>8</v>
      </c>
      <c r="H3" s="552" t="s">
        <v>8</v>
      </c>
      <c r="I3" s="552" t="s">
        <v>8</v>
      </c>
      <c r="J3" s="552" t="s">
        <v>8</v>
      </c>
      <c r="K3" s="552" t="s">
        <v>8</v>
      </c>
      <c r="L3" s="552" t="s">
        <v>8</v>
      </c>
      <c r="M3" s="552" t="s">
        <v>8</v>
      </c>
      <c r="N3" s="552" t="s">
        <v>8</v>
      </c>
      <c r="O3" s="552" t="s">
        <v>8</v>
      </c>
      <c r="P3" s="552" t="s">
        <v>8</v>
      </c>
      <c r="Q3" s="552" t="s">
        <v>8</v>
      </c>
      <c r="R3" s="552" t="s">
        <v>8</v>
      </c>
      <c r="S3" s="552" t="s">
        <v>8</v>
      </c>
      <c r="T3" s="552" t="s">
        <v>8</v>
      </c>
      <c r="U3" s="552" t="s">
        <v>8</v>
      </c>
      <c r="V3" s="552" t="s">
        <v>8</v>
      </c>
      <c r="W3" s="552" t="s">
        <v>8</v>
      </c>
      <c r="X3" s="552" t="s">
        <v>8</v>
      </c>
      <c r="Y3" s="552" t="s">
        <v>8</v>
      </c>
      <c r="Z3" s="552" t="s">
        <v>8</v>
      </c>
      <c r="AA3" s="552" t="s">
        <v>8</v>
      </c>
      <c r="AB3" s="552" t="s">
        <v>8</v>
      </c>
      <c r="AC3" s="552" t="s">
        <v>8</v>
      </c>
      <c r="AD3" s="552" t="s">
        <v>8</v>
      </c>
      <c r="AE3" s="552" t="s">
        <v>8</v>
      </c>
      <c r="AF3" s="552" t="s">
        <v>8</v>
      </c>
      <c r="AG3" s="552" t="s">
        <v>8</v>
      </c>
      <c r="AH3" s="552" t="s">
        <v>8</v>
      </c>
      <c r="AI3" s="552" t="s">
        <v>8</v>
      </c>
      <c r="AJ3" s="552" t="s">
        <v>8</v>
      </c>
      <c r="AK3" s="552" t="s">
        <v>8</v>
      </c>
      <c r="AL3" s="552" t="s">
        <v>8</v>
      </c>
      <c r="AM3" s="552" t="s">
        <v>8</v>
      </c>
      <c r="AN3" s="552" t="s">
        <v>8</v>
      </c>
      <c r="AO3" s="552" t="s">
        <v>8</v>
      </c>
      <c r="AP3" s="552" t="s">
        <v>8</v>
      </c>
      <c r="AQ3" s="552" t="s">
        <v>8</v>
      </c>
      <c r="AR3" s="552" t="s">
        <v>8</v>
      </c>
      <c r="AS3" s="552" t="s">
        <v>8</v>
      </c>
      <c r="AT3" s="552" t="s">
        <v>8</v>
      </c>
      <c r="AU3" s="552" t="s">
        <v>8</v>
      </c>
      <c r="AV3" s="552" t="s">
        <v>8</v>
      </c>
      <c r="AW3" s="552" t="s">
        <v>8</v>
      </c>
      <c r="AX3" s="552" t="s">
        <v>8</v>
      </c>
      <c r="AY3" s="552" t="s">
        <v>8</v>
      </c>
      <c r="AZ3" s="552" t="s">
        <v>8</v>
      </c>
      <c r="BA3" s="552" t="s">
        <v>8</v>
      </c>
      <c r="BB3" s="552" t="s">
        <v>8</v>
      </c>
      <c r="BC3" s="552" t="s">
        <v>8</v>
      </c>
      <c r="BD3" s="552" t="s">
        <v>8</v>
      </c>
      <c r="BE3" s="552" t="s">
        <v>8</v>
      </c>
      <c r="BF3" s="552" t="s">
        <v>8</v>
      </c>
      <c r="BG3" s="552" t="s">
        <v>8</v>
      </c>
      <c r="BH3" s="552" t="s">
        <v>8</v>
      </c>
      <c r="BI3" s="552" t="s">
        <v>8</v>
      </c>
      <c r="BJ3" s="552" t="s">
        <v>8</v>
      </c>
      <c r="BK3" s="552" t="s">
        <v>8</v>
      </c>
      <c r="BL3" s="552" t="s">
        <v>8</v>
      </c>
      <c r="BM3" s="552" t="s">
        <v>8</v>
      </c>
      <c r="BN3" s="552" t="s">
        <v>8</v>
      </c>
      <c r="BO3" s="552" t="s">
        <v>8</v>
      </c>
      <c r="BP3" s="552" t="s">
        <v>8</v>
      </c>
      <c r="BQ3" s="552" t="s">
        <v>8</v>
      </c>
      <c r="BR3" s="552" t="s">
        <v>8</v>
      </c>
      <c r="BS3" s="552" t="s">
        <v>8</v>
      </c>
      <c r="BT3" s="552" t="s">
        <v>8</v>
      </c>
      <c r="BU3" s="552" t="s">
        <v>8</v>
      </c>
      <c r="BV3" s="552" t="s">
        <v>8</v>
      </c>
      <c r="BW3" s="552" t="s">
        <v>8</v>
      </c>
      <c r="BX3" s="552" t="s">
        <v>8</v>
      </c>
      <c r="BY3" s="552" t="s">
        <v>8</v>
      </c>
      <c r="BZ3" s="552" t="s">
        <v>8</v>
      </c>
      <c r="CA3" s="552" t="s">
        <v>8</v>
      </c>
      <c r="CB3" s="552" t="s">
        <v>8</v>
      </c>
      <c r="CC3" s="552" t="s">
        <v>8</v>
      </c>
      <c r="CD3" s="552" t="s">
        <v>8</v>
      </c>
      <c r="CE3" s="552" t="s">
        <v>8</v>
      </c>
      <c r="CF3" s="552" t="s">
        <v>8</v>
      </c>
      <c r="CG3" s="552" t="s">
        <v>8</v>
      </c>
      <c r="CH3" s="552" t="s">
        <v>8</v>
      </c>
      <c r="CI3" s="552" t="s">
        <v>8</v>
      </c>
      <c r="CJ3" s="552" t="s">
        <v>8</v>
      </c>
      <c r="CK3" s="552" t="s">
        <v>8</v>
      </c>
      <c r="CL3" s="552" t="s">
        <v>8</v>
      </c>
      <c r="CM3" s="552" t="s">
        <v>8</v>
      </c>
      <c r="CN3" s="552" t="s">
        <v>8</v>
      </c>
      <c r="CO3" s="552" t="s">
        <v>8</v>
      </c>
      <c r="CP3" s="552" t="s">
        <v>8</v>
      </c>
      <c r="CQ3" s="552" t="s">
        <v>8</v>
      </c>
      <c r="CR3" s="552" t="s">
        <v>8</v>
      </c>
      <c r="CS3" s="552" t="s">
        <v>8</v>
      </c>
      <c r="CT3" s="552" t="s">
        <v>8</v>
      </c>
      <c r="CU3" s="552" t="s">
        <v>8</v>
      </c>
      <c r="CV3" s="552" t="s">
        <v>8</v>
      </c>
      <c r="CW3" s="552" t="s">
        <v>8</v>
      </c>
      <c r="CX3" s="552" t="s">
        <v>8</v>
      </c>
      <c r="CY3" s="552" t="s">
        <v>8</v>
      </c>
      <c r="CZ3" s="552" t="s">
        <v>8</v>
      </c>
      <c r="DA3" s="552" t="s">
        <v>8</v>
      </c>
      <c r="DB3" s="552" t="s">
        <v>8</v>
      </c>
    </row>
    <row r="5" spans="1:106" ht="16.5" thickBot="1" x14ac:dyDescent="0.3">
      <c r="A5" s="553" t="s">
        <v>7</v>
      </c>
      <c r="B5" s="554" t="s">
        <v>7</v>
      </c>
      <c r="C5" s="554" t="s">
        <v>7</v>
      </c>
      <c r="D5" s="554" t="s">
        <v>7</v>
      </c>
      <c r="E5" s="554" t="s">
        <v>7</v>
      </c>
      <c r="F5" s="554" t="s">
        <v>7</v>
      </c>
      <c r="G5" s="554" t="s">
        <v>7</v>
      </c>
      <c r="H5" s="554" t="s">
        <v>7</v>
      </c>
      <c r="I5" s="554" t="s">
        <v>7</v>
      </c>
      <c r="J5" s="554" t="s">
        <v>7</v>
      </c>
      <c r="K5" s="554" t="s">
        <v>7</v>
      </c>
      <c r="L5" s="554" t="s">
        <v>7</v>
      </c>
      <c r="M5" s="554" t="s">
        <v>7</v>
      </c>
      <c r="N5" s="554" t="s">
        <v>7</v>
      </c>
      <c r="O5" s="554" t="s">
        <v>7</v>
      </c>
      <c r="P5" s="554" t="s">
        <v>7</v>
      </c>
      <c r="Q5" s="554" t="s">
        <v>7</v>
      </c>
      <c r="R5" s="554" t="s">
        <v>7</v>
      </c>
      <c r="S5" s="554" t="s">
        <v>7</v>
      </c>
      <c r="T5" s="554" t="s">
        <v>7</v>
      </c>
      <c r="U5" s="554" t="s">
        <v>7</v>
      </c>
      <c r="V5" s="554" t="s">
        <v>7</v>
      </c>
      <c r="W5" s="554" t="s">
        <v>7</v>
      </c>
      <c r="X5" s="554" t="s">
        <v>7</v>
      </c>
      <c r="Y5" s="554" t="s">
        <v>7</v>
      </c>
      <c r="Z5" s="554" t="s">
        <v>7</v>
      </c>
      <c r="AA5" s="554" t="s">
        <v>7</v>
      </c>
      <c r="AB5" s="554" t="s">
        <v>7</v>
      </c>
      <c r="AC5" s="554" t="s">
        <v>7</v>
      </c>
      <c r="AD5" s="554" t="s">
        <v>7</v>
      </c>
      <c r="AE5" s="554" t="s">
        <v>7</v>
      </c>
      <c r="AF5" s="554" t="s">
        <v>7</v>
      </c>
      <c r="AG5" s="554" t="s">
        <v>7</v>
      </c>
      <c r="AH5" s="554" t="s">
        <v>7</v>
      </c>
      <c r="AI5" s="554" t="s">
        <v>7</v>
      </c>
      <c r="AJ5" s="554" t="s">
        <v>7</v>
      </c>
      <c r="AK5" s="554" t="s">
        <v>7</v>
      </c>
      <c r="AL5" s="554" t="s">
        <v>7</v>
      </c>
      <c r="AM5" s="554" t="s">
        <v>7</v>
      </c>
      <c r="AN5" s="554" t="s">
        <v>7</v>
      </c>
      <c r="AO5" s="554" t="s">
        <v>7</v>
      </c>
      <c r="AP5" s="554" t="s">
        <v>7</v>
      </c>
      <c r="AQ5" s="554" t="s">
        <v>7</v>
      </c>
      <c r="AR5" s="554" t="s">
        <v>7</v>
      </c>
      <c r="AS5" s="554" t="s">
        <v>7</v>
      </c>
      <c r="AT5" s="554" t="s">
        <v>7</v>
      </c>
      <c r="AU5" s="554" t="s">
        <v>7</v>
      </c>
      <c r="AV5" s="554" t="s">
        <v>7</v>
      </c>
      <c r="AW5" s="554" t="s">
        <v>7</v>
      </c>
      <c r="AX5" s="554" t="s">
        <v>7</v>
      </c>
      <c r="AY5" s="554" t="s">
        <v>7</v>
      </c>
      <c r="AZ5" s="554" t="s">
        <v>7</v>
      </c>
      <c r="BA5" s="554" t="s">
        <v>7</v>
      </c>
      <c r="BB5" s="554" t="s">
        <v>7</v>
      </c>
      <c r="BC5" s="554" t="s">
        <v>7</v>
      </c>
      <c r="BD5" s="554" t="s">
        <v>7</v>
      </c>
      <c r="BE5" s="554" t="s">
        <v>7</v>
      </c>
      <c r="BF5" s="554" t="s">
        <v>7</v>
      </c>
      <c r="BG5" s="554" t="s">
        <v>7</v>
      </c>
      <c r="BH5" s="554" t="s">
        <v>7</v>
      </c>
      <c r="BI5" s="554" t="s">
        <v>7</v>
      </c>
      <c r="BJ5" s="554" t="s">
        <v>7</v>
      </c>
      <c r="BK5" s="554" t="s">
        <v>7</v>
      </c>
      <c r="BL5" s="554" t="s">
        <v>7</v>
      </c>
      <c r="BM5" s="554" t="s">
        <v>7</v>
      </c>
      <c r="BN5" s="554" t="s">
        <v>7</v>
      </c>
      <c r="BO5" s="554" t="s">
        <v>7</v>
      </c>
      <c r="BP5" s="554" t="s">
        <v>7</v>
      </c>
      <c r="BQ5" s="554" t="s">
        <v>7</v>
      </c>
      <c r="BR5" s="554" t="s">
        <v>7</v>
      </c>
      <c r="BS5" s="554" t="s">
        <v>7</v>
      </c>
      <c r="BT5" s="554" t="s">
        <v>7</v>
      </c>
      <c r="BU5" s="554" t="s">
        <v>7</v>
      </c>
      <c r="BV5" s="554" t="s">
        <v>7</v>
      </c>
      <c r="BW5" s="554" t="s">
        <v>7</v>
      </c>
      <c r="BX5" s="554" t="s">
        <v>7</v>
      </c>
      <c r="BY5" s="554" t="s">
        <v>7</v>
      </c>
      <c r="BZ5" s="554" t="s">
        <v>7</v>
      </c>
      <c r="CA5" s="554" t="s">
        <v>7</v>
      </c>
      <c r="CB5" s="554" t="s">
        <v>7</v>
      </c>
      <c r="CC5" s="554" t="s">
        <v>7</v>
      </c>
      <c r="CD5" s="554" t="s">
        <v>7</v>
      </c>
      <c r="CE5" s="554" t="s">
        <v>7</v>
      </c>
      <c r="CF5" s="554" t="s">
        <v>7</v>
      </c>
      <c r="CG5" s="554" t="s">
        <v>7</v>
      </c>
      <c r="CH5" s="554" t="s">
        <v>7</v>
      </c>
      <c r="CI5" s="554" t="s">
        <v>7</v>
      </c>
      <c r="CJ5" s="554" t="s">
        <v>7</v>
      </c>
      <c r="CK5" s="554" t="s">
        <v>7</v>
      </c>
      <c r="CL5" s="554" t="s">
        <v>7</v>
      </c>
      <c r="CM5" s="554" t="s">
        <v>7</v>
      </c>
      <c r="CN5" s="554" t="s">
        <v>7</v>
      </c>
      <c r="CO5" s="554" t="s">
        <v>7</v>
      </c>
      <c r="CP5" s="554" t="s">
        <v>7</v>
      </c>
      <c r="CQ5" s="554" t="s">
        <v>7</v>
      </c>
      <c r="CR5" s="554" t="s">
        <v>7</v>
      </c>
      <c r="CS5" s="554" t="s">
        <v>7</v>
      </c>
      <c r="CT5" s="554" t="s">
        <v>7</v>
      </c>
      <c r="CU5" s="554" t="s">
        <v>7</v>
      </c>
      <c r="CV5" s="554" t="s">
        <v>7</v>
      </c>
      <c r="CW5" s="554" t="s">
        <v>7</v>
      </c>
      <c r="CX5" s="554" t="s">
        <v>7</v>
      </c>
      <c r="CY5" s="554" t="s">
        <v>7</v>
      </c>
      <c r="CZ5" s="554" t="s">
        <v>7</v>
      </c>
      <c r="DA5" s="554" t="s">
        <v>7</v>
      </c>
      <c r="DB5" s="568" t="s">
        <v>7</v>
      </c>
    </row>
    <row r="6" spans="1:106" ht="16.5" thickBot="1" x14ac:dyDescent="0.3">
      <c r="A6" s="7"/>
      <c r="B6" s="7"/>
      <c r="C6" s="569" t="s">
        <v>3</v>
      </c>
      <c r="D6" s="563" t="s">
        <v>3</v>
      </c>
      <c r="E6" s="563" t="s">
        <v>3</v>
      </c>
      <c r="F6" s="563" t="s">
        <v>3</v>
      </c>
      <c r="G6" s="563" t="s">
        <v>3</v>
      </c>
      <c r="H6" s="563" t="s">
        <v>3</v>
      </c>
      <c r="I6" s="563" t="s">
        <v>3</v>
      </c>
      <c r="J6" s="563" t="s">
        <v>3</v>
      </c>
      <c r="K6" s="563" t="s">
        <v>3</v>
      </c>
      <c r="L6" s="563" t="s">
        <v>3</v>
      </c>
      <c r="M6" s="563" t="s">
        <v>3</v>
      </c>
      <c r="N6" s="563" t="s">
        <v>3</v>
      </c>
      <c r="O6" s="563" t="s">
        <v>3</v>
      </c>
      <c r="P6" s="563" t="s">
        <v>3</v>
      </c>
      <c r="Q6" s="563" t="s">
        <v>3</v>
      </c>
      <c r="R6" s="563" t="s">
        <v>3</v>
      </c>
      <c r="S6" s="563" t="s">
        <v>3</v>
      </c>
      <c r="T6" s="563" t="s">
        <v>3</v>
      </c>
      <c r="U6" s="563" t="s">
        <v>3</v>
      </c>
      <c r="V6" s="563" t="s">
        <v>3</v>
      </c>
      <c r="W6" s="563" t="s">
        <v>3</v>
      </c>
      <c r="X6" s="563" t="s">
        <v>3</v>
      </c>
      <c r="Y6" s="563" t="s">
        <v>3</v>
      </c>
      <c r="Z6" s="563" t="s">
        <v>3</v>
      </c>
      <c r="AA6" s="563" t="s">
        <v>3</v>
      </c>
      <c r="AB6" s="563" t="s">
        <v>3</v>
      </c>
      <c r="AC6" s="563" t="s">
        <v>3</v>
      </c>
      <c r="AD6" s="563" t="s">
        <v>3</v>
      </c>
      <c r="AE6" s="563" t="s">
        <v>3</v>
      </c>
      <c r="AF6" s="563" t="s">
        <v>3</v>
      </c>
      <c r="AG6" s="563" t="s">
        <v>3</v>
      </c>
      <c r="AH6" s="563" t="s">
        <v>3</v>
      </c>
      <c r="AI6" s="563" t="s">
        <v>3</v>
      </c>
      <c r="AJ6" s="563" t="s">
        <v>3</v>
      </c>
      <c r="AK6" s="563" t="s">
        <v>3</v>
      </c>
      <c r="AL6" s="563" t="s">
        <v>3</v>
      </c>
      <c r="AM6" s="563" t="s">
        <v>3</v>
      </c>
      <c r="AN6" s="563" t="s">
        <v>3</v>
      </c>
      <c r="AO6" s="563" t="s">
        <v>3</v>
      </c>
      <c r="AP6" s="563" t="s">
        <v>3</v>
      </c>
      <c r="AQ6" s="563" t="s">
        <v>3</v>
      </c>
      <c r="AR6" s="563" t="s">
        <v>3</v>
      </c>
      <c r="AS6" s="563" t="s">
        <v>3</v>
      </c>
      <c r="AT6" s="563" t="s">
        <v>3</v>
      </c>
      <c r="AU6" s="563" t="s">
        <v>3</v>
      </c>
      <c r="AV6" s="563" t="s">
        <v>3</v>
      </c>
      <c r="AW6" s="563" t="s">
        <v>3</v>
      </c>
      <c r="AX6" s="563" t="s">
        <v>3</v>
      </c>
      <c r="AY6" s="563" t="s">
        <v>3</v>
      </c>
      <c r="AZ6" s="563" t="s">
        <v>3</v>
      </c>
      <c r="BA6" s="563" t="s">
        <v>3</v>
      </c>
      <c r="BB6" s="563" t="s">
        <v>3</v>
      </c>
      <c r="BC6" s="563" t="s">
        <v>3</v>
      </c>
      <c r="BD6" s="563" t="s">
        <v>3</v>
      </c>
      <c r="BE6" s="563" t="s">
        <v>3</v>
      </c>
      <c r="BF6" s="563" t="s">
        <v>3</v>
      </c>
      <c r="BG6" s="563" t="s">
        <v>3</v>
      </c>
      <c r="BH6" s="563" t="s">
        <v>3</v>
      </c>
      <c r="BI6" s="563" t="s">
        <v>3</v>
      </c>
      <c r="BJ6" s="563" t="s">
        <v>3</v>
      </c>
      <c r="BK6" s="563" t="s">
        <v>3</v>
      </c>
      <c r="BL6" s="563" t="s">
        <v>3</v>
      </c>
      <c r="BM6" s="563" t="s">
        <v>3</v>
      </c>
      <c r="BN6" s="563" t="s">
        <v>3</v>
      </c>
      <c r="BO6" s="563" t="s">
        <v>3</v>
      </c>
      <c r="BP6" s="563" t="s">
        <v>3</v>
      </c>
      <c r="BQ6" s="563" t="s">
        <v>3</v>
      </c>
      <c r="BR6" s="563" t="s">
        <v>3</v>
      </c>
      <c r="BS6" s="563" t="s">
        <v>3</v>
      </c>
      <c r="BT6" s="563" t="s">
        <v>3</v>
      </c>
      <c r="BU6" s="563" t="s">
        <v>3</v>
      </c>
      <c r="BV6" s="563" t="s">
        <v>3</v>
      </c>
      <c r="BW6" s="563" t="s">
        <v>3</v>
      </c>
      <c r="BX6" s="563" t="s">
        <v>3</v>
      </c>
      <c r="BY6" s="563" t="s">
        <v>3</v>
      </c>
      <c r="BZ6" s="563" t="s">
        <v>3</v>
      </c>
      <c r="CA6" s="563" t="s">
        <v>3</v>
      </c>
      <c r="CB6" s="563" t="s">
        <v>3</v>
      </c>
      <c r="CC6" s="563" t="s">
        <v>3</v>
      </c>
      <c r="CD6" s="563" t="s">
        <v>3</v>
      </c>
      <c r="CE6" s="563" t="s">
        <v>3</v>
      </c>
      <c r="CF6" s="563" t="s">
        <v>3</v>
      </c>
      <c r="CG6" s="563" t="s">
        <v>3</v>
      </c>
      <c r="CH6" s="563" t="s">
        <v>3</v>
      </c>
      <c r="CI6" s="563" t="s">
        <v>3</v>
      </c>
      <c r="CJ6" s="563" t="s">
        <v>3</v>
      </c>
      <c r="CK6" s="563" t="s">
        <v>3</v>
      </c>
      <c r="CL6" s="563" t="s">
        <v>3</v>
      </c>
      <c r="CM6" s="563" t="s">
        <v>3</v>
      </c>
      <c r="CN6" s="563" t="s">
        <v>3</v>
      </c>
      <c r="CO6" s="563" t="s">
        <v>3</v>
      </c>
      <c r="CP6" s="563" t="s">
        <v>3</v>
      </c>
      <c r="CQ6" s="563" t="s">
        <v>3</v>
      </c>
      <c r="CR6" s="563" t="s">
        <v>3</v>
      </c>
      <c r="CS6" s="563" t="s">
        <v>3</v>
      </c>
      <c r="CT6" s="563" t="s">
        <v>3</v>
      </c>
      <c r="CU6" s="563" t="s">
        <v>3</v>
      </c>
      <c r="CV6" s="563" t="s">
        <v>3</v>
      </c>
      <c r="CW6" s="563" t="s">
        <v>3</v>
      </c>
      <c r="CX6" s="563" t="s">
        <v>3</v>
      </c>
      <c r="CY6" s="563" t="s">
        <v>3</v>
      </c>
      <c r="CZ6" s="563" t="s">
        <v>3</v>
      </c>
      <c r="DA6" s="563" t="s">
        <v>3</v>
      </c>
      <c r="DB6" s="570" t="s">
        <v>3</v>
      </c>
    </row>
    <row r="7" spans="1:106" ht="16.5" thickBot="1" x14ac:dyDescent="0.3">
      <c r="A7" s="7"/>
      <c r="B7" s="7"/>
      <c r="C7" s="50">
        <v>43101</v>
      </c>
      <c r="D7" s="2">
        <v>43132</v>
      </c>
      <c r="E7" s="2">
        <v>43160</v>
      </c>
      <c r="F7" s="2">
        <v>43191</v>
      </c>
      <c r="G7" s="2">
        <v>43221</v>
      </c>
      <c r="H7" s="2">
        <v>43252</v>
      </c>
      <c r="I7" s="2">
        <v>43282</v>
      </c>
      <c r="J7" s="2">
        <v>43313</v>
      </c>
      <c r="K7" s="2">
        <v>43344</v>
      </c>
      <c r="L7" s="2">
        <v>43374</v>
      </c>
      <c r="M7" s="2">
        <v>43405</v>
      </c>
      <c r="N7" s="2">
        <v>43435</v>
      </c>
      <c r="O7" s="2">
        <v>43466</v>
      </c>
      <c r="P7" s="2">
        <v>43497</v>
      </c>
      <c r="Q7" s="2">
        <v>43525</v>
      </c>
      <c r="R7" s="2">
        <v>43556</v>
      </c>
      <c r="S7" s="2">
        <v>43586</v>
      </c>
      <c r="T7" s="2">
        <v>43617</v>
      </c>
      <c r="U7" s="2">
        <v>43647</v>
      </c>
      <c r="V7" s="2">
        <v>43678</v>
      </c>
      <c r="W7" s="2">
        <v>43709</v>
      </c>
      <c r="X7" s="2">
        <v>43739</v>
      </c>
      <c r="Y7" s="2">
        <v>43770</v>
      </c>
      <c r="Z7" s="2">
        <v>43800</v>
      </c>
      <c r="AA7" s="2">
        <v>43831</v>
      </c>
      <c r="AB7" s="2">
        <v>43862</v>
      </c>
      <c r="AC7" s="2">
        <v>43891</v>
      </c>
      <c r="AD7" s="2">
        <v>43922</v>
      </c>
      <c r="AE7" s="2">
        <v>43952</v>
      </c>
      <c r="AF7" s="2">
        <v>43983</v>
      </c>
      <c r="AG7" s="2">
        <v>44013</v>
      </c>
      <c r="AH7" s="2">
        <v>44044</v>
      </c>
      <c r="AI7" s="2">
        <v>44075</v>
      </c>
      <c r="AJ7" s="2">
        <v>44105</v>
      </c>
      <c r="AK7" s="2">
        <v>44136</v>
      </c>
      <c r="AL7" s="2">
        <v>44166</v>
      </c>
      <c r="AM7" s="2">
        <v>44197</v>
      </c>
      <c r="AN7" s="2">
        <v>44228</v>
      </c>
      <c r="AO7" s="2">
        <v>44256</v>
      </c>
      <c r="AP7" s="2">
        <v>44287</v>
      </c>
      <c r="AQ7" s="2">
        <v>44317</v>
      </c>
      <c r="AR7" s="2">
        <v>44348</v>
      </c>
      <c r="AS7" s="2">
        <v>44378</v>
      </c>
      <c r="AT7" s="2">
        <v>44409</v>
      </c>
      <c r="AU7" s="2">
        <v>44440</v>
      </c>
      <c r="AV7" s="2">
        <v>44470</v>
      </c>
      <c r="AW7" s="2">
        <v>44501</v>
      </c>
      <c r="AX7" s="2">
        <v>44531</v>
      </c>
      <c r="AY7" s="2">
        <v>44562</v>
      </c>
      <c r="AZ7" s="2">
        <v>44593</v>
      </c>
      <c r="BA7" s="2">
        <v>44621</v>
      </c>
      <c r="BB7" s="2">
        <v>44652</v>
      </c>
      <c r="BC7" s="2">
        <v>44682</v>
      </c>
      <c r="BD7" s="2">
        <v>44713</v>
      </c>
      <c r="BE7" s="2">
        <v>44743</v>
      </c>
      <c r="BF7" s="2">
        <v>44774</v>
      </c>
      <c r="BG7" s="2">
        <v>44805</v>
      </c>
      <c r="BH7" s="2">
        <v>44835</v>
      </c>
      <c r="BI7" s="2">
        <v>44866</v>
      </c>
      <c r="BJ7" s="2">
        <v>44896</v>
      </c>
      <c r="BK7" s="2">
        <v>44927</v>
      </c>
      <c r="BL7" s="2">
        <v>44958</v>
      </c>
      <c r="BM7" s="2">
        <v>44986</v>
      </c>
      <c r="BN7" s="2">
        <v>45017</v>
      </c>
      <c r="BO7" s="2">
        <v>45047</v>
      </c>
      <c r="BP7" s="2">
        <v>45078</v>
      </c>
      <c r="BQ7" s="2">
        <v>45108</v>
      </c>
      <c r="BR7" s="2">
        <v>45139</v>
      </c>
      <c r="BS7" s="2">
        <v>45170</v>
      </c>
      <c r="BT7" s="2">
        <v>45200</v>
      </c>
      <c r="BU7" s="2">
        <v>45231</v>
      </c>
      <c r="BV7" s="2">
        <v>45261</v>
      </c>
      <c r="BW7" s="2">
        <v>45292</v>
      </c>
      <c r="BX7" s="2">
        <v>45323</v>
      </c>
      <c r="BY7" s="2">
        <v>45352</v>
      </c>
      <c r="BZ7" s="2">
        <v>45383</v>
      </c>
      <c r="CA7" s="2">
        <v>45413</v>
      </c>
      <c r="CB7" s="2">
        <v>45444</v>
      </c>
      <c r="CC7" s="2">
        <v>45474</v>
      </c>
      <c r="CD7" s="2">
        <v>45505</v>
      </c>
      <c r="CE7" s="2">
        <v>45536</v>
      </c>
      <c r="CF7" s="2">
        <v>45566</v>
      </c>
      <c r="CG7" s="2">
        <v>45597</v>
      </c>
      <c r="CH7" s="2">
        <v>45627</v>
      </c>
      <c r="CI7" s="2">
        <v>45658</v>
      </c>
      <c r="CJ7" s="2">
        <v>45689</v>
      </c>
      <c r="CK7" s="32">
        <v>45717</v>
      </c>
      <c r="CL7" s="2">
        <v>45748</v>
      </c>
      <c r="CM7" s="2">
        <v>45778</v>
      </c>
      <c r="CN7" s="2">
        <v>45809</v>
      </c>
      <c r="CO7" s="2">
        <v>45839</v>
      </c>
      <c r="CP7" s="2">
        <v>45870</v>
      </c>
      <c r="CQ7" s="2">
        <v>45901</v>
      </c>
      <c r="CR7" s="2">
        <v>45931</v>
      </c>
      <c r="CS7" s="2">
        <v>45962</v>
      </c>
      <c r="CT7" s="2">
        <v>45992</v>
      </c>
      <c r="CU7" s="2">
        <v>46023</v>
      </c>
      <c r="CV7" s="2">
        <v>46054</v>
      </c>
      <c r="CW7" s="2">
        <v>46082</v>
      </c>
      <c r="CX7" s="2">
        <v>46113</v>
      </c>
      <c r="CY7" s="2">
        <v>46143</v>
      </c>
      <c r="CZ7" s="2">
        <v>46174</v>
      </c>
      <c r="DA7" s="2">
        <v>46204</v>
      </c>
      <c r="DB7" s="31">
        <v>46235</v>
      </c>
    </row>
    <row r="8" spans="1:106" x14ac:dyDescent="0.25">
      <c r="A8" s="571" t="s">
        <v>0</v>
      </c>
      <c r="B8" s="9" t="s">
        <v>66</v>
      </c>
      <c r="C8" s="5">
        <v>1</v>
      </c>
      <c r="D8" s="5" t="s">
        <v>9</v>
      </c>
      <c r="E8" s="5" t="s">
        <v>9</v>
      </c>
      <c r="F8" s="5">
        <v>1</v>
      </c>
      <c r="G8" s="5" t="s">
        <v>9</v>
      </c>
      <c r="H8" s="5" t="s">
        <v>9</v>
      </c>
      <c r="I8" s="5">
        <v>2</v>
      </c>
      <c r="J8" s="5">
        <v>3</v>
      </c>
      <c r="K8" s="5">
        <v>2</v>
      </c>
      <c r="L8" s="5">
        <v>1</v>
      </c>
      <c r="M8" s="5">
        <v>3</v>
      </c>
      <c r="N8" s="5">
        <v>3</v>
      </c>
      <c r="O8" s="5">
        <v>2</v>
      </c>
      <c r="P8" s="5">
        <v>2</v>
      </c>
      <c r="Q8" s="5">
        <v>4</v>
      </c>
      <c r="R8" s="5">
        <v>4</v>
      </c>
      <c r="S8" s="5">
        <v>0</v>
      </c>
      <c r="T8" s="5">
        <v>2</v>
      </c>
      <c r="U8" s="5">
        <v>3</v>
      </c>
      <c r="V8" s="5">
        <v>1</v>
      </c>
      <c r="W8" s="5">
        <v>3</v>
      </c>
      <c r="X8" s="5">
        <v>7</v>
      </c>
      <c r="Y8" s="5">
        <v>3</v>
      </c>
      <c r="Z8" s="5">
        <v>5</v>
      </c>
      <c r="AA8" s="5">
        <v>7</v>
      </c>
      <c r="AB8" s="5">
        <v>19</v>
      </c>
      <c r="AC8" s="5">
        <v>12</v>
      </c>
      <c r="AD8" s="5">
        <v>2</v>
      </c>
      <c r="AE8" s="5">
        <v>6</v>
      </c>
      <c r="AF8" s="5">
        <v>2</v>
      </c>
      <c r="AG8" s="5" t="s">
        <v>9</v>
      </c>
      <c r="AH8" s="5" t="s">
        <v>9</v>
      </c>
      <c r="AI8" s="5">
        <v>4</v>
      </c>
      <c r="AJ8" s="5">
        <v>11</v>
      </c>
      <c r="AK8" s="5">
        <v>5</v>
      </c>
      <c r="AL8" s="5">
        <v>18</v>
      </c>
      <c r="AM8" s="5">
        <v>24</v>
      </c>
      <c r="AN8" s="5">
        <v>26</v>
      </c>
      <c r="AO8" s="5">
        <v>20</v>
      </c>
      <c r="AP8" s="5">
        <v>19</v>
      </c>
      <c r="AQ8" s="5">
        <v>18</v>
      </c>
      <c r="AR8" s="5">
        <v>52</v>
      </c>
      <c r="AS8" s="5">
        <v>23</v>
      </c>
      <c r="AT8" s="5">
        <v>16</v>
      </c>
      <c r="AU8" s="5">
        <v>13</v>
      </c>
      <c r="AV8" s="5">
        <v>15</v>
      </c>
      <c r="AW8" s="5">
        <v>22</v>
      </c>
      <c r="AX8" s="5">
        <v>23</v>
      </c>
      <c r="AY8" s="5">
        <v>21</v>
      </c>
      <c r="AZ8" s="5">
        <v>15</v>
      </c>
      <c r="BA8" s="5">
        <v>33</v>
      </c>
      <c r="BB8" s="5">
        <v>27</v>
      </c>
      <c r="BC8" s="5">
        <v>19</v>
      </c>
      <c r="BD8" s="5">
        <v>11</v>
      </c>
      <c r="BE8" s="5">
        <v>12</v>
      </c>
      <c r="BF8" s="5">
        <v>17</v>
      </c>
      <c r="BG8" s="5">
        <v>16</v>
      </c>
      <c r="BH8" s="5">
        <v>28</v>
      </c>
      <c r="BI8" s="5">
        <v>18</v>
      </c>
      <c r="BJ8" s="5">
        <v>8</v>
      </c>
      <c r="BK8" s="5">
        <v>9</v>
      </c>
      <c r="BL8" s="5">
        <v>4</v>
      </c>
      <c r="BM8" s="5">
        <v>11</v>
      </c>
      <c r="BN8" s="5">
        <v>5</v>
      </c>
      <c r="BO8" s="5">
        <v>10</v>
      </c>
      <c r="BP8" s="5">
        <v>8</v>
      </c>
      <c r="BQ8" s="5">
        <v>28</v>
      </c>
      <c r="BR8" s="5">
        <v>21</v>
      </c>
      <c r="BS8" s="5">
        <v>24</v>
      </c>
      <c r="BT8" s="5">
        <v>21</v>
      </c>
      <c r="BU8" s="5">
        <v>37</v>
      </c>
      <c r="BV8" s="5">
        <v>13</v>
      </c>
      <c r="BW8" s="5">
        <v>11</v>
      </c>
      <c r="BX8" s="5">
        <v>16</v>
      </c>
      <c r="BY8" s="5">
        <v>26</v>
      </c>
      <c r="BZ8" s="5">
        <v>12</v>
      </c>
      <c r="CA8" s="5">
        <v>18</v>
      </c>
      <c r="CB8" s="5">
        <v>14</v>
      </c>
      <c r="CC8" s="5">
        <v>10</v>
      </c>
      <c r="CD8" s="5">
        <v>13</v>
      </c>
      <c r="CE8" s="5">
        <v>2</v>
      </c>
      <c r="CF8" s="5">
        <v>4</v>
      </c>
      <c r="CG8" s="5">
        <v>1</v>
      </c>
      <c r="CH8" s="5">
        <v>2</v>
      </c>
      <c r="CI8" s="5">
        <v>1</v>
      </c>
      <c r="CJ8" s="5">
        <v>1</v>
      </c>
      <c r="CK8" s="5">
        <v>0</v>
      </c>
      <c r="CL8" s="5" t="s">
        <v>9</v>
      </c>
      <c r="CM8" s="5" t="s">
        <v>9</v>
      </c>
      <c r="CN8" s="5" t="s">
        <v>9</v>
      </c>
      <c r="CO8" s="5" t="s">
        <v>9</v>
      </c>
      <c r="CP8" s="5" t="s">
        <v>9</v>
      </c>
      <c r="CQ8" s="5" t="s">
        <v>9</v>
      </c>
      <c r="CR8" s="5" t="s">
        <v>9</v>
      </c>
      <c r="CS8" s="5" t="s">
        <v>9</v>
      </c>
      <c r="CT8" s="5" t="s">
        <v>9</v>
      </c>
      <c r="CU8" s="5" t="s">
        <v>9</v>
      </c>
      <c r="CV8" s="5" t="s">
        <v>9</v>
      </c>
      <c r="CW8" s="5" t="s">
        <v>9</v>
      </c>
      <c r="CX8" s="5" t="s">
        <v>9</v>
      </c>
      <c r="CY8" s="5" t="s">
        <v>9</v>
      </c>
      <c r="CZ8" s="5" t="s">
        <v>9</v>
      </c>
      <c r="DA8" s="5" t="s">
        <v>9</v>
      </c>
      <c r="DB8" s="13" t="s">
        <v>9</v>
      </c>
    </row>
    <row r="9" spans="1:106" x14ac:dyDescent="0.25">
      <c r="A9" s="572" t="s">
        <v>0</v>
      </c>
      <c r="B9" s="11" t="s">
        <v>65</v>
      </c>
      <c r="C9" s="1" t="s">
        <v>9</v>
      </c>
      <c r="D9" s="1" t="s">
        <v>9</v>
      </c>
      <c r="E9" s="1" t="s">
        <v>9</v>
      </c>
      <c r="F9" s="1" t="s">
        <v>9</v>
      </c>
      <c r="G9" s="1" t="s">
        <v>9</v>
      </c>
      <c r="H9" s="1" t="s">
        <v>9</v>
      </c>
      <c r="I9" s="1" t="s">
        <v>9</v>
      </c>
      <c r="J9" s="1" t="s">
        <v>9</v>
      </c>
      <c r="K9" s="1" t="s">
        <v>9</v>
      </c>
      <c r="L9" s="1" t="s">
        <v>9</v>
      </c>
      <c r="M9" s="1" t="s">
        <v>9</v>
      </c>
      <c r="N9" s="1" t="s">
        <v>9</v>
      </c>
      <c r="O9" s="1" t="s">
        <v>9</v>
      </c>
      <c r="P9" s="1" t="s">
        <v>9</v>
      </c>
      <c r="Q9" s="1" t="s">
        <v>9</v>
      </c>
      <c r="R9" s="1" t="s">
        <v>9</v>
      </c>
      <c r="S9" s="1" t="s">
        <v>9</v>
      </c>
      <c r="T9" s="1" t="s">
        <v>9</v>
      </c>
      <c r="U9" s="1" t="s">
        <v>9</v>
      </c>
      <c r="V9" s="1" t="s">
        <v>9</v>
      </c>
      <c r="W9" s="1" t="s">
        <v>9</v>
      </c>
      <c r="X9" s="1" t="s">
        <v>9</v>
      </c>
      <c r="Y9" s="1" t="s">
        <v>9</v>
      </c>
      <c r="Z9" s="1" t="s">
        <v>9</v>
      </c>
      <c r="AA9" s="1" t="s">
        <v>9</v>
      </c>
      <c r="AB9" s="1" t="s">
        <v>9</v>
      </c>
      <c r="AC9" s="1" t="s">
        <v>9</v>
      </c>
      <c r="AD9" s="1" t="s">
        <v>9</v>
      </c>
      <c r="AE9" s="1" t="s">
        <v>9</v>
      </c>
      <c r="AF9" s="1" t="s">
        <v>9</v>
      </c>
      <c r="AG9" s="1" t="s">
        <v>9</v>
      </c>
      <c r="AH9" s="1" t="s">
        <v>9</v>
      </c>
      <c r="AI9" s="1" t="s">
        <v>9</v>
      </c>
      <c r="AJ9" s="1" t="s">
        <v>9</v>
      </c>
      <c r="AK9" s="1" t="s">
        <v>9</v>
      </c>
      <c r="AL9" s="1" t="s">
        <v>9</v>
      </c>
      <c r="AM9" s="1" t="s">
        <v>9</v>
      </c>
      <c r="AN9" s="1" t="s">
        <v>9</v>
      </c>
      <c r="AO9" s="1" t="s">
        <v>9</v>
      </c>
      <c r="AP9" s="1" t="s">
        <v>9</v>
      </c>
      <c r="AQ9" s="1" t="s">
        <v>9</v>
      </c>
      <c r="AR9" s="1" t="s">
        <v>9</v>
      </c>
      <c r="AS9" s="1" t="s">
        <v>9</v>
      </c>
      <c r="AT9" s="1" t="s">
        <v>9</v>
      </c>
      <c r="AU9" s="1" t="s">
        <v>9</v>
      </c>
      <c r="AV9" s="1" t="s">
        <v>9</v>
      </c>
      <c r="AW9" s="1" t="s">
        <v>9</v>
      </c>
      <c r="AX9" s="1" t="s">
        <v>9</v>
      </c>
      <c r="AY9" s="1" t="s">
        <v>9</v>
      </c>
      <c r="AZ9" s="1" t="s">
        <v>9</v>
      </c>
      <c r="BA9" s="1" t="s">
        <v>9</v>
      </c>
      <c r="BB9" s="1" t="s">
        <v>9</v>
      </c>
      <c r="BC9" s="1" t="s">
        <v>9</v>
      </c>
      <c r="BD9" s="1" t="s">
        <v>9</v>
      </c>
      <c r="BE9" s="1" t="s">
        <v>9</v>
      </c>
      <c r="BF9" s="1" t="s">
        <v>9</v>
      </c>
      <c r="BG9" s="1" t="s">
        <v>9</v>
      </c>
      <c r="BH9" s="1" t="s">
        <v>9</v>
      </c>
      <c r="BI9" s="1" t="s">
        <v>9</v>
      </c>
      <c r="BJ9" s="1" t="s">
        <v>9</v>
      </c>
      <c r="BK9" s="1" t="s">
        <v>9</v>
      </c>
      <c r="BL9" s="1" t="s">
        <v>9</v>
      </c>
      <c r="BM9" s="1" t="s">
        <v>9</v>
      </c>
      <c r="BN9" s="1" t="s">
        <v>9</v>
      </c>
      <c r="BO9" s="1" t="s">
        <v>9</v>
      </c>
      <c r="BP9" s="1" t="s">
        <v>9</v>
      </c>
      <c r="BQ9" s="1" t="s">
        <v>9</v>
      </c>
      <c r="BR9" s="1" t="s">
        <v>9</v>
      </c>
      <c r="BS9" s="1" t="s">
        <v>9</v>
      </c>
      <c r="BT9" s="1" t="s">
        <v>9</v>
      </c>
      <c r="BU9" s="1" t="s">
        <v>9</v>
      </c>
      <c r="BV9" s="1" t="s">
        <v>9</v>
      </c>
      <c r="BW9" s="1" t="s">
        <v>9</v>
      </c>
      <c r="BX9" s="1" t="s">
        <v>9</v>
      </c>
      <c r="BY9" s="1" t="s">
        <v>9</v>
      </c>
      <c r="BZ9" s="1" t="s">
        <v>9</v>
      </c>
      <c r="CA9" s="1" t="s">
        <v>9</v>
      </c>
      <c r="CB9" s="1" t="s">
        <v>9</v>
      </c>
      <c r="CC9" s="1" t="s">
        <v>9</v>
      </c>
      <c r="CD9" s="1" t="s">
        <v>9</v>
      </c>
      <c r="CE9" s="1" t="s">
        <v>9</v>
      </c>
      <c r="CF9" s="1" t="s">
        <v>9</v>
      </c>
      <c r="CG9" s="1" t="s">
        <v>9</v>
      </c>
      <c r="CH9" s="1" t="s">
        <v>9</v>
      </c>
      <c r="CI9" s="1" t="s">
        <v>9</v>
      </c>
      <c r="CJ9" s="1" t="s">
        <v>9</v>
      </c>
      <c r="CK9" s="1" t="s">
        <v>9</v>
      </c>
      <c r="CL9" s="1" t="s">
        <v>9</v>
      </c>
      <c r="CM9" s="1" t="s">
        <v>9</v>
      </c>
      <c r="CN9" s="1" t="s">
        <v>9</v>
      </c>
      <c r="CO9" s="1" t="s">
        <v>9</v>
      </c>
      <c r="CP9" s="1" t="s">
        <v>9</v>
      </c>
      <c r="CQ9" s="1" t="s">
        <v>9</v>
      </c>
      <c r="CR9" s="1" t="s">
        <v>9</v>
      </c>
      <c r="CS9" s="1" t="s">
        <v>9</v>
      </c>
      <c r="CT9" s="1" t="s">
        <v>9</v>
      </c>
      <c r="CU9" s="1" t="s">
        <v>9</v>
      </c>
      <c r="CV9" s="1" t="s">
        <v>9</v>
      </c>
      <c r="CW9" s="1" t="s">
        <v>9</v>
      </c>
      <c r="CX9" s="1" t="s">
        <v>9</v>
      </c>
      <c r="CY9" s="1" t="s">
        <v>9</v>
      </c>
      <c r="CZ9" s="1" t="s">
        <v>9</v>
      </c>
      <c r="DA9" s="1" t="s">
        <v>9</v>
      </c>
      <c r="DB9" s="8" t="s">
        <v>9</v>
      </c>
    </row>
    <row r="10" spans="1:106" x14ac:dyDescent="0.25">
      <c r="A10" s="572" t="s">
        <v>0</v>
      </c>
      <c r="B10" s="11" t="s">
        <v>64</v>
      </c>
      <c r="C10" s="159">
        <v>1</v>
      </c>
      <c r="D10" s="1" t="s">
        <v>9</v>
      </c>
      <c r="E10" s="1" t="s">
        <v>9</v>
      </c>
      <c r="F10" s="158">
        <v>0</v>
      </c>
      <c r="G10" s="1" t="s">
        <v>9</v>
      </c>
      <c r="H10" s="1" t="s">
        <v>9</v>
      </c>
      <c r="I10" s="158">
        <v>0</v>
      </c>
      <c r="J10" s="158">
        <v>0</v>
      </c>
      <c r="K10" s="158">
        <v>0</v>
      </c>
      <c r="L10" s="158">
        <v>0</v>
      </c>
      <c r="M10" s="158">
        <v>0</v>
      </c>
      <c r="N10" s="158">
        <v>0</v>
      </c>
      <c r="O10" s="158">
        <v>0</v>
      </c>
      <c r="P10" s="158">
        <v>0</v>
      </c>
      <c r="Q10" s="158">
        <v>0</v>
      </c>
      <c r="R10" s="159">
        <v>1</v>
      </c>
      <c r="S10" s="159">
        <v>4</v>
      </c>
      <c r="T10" s="159">
        <v>5</v>
      </c>
      <c r="U10" s="158">
        <v>0</v>
      </c>
      <c r="V10" s="159">
        <v>1</v>
      </c>
      <c r="W10" s="158">
        <v>0</v>
      </c>
      <c r="X10" s="158">
        <v>0</v>
      </c>
      <c r="Y10" s="159">
        <v>1</v>
      </c>
      <c r="Z10" s="159">
        <v>2</v>
      </c>
      <c r="AA10" s="159">
        <v>2</v>
      </c>
      <c r="AB10" s="159">
        <v>2</v>
      </c>
      <c r="AC10" s="159">
        <v>2</v>
      </c>
      <c r="AD10" s="159">
        <v>1</v>
      </c>
      <c r="AE10" s="158">
        <v>0</v>
      </c>
      <c r="AF10" s="158">
        <v>0</v>
      </c>
      <c r="AG10" s="159">
        <v>1</v>
      </c>
      <c r="AH10" s="1" t="s">
        <v>9</v>
      </c>
      <c r="AI10" s="158">
        <v>0</v>
      </c>
      <c r="AJ10" s="158">
        <v>0</v>
      </c>
      <c r="AK10" s="159">
        <v>1</v>
      </c>
      <c r="AL10" s="6">
        <v>6</v>
      </c>
      <c r="AM10" s="159">
        <v>1</v>
      </c>
      <c r="AN10" s="158">
        <v>0</v>
      </c>
      <c r="AO10" s="159">
        <v>4</v>
      </c>
      <c r="AP10" s="6">
        <v>8</v>
      </c>
      <c r="AQ10" s="159">
        <v>5</v>
      </c>
      <c r="AR10" s="158">
        <v>0</v>
      </c>
      <c r="AS10" s="6">
        <v>8</v>
      </c>
      <c r="AT10" s="159">
        <v>1</v>
      </c>
      <c r="AU10" s="158">
        <v>0</v>
      </c>
      <c r="AV10" s="159">
        <v>2</v>
      </c>
      <c r="AW10" s="6">
        <v>7</v>
      </c>
      <c r="AX10" s="6">
        <v>14</v>
      </c>
      <c r="AY10" s="6">
        <v>9</v>
      </c>
      <c r="AZ10" s="6">
        <v>11</v>
      </c>
      <c r="BA10" s="6">
        <v>25</v>
      </c>
      <c r="BB10" s="6">
        <v>20</v>
      </c>
      <c r="BC10" s="6">
        <v>17</v>
      </c>
      <c r="BD10" s="6">
        <v>15</v>
      </c>
      <c r="BE10" s="6">
        <v>15</v>
      </c>
      <c r="BF10" s="6">
        <v>23</v>
      </c>
      <c r="BG10" s="6">
        <v>15</v>
      </c>
      <c r="BH10" s="6">
        <v>43</v>
      </c>
      <c r="BI10" s="6">
        <v>26</v>
      </c>
      <c r="BJ10" s="6">
        <v>35</v>
      </c>
      <c r="BK10" s="6">
        <v>30</v>
      </c>
      <c r="BL10" s="6">
        <v>40</v>
      </c>
      <c r="BM10" s="6">
        <v>28</v>
      </c>
      <c r="BN10" s="6">
        <v>37</v>
      </c>
      <c r="BO10" s="6">
        <v>24</v>
      </c>
      <c r="BP10" s="6">
        <v>18</v>
      </c>
      <c r="BQ10" s="6">
        <v>16</v>
      </c>
      <c r="BR10" s="6">
        <v>11</v>
      </c>
      <c r="BS10" s="6">
        <v>9</v>
      </c>
      <c r="BT10" s="6">
        <v>24</v>
      </c>
      <c r="BU10" s="6">
        <v>29</v>
      </c>
      <c r="BV10" s="6">
        <v>19</v>
      </c>
      <c r="BW10" s="6">
        <v>16</v>
      </c>
      <c r="BX10" s="6">
        <v>36</v>
      </c>
      <c r="BY10" s="6">
        <v>28</v>
      </c>
      <c r="BZ10" s="6">
        <v>39</v>
      </c>
      <c r="CA10" s="6">
        <v>18</v>
      </c>
      <c r="CB10" s="6">
        <v>33</v>
      </c>
      <c r="CC10" s="6">
        <v>38</v>
      </c>
      <c r="CD10" s="6">
        <v>24</v>
      </c>
      <c r="CE10" s="6">
        <v>20</v>
      </c>
      <c r="CF10" s="6">
        <v>37</v>
      </c>
      <c r="CG10" s="6">
        <v>31</v>
      </c>
      <c r="CH10" s="6">
        <v>54</v>
      </c>
      <c r="CI10" s="6">
        <v>41</v>
      </c>
      <c r="CJ10" s="6">
        <v>23</v>
      </c>
      <c r="CK10" s="1" t="s">
        <v>9</v>
      </c>
      <c r="CL10" s="1" t="s">
        <v>9</v>
      </c>
      <c r="CM10" s="1" t="s">
        <v>9</v>
      </c>
      <c r="CN10" s="1" t="s">
        <v>9</v>
      </c>
      <c r="CO10" s="1" t="s">
        <v>9</v>
      </c>
      <c r="CP10" s="1" t="s">
        <v>9</v>
      </c>
      <c r="CQ10" s="1" t="s">
        <v>9</v>
      </c>
      <c r="CR10" s="1" t="s">
        <v>9</v>
      </c>
      <c r="CS10" s="1" t="s">
        <v>9</v>
      </c>
      <c r="CT10" s="1" t="s">
        <v>9</v>
      </c>
      <c r="CU10" s="1" t="s">
        <v>9</v>
      </c>
      <c r="CV10" s="1" t="s">
        <v>9</v>
      </c>
      <c r="CW10" s="1" t="s">
        <v>9</v>
      </c>
      <c r="CX10" s="1" t="s">
        <v>9</v>
      </c>
      <c r="CY10" s="1" t="s">
        <v>9</v>
      </c>
      <c r="CZ10" s="1" t="s">
        <v>9</v>
      </c>
      <c r="DA10" s="1" t="s">
        <v>9</v>
      </c>
      <c r="DB10" s="8" t="s">
        <v>9</v>
      </c>
    </row>
    <row r="11" spans="1:106" x14ac:dyDescent="0.25">
      <c r="A11" s="572" t="s">
        <v>0</v>
      </c>
      <c r="B11" s="11" t="s">
        <v>63</v>
      </c>
      <c r="C11" s="1" t="s">
        <v>9</v>
      </c>
      <c r="D11" s="1" t="s">
        <v>9</v>
      </c>
      <c r="E11" s="1" t="s">
        <v>9</v>
      </c>
      <c r="F11" s="1" t="s">
        <v>9</v>
      </c>
      <c r="G11" s="1" t="s">
        <v>9</v>
      </c>
      <c r="H11" s="1" t="s">
        <v>9</v>
      </c>
      <c r="I11" s="1" t="s">
        <v>9</v>
      </c>
      <c r="J11" s="1" t="s">
        <v>9</v>
      </c>
      <c r="K11" s="1" t="s">
        <v>9</v>
      </c>
      <c r="L11" s="1" t="s">
        <v>9</v>
      </c>
      <c r="M11" s="1" t="s">
        <v>9</v>
      </c>
      <c r="N11" s="1" t="s">
        <v>9</v>
      </c>
      <c r="O11" s="1" t="s">
        <v>9</v>
      </c>
      <c r="P11" s="1" t="s">
        <v>9</v>
      </c>
      <c r="Q11" s="1" t="s">
        <v>9</v>
      </c>
      <c r="R11" s="1" t="s">
        <v>9</v>
      </c>
      <c r="S11" s="1" t="s">
        <v>9</v>
      </c>
      <c r="T11" s="1" t="s">
        <v>9</v>
      </c>
      <c r="U11" s="1" t="s">
        <v>9</v>
      </c>
      <c r="V11" s="1" t="s">
        <v>9</v>
      </c>
      <c r="W11" s="1" t="s">
        <v>9</v>
      </c>
      <c r="X11" s="1" t="s">
        <v>9</v>
      </c>
      <c r="Y11" s="1" t="s">
        <v>9</v>
      </c>
      <c r="Z11" s="1" t="s">
        <v>9</v>
      </c>
      <c r="AA11" s="1" t="s">
        <v>9</v>
      </c>
      <c r="AB11" s="1" t="s">
        <v>9</v>
      </c>
      <c r="AC11" s="1" t="s">
        <v>9</v>
      </c>
      <c r="AD11" s="1" t="s">
        <v>9</v>
      </c>
      <c r="AE11" s="1" t="s">
        <v>9</v>
      </c>
      <c r="AF11" s="1" t="s">
        <v>9</v>
      </c>
      <c r="AG11" s="1" t="s">
        <v>9</v>
      </c>
      <c r="AH11" s="1" t="s">
        <v>9</v>
      </c>
      <c r="AI11" s="1" t="s">
        <v>9</v>
      </c>
      <c r="AJ11" s="1" t="s">
        <v>9</v>
      </c>
      <c r="AK11" s="1" t="s">
        <v>9</v>
      </c>
      <c r="AL11" s="1" t="s">
        <v>9</v>
      </c>
      <c r="AM11" s="1" t="s">
        <v>9</v>
      </c>
      <c r="AN11" s="1" t="s">
        <v>9</v>
      </c>
      <c r="AO11" s="1" t="s">
        <v>9</v>
      </c>
      <c r="AP11" s="1" t="s">
        <v>9</v>
      </c>
      <c r="AQ11" s="1" t="s">
        <v>9</v>
      </c>
      <c r="AR11" s="1" t="s">
        <v>9</v>
      </c>
      <c r="AS11" s="1" t="s">
        <v>9</v>
      </c>
      <c r="AT11" s="1" t="s">
        <v>9</v>
      </c>
      <c r="AU11" s="1" t="s">
        <v>9</v>
      </c>
      <c r="AV11" s="1" t="s">
        <v>9</v>
      </c>
      <c r="AW11" s="1" t="s">
        <v>9</v>
      </c>
      <c r="AX11" s="1" t="s">
        <v>9</v>
      </c>
      <c r="AY11" s="1" t="s">
        <v>9</v>
      </c>
      <c r="AZ11" s="1" t="s">
        <v>9</v>
      </c>
      <c r="BA11" s="1" t="s">
        <v>9</v>
      </c>
      <c r="BB11" s="1" t="s">
        <v>9</v>
      </c>
      <c r="BC11" s="1" t="s">
        <v>9</v>
      </c>
      <c r="BD11" s="1" t="s">
        <v>9</v>
      </c>
      <c r="BE11" s="1" t="s">
        <v>9</v>
      </c>
      <c r="BF11" s="1" t="s">
        <v>9</v>
      </c>
      <c r="BG11" s="1" t="s">
        <v>9</v>
      </c>
      <c r="BH11" s="1" t="s">
        <v>9</v>
      </c>
      <c r="BI11" s="1" t="s">
        <v>9</v>
      </c>
      <c r="BJ11" s="1" t="s">
        <v>9</v>
      </c>
      <c r="BK11" s="1" t="s">
        <v>9</v>
      </c>
      <c r="BL11" s="1" t="s">
        <v>9</v>
      </c>
      <c r="BM11" s="1" t="s">
        <v>9</v>
      </c>
      <c r="BN11" s="1" t="s">
        <v>9</v>
      </c>
      <c r="BO11" s="1" t="s">
        <v>9</v>
      </c>
      <c r="BP11" s="1" t="s">
        <v>9</v>
      </c>
      <c r="BQ11" s="1" t="s">
        <v>9</v>
      </c>
      <c r="BR11" s="1" t="s">
        <v>9</v>
      </c>
      <c r="BS11" s="1" t="s">
        <v>9</v>
      </c>
      <c r="BT11" s="1" t="s">
        <v>9</v>
      </c>
      <c r="BU11" s="1" t="s">
        <v>9</v>
      </c>
      <c r="BV11" s="1" t="s">
        <v>9</v>
      </c>
      <c r="BW11" s="1" t="s">
        <v>9</v>
      </c>
      <c r="BX11" s="1" t="s">
        <v>9</v>
      </c>
      <c r="BY11" s="1" t="s">
        <v>9</v>
      </c>
      <c r="BZ11" s="1" t="s">
        <v>9</v>
      </c>
      <c r="CA11" s="1" t="s">
        <v>9</v>
      </c>
      <c r="CB11" s="1" t="s">
        <v>9</v>
      </c>
      <c r="CC11" s="1" t="s">
        <v>9</v>
      </c>
      <c r="CD11" s="1" t="s">
        <v>9</v>
      </c>
      <c r="CE11" s="1" t="s">
        <v>9</v>
      </c>
      <c r="CF11" s="1" t="s">
        <v>9</v>
      </c>
      <c r="CG11" s="1" t="s">
        <v>9</v>
      </c>
      <c r="CH11" s="1" t="s">
        <v>9</v>
      </c>
      <c r="CI11" s="1" t="s">
        <v>9</v>
      </c>
      <c r="CJ11" s="6">
        <v>18</v>
      </c>
      <c r="CK11" s="6">
        <v>67</v>
      </c>
      <c r="CL11" s="6">
        <v>59</v>
      </c>
      <c r="CM11" s="6">
        <v>50</v>
      </c>
      <c r="CN11" s="6">
        <v>42</v>
      </c>
      <c r="CO11" s="6">
        <v>42</v>
      </c>
      <c r="CP11" s="6">
        <v>17</v>
      </c>
      <c r="CQ11" s="6">
        <v>11</v>
      </c>
      <c r="CR11" s="6">
        <v>6</v>
      </c>
      <c r="CS11" s="6">
        <v>22</v>
      </c>
      <c r="CT11" s="6">
        <v>16</v>
      </c>
      <c r="CU11" s="159">
        <v>5</v>
      </c>
      <c r="CV11" s="159">
        <v>3</v>
      </c>
      <c r="CW11" s="158">
        <v>0</v>
      </c>
      <c r="CX11" s="159">
        <v>1</v>
      </c>
      <c r="CY11" s="158">
        <v>0</v>
      </c>
      <c r="CZ11" s="1" t="s">
        <v>9</v>
      </c>
      <c r="DA11" s="158">
        <v>0</v>
      </c>
      <c r="DB11" s="8" t="s">
        <v>9</v>
      </c>
    </row>
    <row r="12" spans="1:106" x14ac:dyDescent="0.25">
      <c r="A12" s="572" t="s">
        <v>0</v>
      </c>
      <c r="B12" s="11" t="s">
        <v>62</v>
      </c>
      <c r="C12" s="1" t="s">
        <v>9</v>
      </c>
      <c r="D12" s="1" t="s">
        <v>9</v>
      </c>
      <c r="E12" s="1" t="s">
        <v>9</v>
      </c>
      <c r="F12" s="1" t="s">
        <v>9</v>
      </c>
      <c r="G12" s="1" t="s">
        <v>9</v>
      </c>
      <c r="H12" s="1" t="s">
        <v>9</v>
      </c>
      <c r="I12" s="1" t="s">
        <v>9</v>
      </c>
      <c r="J12" s="1" t="s">
        <v>9</v>
      </c>
      <c r="K12" s="1" t="s">
        <v>9</v>
      </c>
      <c r="L12" s="1" t="s">
        <v>9</v>
      </c>
      <c r="M12" s="1" t="s">
        <v>9</v>
      </c>
      <c r="N12" s="1" t="s">
        <v>9</v>
      </c>
      <c r="O12" s="1" t="s">
        <v>9</v>
      </c>
      <c r="P12" s="1" t="s">
        <v>9</v>
      </c>
      <c r="Q12" s="1" t="s">
        <v>9</v>
      </c>
      <c r="R12" s="1" t="s">
        <v>9</v>
      </c>
      <c r="S12" s="1" t="s">
        <v>9</v>
      </c>
      <c r="T12" s="1" t="s">
        <v>9</v>
      </c>
      <c r="U12" s="1" t="s">
        <v>9</v>
      </c>
      <c r="V12" s="1" t="s">
        <v>9</v>
      </c>
      <c r="W12" s="1" t="s">
        <v>9</v>
      </c>
      <c r="X12" s="1" t="s">
        <v>9</v>
      </c>
      <c r="Y12" s="1" t="s">
        <v>9</v>
      </c>
      <c r="Z12" s="1" t="s">
        <v>9</v>
      </c>
      <c r="AA12" s="1" t="s">
        <v>9</v>
      </c>
      <c r="AB12" s="1" t="s">
        <v>9</v>
      </c>
      <c r="AC12" s="1" t="s">
        <v>9</v>
      </c>
      <c r="AD12" s="1" t="s">
        <v>9</v>
      </c>
      <c r="AE12" s="1" t="s">
        <v>9</v>
      </c>
      <c r="AF12" s="1" t="s">
        <v>9</v>
      </c>
      <c r="AG12" s="1" t="s">
        <v>9</v>
      </c>
      <c r="AH12" s="1" t="s">
        <v>9</v>
      </c>
      <c r="AI12" s="1" t="s">
        <v>9</v>
      </c>
      <c r="AJ12" s="1" t="s">
        <v>9</v>
      </c>
      <c r="AK12" s="1" t="s">
        <v>9</v>
      </c>
      <c r="AL12" s="1" t="s">
        <v>9</v>
      </c>
      <c r="AM12" s="1" t="s">
        <v>9</v>
      </c>
      <c r="AN12" s="1" t="s">
        <v>9</v>
      </c>
      <c r="AO12" s="1" t="s">
        <v>9</v>
      </c>
      <c r="AP12" s="1" t="s">
        <v>9</v>
      </c>
      <c r="AQ12" s="1" t="s">
        <v>9</v>
      </c>
      <c r="AR12" s="1" t="s">
        <v>9</v>
      </c>
      <c r="AS12" s="1" t="s">
        <v>9</v>
      </c>
      <c r="AT12" s="1" t="s">
        <v>9</v>
      </c>
      <c r="AU12" s="1" t="s">
        <v>9</v>
      </c>
      <c r="AV12" s="1" t="s">
        <v>9</v>
      </c>
      <c r="AW12" s="1" t="s">
        <v>9</v>
      </c>
      <c r="AX12" s="1" t="s">
        <v>9</v>
      </c>
      <c r="AY12" s="1" t="s">
        <v>9</v>
      </c>
      <c r="AZ12" s="1" t="s">
        <v>9</v>
      </c>
      <c r="BA12" s="1" t="s">
        <v>9</v>
      </c>
      <c r="BB12" s="1" t="s">
        <v>9</v>
      </c>
      <c r="BC12" s="1" t="s">
        <v>9</v>
      </c>
      <c r="BD12" s="1" t="s">
        <v>9</v>
      </c>
      <c r="BE12" s="1" t="s">
        <v>9</v>
      </c>
      <c r="BF12" s="1" t="s">
        <v>9</v>
      </c>
      <c r="BG12" s="1" t="s">
        <v>9</v>
      </c>
      <c r="BH12" s="1" t="s">
        <v>9</v>
      </c>
      <c r="BI12" s="1" t="s">
        <v>9</v>
      </c>
      <c r="BJ12" s="1" t="s">
        <v>9</v>
      </c>
      <c r="BK12" s="1" t="s">
        <v>9</v>
      </c>
      <c r="BL12" s="1" t="s">
        <v>9</v>
      </c>
      <c r="BM12" s="1" t="s">
        <v>9</v>
      </c>
      <c r="BN12" s="1" t="s">
        <v>9</v>
      </c>
      <c r="BO12" s="1" t="s">
        <v>9</v>
      </c>
      <c r="BP12" s="1" t="s">
        <v>9</v>
      </c>
      <c r="BQ12" s="1" t="s">
        <v>9</v>
      </c>
      <c r="BR12" s="1" t="s">
        <v>9</v>
      </c>
      <c r="BS12" s="1" t="s">
        <v>9</v>
      </c>
      <c r="BT12" s="1" t="s">
        <v>9</v>
      </c>
      <c r="BU12" s="1" t="s">
        <v>9</v>
      </c>
      <c r="BV12" s="1" t="s">
        <v>9</v>
      </c>
      <c r="BW12" s="1" t="s">
        <v>9</v>
      </c>
      <c r="BX12" s="1" t="s">
        <v>9</v>
      </c>
      <c r="BY12" s="1" t="s">
        <v>9</v>
      </c>
      <c r="BZ12" s="1" t="s">
        <v>9</v>
      </c>
      <c r="CA12" s="1" t="s">
        <v>9</v>
      </c>
      <c r="CB12" s="1" t="s">
        <v>9</v>
      </c>
      <c r="CC12" s="1" t="s">
        <v>9</v>
      </c>
      <c r="CD12" s="1" t="s">
        <v>9</v>
      </c>
      <c r="CE12" s="1" t="s">
        <v>9</v>
      </c>
      <c r="CF12" s="1" t="s">
        <v>9</v>
      </c>
      <c r="CG12" s="1" t="s">
        <v>9</v>
      </c>
      <c r="CH12" s="1" t="s">
        <v>9</v>
      </c>
      <c r="CI12" s="1" t="s">
        <v>9</v>
      </c>
      <c r="CJ12" s="158">
        <v>0</v>
      </c>
      <c r="CK12" s="158">
        <v>0</v>
      </c>
      <c r="CL12" s="159">
        <v>1</v>
      </c>
      <c r="CM12" s="159">
        <v>5</v>
      </c>
      <c r="CN12" s="159">
        <v>5</v>
      </c>
      <c r="CO12" s="6">
        <v>19</v>
      </c>
      <c r="CP12" s="159">
        <v>3</v>
      </c>
      <c r="CQ12" s="159">
        <v>5</v>
      </c>
      <c r="CR12" s="6">
        <v>14</v>
      </c>
      <c r="CS12" s="6">
        <v>9</v>
      </c>
      <c r="CT12" s="6">
        <v>6</v>
      </c>
      <c r="CU12" s="6">
        <v>9</v>
      </c>
      <c r="CV12" s="159">
        <v>4</v>
      </c>
      <c r="CW12" s="159">
        <v>5</v>
      </c>
      <c r="CX12" s="159">
        <v>1</v>
      </c>
      <c r="CY12" s="159">
        <v>1</v>
      </c>
      <c r="CZ12" s="1" t="s">
        <v>9</v>
      </c>
      <c r="DA12" s="159">
        <v>2</v>
      </c>
      <c r="DB12" s="8" t="s">
        <v>9</v>
      </c>
    </row>
    <row r="13" spans="1:106" x14ac:dyDescent="0.25">
      <c r="A13" s="572" t="s">
        <v>0</v>
      </c>
      <c r="B13" s="11" t="s">
        <v>61</v>
      </c>
      <c r="C13" s="214">
        <v>0</v>
      </c>
      <c r="D13" s="214">
        <v>0</v>
      </c>
      <c r="E13" s="214">
        <v>0</v>
      </c>
      <c r="F13" s="214">
        <v>0</v>
      </c>
      <c r="G13" s="214">
        <v>0</v>
      </c>
      <c r="H13" s="214">
        <v>0</v>
      </c>
      <c r="I13" s="214">
        <v>0</v>
      </c>
      <c r="J13" s="214">
        <v>0</v>
      </c>
      <c r="K13" s="214">
        <v>0</v>
      </c>
      <c r="L13" s="214">
        <v>0</v>
      </c>
      <c r="M13" s="214">
        <v>0</v>
      </c>
      <c r="N13" s="214">
        <v>0</v>
      </c>
      <c r="O13" s="214">
        <v>0</v>
      </c>
      <c r="P13" s="214">
        <v>0</v>
      </c>
      <c r="Q13" s="214">
        <v>0</v>
      </c>
      <c r="R13" s="214">
        <v>0</v>
      </c>
      <c r="S13" s="214">
        <v>0</v>
      </c>
      <c r="T13" s="214">
        <v>0</v>
      </c>
      <c r="U13" s="214">
        <v>0</v>
      </c>
      <c r="V13" s="214">
        <v>0</v>
      </c>
      <c r="W13" s="214">
        <v>0</v>
      </c>
      <c r="X13" s="214">
        <v>0</v>
      </c>
      <c r="Y13" s="214">
        <v>0</v>
      </c>
      <c r="Z13" s="214">
        <v>0</v>
      </c>
      <c r="AA13" s="214">
        <v>0</v>
      </c>
      <c r="AB13" s="214">
        <v>0</v>
      </c>
      <c r="AC13" s="214">
        <v>0</v>
      </c>
      <c r="AD13" s="214">
        <v>0</v>
      </c>
      <c r="AE13" s="214">
        <v>0</v>
      </c>
      <c r="AF13" s="214">
        <v>0</v>
      </c>
      <c r="AG13" s="214">
        <v>0</v>
      </c>
      <c r="AH13" s="214">
        <v>0</v>
      </c>
      <c r="AI13" s="214">
        <v>0</v>
      </c>
      <c r="AJ13" s="214">
        <v>0</v>
      </c>
      <c r="AK13" s="214">
        <v>0</v>
      </c>
      <c r="AL13" s="214">
        <v>0</v>
      </c>
      <c r="AM13" s="214">
        <v>0</v>
      </c>
      <c r="AN13" s="214">
        <v>0</v>
      </c>
      <c r="AO13" s="214">
        <v>0</v>
      </c>
      <c r="AP13" s="214">
        <v>0</v>
      </c>
      <c r="AQ13" s="214">
        <v>0</v>
      </c>
      <c r="AR13" s="214">
        <v>0</v>
      </c>
      <c r="AS13" s="214">
        <v>0</v>
      </c>
      <c r="AT13" s="214">
        <v>0</v>
      </c>
      <c r="AU13" s="214">
        <v>0</v>
      </c>
      <c r="AV13" s="214">
        <v>0</v>
      </c>
      <c r="AW13" s="214">
        <v>0</v>
      </c>
      <c r="AX13" s="214">
        <v>0</v>
      </c>
      <c r="AY13" s="214">
        <v>0</v>
      </c>
      <c r="AZ13" s="214">
        <v>0</v>
      </c>
      <c r="BA13" s="214">
        <v>0</v>
      </c>
      <c r="BB13" s="214">
        <v>0</v>
      </c>
      <c r="BC13" s="214">
        <v>0</v>
      </c>
      <c r="BD13" s="214">
        <v>0</v>
      </c>
      <c r="BE13" s="214">
        <v>0</v>
      </c>
      <c r="BF13" s="214">
        <v>0</v>
      </c>
      <c r="BG13" s="214">
        <v>0</v>
      </c>
      <c r="BH13" s="215">
        <v>2</v>
      </c>
      <c r="BI13" s="214">
        <v>0</v>
      </c>
      <c r="BJ13" s="215">
        <v>1</v>
      </c>
      <c r="BK13" s="214">
        <v>0</v>
      </c>
      <c r="BL13" s="214">
        <v>0</v>
      </c>
      <c r="BM13" s="214">
        <v>0</v>
      </c>
      <c r="BN13" s="214">
        <v>0</v>
      </c>
      <c r="BO13" s="214">
        <v>0</v>
      </c>
      <c r="BP13" s="214">
        <v>0</v>
      </c>
      <c r="BQ13" s="215">
        <v>1</v>
      </c>
      <c r="BR13" s="214">
        <v>0</v>
      </c>
      <c r="BS13" s="214">
        <v>0</v>
      </c>
      <c r="BT13" s="214">
        <v>0</v>
      </c>
      <c r="BU13" s="215">
        <v>1</v>
      </c>
      <c r="BV13" s="214">
        <v>0</v>
      </c>
      <c r="BW13" s="214">
        <v>0</v>
      </c>
      <c r="BX13" s="215">
        <v>3</v>
      </c>
      <c r="BY13" s="216">
        <v>15</v>
      </c>
      <c r="BZ13" s="216">
        <v>9</v>
      </c>
      <c r="CA13" s="216">
        <v>7</v>
      </c>
      <c r="CB13" s="216">
        <v>11</v>
      </c>
      <c r="CC13" s="216">
        <v>24</v>
      </c>
      <c r="CD13" s="216">
        <v>31</v>
      </c>
      <c r="CE13" s="216">
        <v>18</v>
      </c>
      <c r="CF13" s="216">
        <v>66</v>
      </c>
      <c r="CG13" s="216">
        <v>45</v>
      </c>
      <c r="CH13" s="216">
        <v>47</v>
      </c>
      <c r="CI13" s="216">
        <v>32</v>
      </c>
      <c r="CJ13" s="216">
        <v>9</v>
      </c>
      <c r="CK13" s="216">
        <v>29</v>
      </c>
      <c r="CL13" s="216">
        <v>26</v>
      </c>
      <c r="CM13" s="216">
        <v>8</v>
      </c>
      <c r="CN13" s="216">
        <v>7</v>
      </c>
      <c r="CO13" s="215">
        <v>1</v>
      </c>
      <c r="CP13" s="215">
        <v>1</v>
      </c>
      <c r="CQ13" s="215">
        <v>1</v>
      </c>
      <c r="CR13" s="215">
        <v>1</v>
      </c>
      <c r="CS13" s="215">
        <v>4</v>
      </c>
      <c r="CT13" s="215">
        <v>5</v>
      </c>
      <c r="CU13" s="215">
        <v>1</v>
      </c>
      <c r="CV13" s="215">
        <v>1</v>
      </c>
      <c r="CW13" s="214">
        <v>0</v>
      </c>
      <c r="CX13" s="214">
        <v>0</v>
      </c>
      <c r="CY13" s="214">
        <v>0</v>
      </c>
      <c r="CZ13" s="214">
        <v>0</v>
      </c>
      <c r="DA13" s="214">
        <v>0</v>
      </c>
      <c r="DB13" s="213">
        <v>0</v>
      </c>
    </row>
    <row r="14" spans="1:106" x14ac:dyDescent="0.25">
      <c r="A14" s="572" t="s">
        <v>0</v>
      </c>
      <c r="B14" s="11" t="s">
        <v>60</v>
      </c>
      <c r="C14" s="159">
        <v>1</v>
      </c>
      <c r="D14" s="1" t="s">
        <v>9</v>
      </c>
      <c r="E14" s="1" t="s">
        <v>9</v>
      </c>
      <c r="F14" s="1" t="s">
        <v>9</v>
      </c>
      <c r="G14" s="1" t="s">
        <v>9</v>
      </c>
      <c r="H14" s="1" t="s">
        <v>9</v>
      </c>
      <c r="I14" s="159">
        <v>2</v>
      </c>
      <c r="J14" s="159">
        <v>3</v>
      </c>
      <c r="K14" s="159">
        <v>3</v>
      </c>
      <c r="L14" s="159">
        <v>1</v>
      </c>
      <c r="M14" s="159">
        <v>3</v>
      </c>
      <c r="N14" s="159">
        <v>1</v>
      </c>
      <c r="O14" s="159">
        <v>2</v>
      </c>
      <c r="P14" s="159">
        <v>3</v>
      </c>
      <c r="Q14" s="159">
        <v>2</v>
      </c>
      <c r="R14" s="159">
        <v>5</v>
      </c>
      <c r="S14" s="159">
        <v>2</v>
      </c>
      <c r="T14" s="159">
        <v>1</v>
      </c>
      <c r="U14" s="159">
        <v>3</v>
      </c>
      <c r="V14" s="159">
        <v>1</v>
      </c>
      <c r="W14" s="159">
        <v>3</v>
      </c>
      <c r="X14" s="159">
        <v>2</v>
      </c>
      <c r="Y14" s="159">
        <v>3</v>
      </c>
      <c r="Z14" s="159">
        <v>4</v>
      </c>
      <c r="AA14" s="159">
        <v>4</v>
      </c>
      <c r="AB14" s="6">
        <v>13</v>
      </c>
      <c r="AC14" s="6">
        <v>10</v>
      </c>
      <c r="AD14" s="159">
        <v>3</v>
      </c>
      <c r="AE14" s="6">
        <v>10</v>
      </c>
      <c r="AF14" s="159">
        <v>5</v>
      </c>
      <c r="AG14" s="1" t="s">
        <v>9</v>
      </c>
      <c r="AH14" s="159">
        <v>2</v>
      </c>
      <c r="AI14" s="159">
        <v>3</v>
      </c>
      <c r="AJ14" s="6">
        <v>8</v>
      </c>
      <c r="AK14" s="159">
        <v>5</v>
      </c>
      <c r="AL14" s="6">
        <v>11</v>
      </c>
      <c r="AM14" s="6">
        <v>25</v>
      </c>
      <c r="AN14" s="6">
        <v>27</v>
      </c>
      <c r="AO14" s="6">
        <v>19</v>
      </c>
      <c r="AP14" s="6">
        <v>19</v>
      </c>
      <c r="AQ14" s="6">
        <v>8</v>
      </c>
      <c r="AR14" s="6">
        <v>17</v>
      </c>
      <c r="AS14" s="6">
        <v>10</v>
      </c>
      <c r="AT14" s="6">
        <v>14</v>
      </c>
      <c r="AU14" s="6">
        <v>21</v>
      </c>
      <c r="AV14" s="6">
        <v>12</v>
      </c>
      <c r="AW14" s="6">
        <v>17</v>
      </c>
      <c r="AX14" s="6">
        <v>27</v>
      </c>
      <c r="AY14" s="6">
        <v>15</v>
      </c>
      <c r="AZ14" s="6">
        <v>20</v>
      </c>
      <c r="BA14" s="6">
        <v>34</v>
      </c>
      <c r="BB14" s="6">
        <v>28</v>
      </c>
      <c r="BC14" s="6">
        <v>22</v>
      </c>
      <c r="BD14" s="6">
        <v>10</v>
      </c>
      <c r="BE14" s="6">
        <v>14</v>
      </c>
      <c r="BF14" s="6">
        <v>11</v>
      </c>
      <c r="BG14" s="6">
        <v>12</v>
      </c>
      <c r="BH14" s="6">
        <v>21</v>
      </c>
      <c r="BI14" s="6">
        <v>19</v>
      </c>
      <c r="BJ14" s="6">
        <v>15</v>
      </c>
      <c r="BK14" s="6">
        <v>7</v>
      </c>
      <c r="BL14" s="6">
        <v>6</v>
      </c>
      <c r="BM14" s="6">
        <v>10</v>
      </c>
      <c r="BN14" s="159">
        <v>4</v>
      </c>
      <c r="BO14" s="6">
        <v>8</v>
      </c>
      <c r="BP14" s="6">
        <v>6</v>
      </c>
      <c r="BQ14" s="6">
        <v>9</v>
      </c>
      <c r="BR14" s="6">
        <v>9</v>
      </c>
      <c r="BS14" s="6">
        <v>22</v>
      </c>
      <c r="BT14" s="6">
        <v>13</v>
      </c>
      <c r="BU14" s="6">
        <v>22</v>
      </c>
      <c r="BV14" s="6">
        <v>18</v>
      </c>
      <c r="BW14" s="6">
        <v>17</v>
      </c>
      <c r="BX14" s="6">
        <v>22</v>
      </c>
      <c r="BY14" s="6">
        <v>24</v>
      </c>
      <c r="BZ14" s="6">
        <v>12</v>
      </c>
      <c r="CA14" s="6">
        <v>19</v>
      </c>
      <c r="CB14" s="6">
        <v>12</v>
      </c>
      <c r="CC14" s="6">
        <v>11</v>
      </c>
      <c r="CD14" s="6">
        <v>12</v>
      </c>
      <c r="CE14" s="159">
        <v>2</v>
      </c>
      <c r="CF14" s="159">
        <v>3</v>
      </c>
      <c r="CG14" s="159">
        <v>1</v>
      </c>
      <c r="CH14" s="159">
        <v>1</v>
      </c>
      <c r="CI14" s="159">
        <v>1</v>
      </c>
      <c r="CJ14" s="1" t="s">
        <v>9</v>
      </c>
      <c r="CK14" s="1" t="s">
        <v>9</v>
      </c>
      <c r="CL14" s="1" t="s">
        <v>9</v>
      </c>
      <c r="CM14" s="1" t="s">
        <v>9</v>
      </c>
      <c r="CN14" s="1" t="s">
        <v>9</v>
      </c>
      <c r="CO14" s="1" t="s">
        <v>9</v>
      </c>
      <c r="CP14" s="1" t="s">
        <v>9</v>
      </c>
      <c r="CQ14" s="1" t="s">
        <v>9</v>
      </c>
      <c r="CR14" s="158">
        <v>0</v>
      </c>
      <c r="CS14" s="1" t="s">
        <v>9</v>
      </c>
      <c r="CT14" s="1" t="s">
        <v>9</v>
      </c>
      <c r="CU14" s="1" t="s">
        <v>9</v>
      </c>
      <c r="CV14" s="1" t="s">
        <v>9</v>
      </c>
      <c r="CW14" s="1" t="s">
        <v>9</v>
      </c>
      <c r="CX14" s="1" t="s">
        <v>9</v>
      </c>
      <c r="CY14" s="1" t="s">
        <v>9</v>
      </c>
      <c r="CZ14" s="1" t="s">
        <v>9</v>
      </c>
      <c r="DA14" s="1" t="s">
        <v>9</v>
      </c>
      <c r="DB14" s="8" t="s">
        <v>9</v>
      </c>
    </row>
    <row r="15" spans="1:106" x14ac:dyDescent="0.25">
      <c r="A15" s="572" t="s">
        <v>0</v>
      </c>
      <c r="B15" s="11" t="s">
        <v>59</v>
      </c>
      <c r="C15" s="159">
        <v>4</v>
      </c>
      <c r="D15" s="159">
        <v>1</v>
      </c>
      <c r="E15" s="1" t="s">
        <v>9</v>
      </c>
      <c r="F15" s="1" t="s">
        <v>9</v>
      </c>
      <c r="G15" s="1" t="s">
        <v>9</v>
      </c>
      <c r="H15" s="1" t="s">
        <v>9</v>
      </c>
      <c r="I15" s="158">
        <v>0</v>
      </c>
      <c r="J15" s="158">
        <v>0</v>
      </c>
      <c r="K15" s="158">
        <v>0</v>
      </c>
      <c r="L15" s="158">
        <v>0</v>
      </c>
      <c r="M15" s="158">
        <v>0</v>
      </c>
      <c r="N15" s="158">
        <v>0</v>
      </c>
      <c r="O15" s="158">
        <v>0</v>
      </c>
      <c r="P15" s="158">
        <v>0</v>
      </c>
      <c r="Q15" s="158">
        <v>0</v>
      </c>
      <c r="R15" s="158">
        <v>0</v>
      </c>
      <c r="S15" s="158">
        <v>0</v>
      </c>
      <c r="T15" s="158">
        <v>0</v>
      </c>
      <c r="U15" s="158">
        <v>0</v>
      </c>
      <c r="V15" s="158">
        <v>0</v>
      </c>
      <c r="W15" s="158">
        <v>0</v>
      </c>
      <c r="X15" s="158">
        <v>0</v>
      </c>
      <c r="Y15" s="158">
        <v>0</v>
      </c>
      <c r="Z15" s="158">
        <v>0</v>
      </c>
      <c r="AA15" s="158">
        <v>0</v>
      </c>
      <c r="AB15" s="158">
        <v>0</v>
      </c>
      <c r="AC15" s="158">
        <v>0</v>
      </c>
      <c r="AD15" s="158">
        <v>0</v>
      </c>
      <c r="AE15" s="158">
        <v>0</v>
      </c>
      <c r="AF15" s="158">
        <v>0</v>
      </c>
      <c r="AG15" s="158">
        <v>0</v>
      </c>
      <c r="AH15" s="158">
        <v>0</v>
      </c>
      <c r="AI15" s="158">
        <v>0</v>
      </c>
      <c r="AJ15" s="158">
        <v>0</v>
      </c>
      <c r="AK15" s="158">
        <v>0</v>
      </c>
      <c r="AL15" s="158">
        <v>0</v>
      </c>
      <c r="AM15" s="158">
        <v>0</v>
      </c>
      <c r="AN15" s="159">
        <v>1</v>
      </c>
      <c r="AO15" s="158">
        <v>0</v>
      </c>
      <c r="AP15" s="159">
        <v>1</v>
      </c>
      <c r="AQ15" s="159">
        <v>1</v>
      </c>
      <c r="AR15" s="158">
        <v>0</v>
      </c>
      <c r="AS15" s="158">
        <v>0</v>
      </c>
      <c r="AT15" s="159">
        <v>1</v>
      </c>
      <c r="AU15" s="158">
        <v>0</v>
      </c>
      <c r="AV15" s="159">
        <v>1</v>
      </c>
      <c r="AW15" s="158">
        <v>0</v>
      </c>
      <c r="AX15" s="158">
        <v>0</v>
      </c>
      <c r="AY15" s="159">
        <v>2</v>
      </c>
      <c r="AZ15" s="158">
        <v>0</v>
      </c>
      <c r="BA15" s="159">
        <v>1</v>
      </c>
      <c r="BB15" s="6">
        <v>8</v>
      </c>
      <c r="BC15" s="159">
        <v>4</v>
      </c>
      <c r="BD15" s="159">
        <v>1</v>
      </c>
      <c r="BE15" s="6">
        <v>7</v>
      </c>
      <c r="BF15" s="159">
        <v>5</v>
      </c>
      <c r="BG15" s="6">
        <v>6</v>
      </c>
      <c r="BH15" s="6">
        <v>10</v>
      </c>
      <c r="BI15" s="159">
        <v>5</v>
      </c>
      <c r="BJ15" s="159">
        <v>2</v>
      </c>
      <c r="BK15" s="159">
        <v>1</v>
      </c>
      <c r="BL15" s="159">
        <v>3</v>
      </c>
      <c r="BM15" s="159">
        <v>2</v>
      </c>
      <c r="BN15" s="158">
        <v>0</v>
      </c>
      <c r="BO15" s="159">
        <v>3</v>
      </c>
      <c r="BP15" s="158">
        <v>0</v>
      </c>
      <c r="BQ15" s="159">
        <v>2</v>
      </c>
      <c r="BR15" s="159">
        <v>3</v>
      </c>
      <c r="BS15" s="159">
        <v>1</v>
      </c>
      <c r="BT15" s="6">
        <v>19</v>
      </c>
      <c r="BU15" s="159">
        <v>5</v>
      </c>
      <c r="BV15" s="159">
        <v>2</v>
      </c>
      <c r="BW15" s="159">
        <v>5</v>
      </c>
      <c r="BX15" s="6">
        <v>12</v>
      </c>
      <c r="BY15" s="6">
        <v>9</v>
      </c>
      <c r="BZ15" s="6">
        <v>10</v>
      </c>
      <c r="CA15" s="159">
        <v>3</v>
      </c>
      <c r="CB15" s="159">
        <v>4</v>
      </c>
      <c r="CC15" s="159">
        <v>3</v>
      </c>
      <c r="CD15" s="159">
        <v>2</v>
      </c>
      <c r="CE15" s="159">
        <v>1</v>
      </c>
      <c r="CF15" s="159">
        <v>1</v>
      </c>
      <c r="CG15" s="158">
        <v>0</v>
      </c>
      <c r="CH15" s="158">
        <v>0</v>
      </c>
      <c r="CI15" s="158">
        <v>0</v>
      </c>
      <c r="CJ15" s="158">
        <v>0</v>
      </c>
      <c r="CK15" s="1" t="s">
        <v>9</v>
      </c>
      <c r="CL15" s="1" t="s">
        <v>9</v>
      </c>
      <c r="CM15" s="1" t="s">
        <v>9</v>
      </c>
      <c r="CN15" s="1" t="s">
        <v>9</v>
      </c>
      <c r="CO15" s="1" t="s">
        <v>9</v>
      </c>
      <c r="CP15" s="1" t="s">
        <v>9</v>
      </c>
      <c r="CQ15" s="1" t="s">
        <v>9</v>
      </c>
      <c r="CR15" s="1" t="s">
        <v>9</v>
      </c>
      <c r="CS15" s="1" t="s">
        <v>9</v>
      </c>
      <c r="CT15" s="1" t="s">
        <v>9</v>
      </c>
      <c r="CU15" s="1" t="s">
        <v>9</v>
      </c>
      <c r="CV15" s="1" t="s">
        <v>9</v>
      </c>
      <c r="CW15" s="1" t="s">
        <v>9</v>
      </c>
      <c r="CX15" s="1" t="s">
        <v>9</v>
      </c>
      <c r="CY15" s="1" t="s">
        <v>9</v>
      </c>
      <c r="CZ15" s="1" t="s">
        <v>9</v>
      </c>
      <c r="DA15" s="1" t="s">
        <v>9</v>
      </c>
      <c r="DB15" s="8" t="s">
        <v>9</v>
      </c>
    </row>
    <row r="16" spans="1:106" x14ac:dyDescent="0.25">
      <c r="A16" s="572" t="s">
        <v>0</v>
      </c>
      <c r="B16" s="11" t="s">
        <v>58</v>
      </c>
      <c r="C16" s="159">
        <v>1</v>
      </c>
      <c r="D16" s="158">
        <v>0</v>
      </c>
      <c r="E16" s="1" t="s">
        <v>9</v>
      </c>
      <c r="F16" s="1" t="s">
        <v>9</v>
      </c>
      <c r="G16" s="1" t="s">
        <v>9</v>
      </c>
      <c r="H16" s="1" t="s">
        <v>9</v>
      </c>
      <c r="I16" s="158">
        <v>0</v>
      </c>
      <c r="J16" s="158">
        <v>0</v>
      </c>
      <c r="K16" s="158">
        <v>0</v>
      </c>
      <c r="L16" s="158">
        <v>0</v>
      </c>
      <c r="M16" s="158">
        <v>0</v>
      </c>
      <c r="N16" s="158">
        <v>0</v>
      </c>
      <c r="O16" s="158">
        <v>0</v>
      </c>
      <c r="P16" s="158">
        <v>0</v>
      </c>
      <c r="Q16" s="158">
        <v>0</v>
      </c>
      <c r="R16" s="159">
        <v>1</v>
      </c>
      <c r="S16" s="159">
        <v>3</v>
      </c>
      <c r="T16" s="159">
        <v>5</v>
      </c>
      <c r="U16" s="158">
        <v>0</v>
      </c>
      <c r="V16" s="158">
        <v>0</v>
      </c>
      <c r="W16" s="158">
        <v>0</v>
      </c>
      <c r="X16" s="158">
        <v>0</v>
      </c>
      <c r="Y16" s="159">
        <v>3</v>
      </c>
      <c r="Z16" s="159">
        <v>3</v>
      </c>
      <c r="AA16" s="159">
        <v>3</v>
      </c>
      <c r="AB16" s="159">
        <v>1</v>
      </c>
      <c r="AC16" s="159">
        <v>2</v>
      </c>
      <c r="AD16" s="159">
        <v>1</v>
      </c>
      <c r="AE16" s="158">
        <v>0</v>
      </c>
      <c r="AF16" s="158">
        <v>0</v>
      </c>
      <c r="AG16" s="159">
        <v>1</v>
      </c>
      <c r="AH16" s="158">
        <v>0</v>
      </c>
      <c r="AI16" s="158">
        <v>0</v>
      </c>
      <c r="AJ16" s="158">
        <v>0</v>
      </c>
      <c r="AK16" s="159">
        <v>1</v>
      </c>
      <c r="AL16" s="159">
        <v>6</v>
      </c>
      <c r="AM16" s="159">
        <v>1</v>
      </c>
      <c r="AN16" s="158">
        <v>0</v>
      </c>
      <c r="AO16" s="159">
        <v>2</v>
      </c>
      <c r="AP16" s="159">
        <v>8</v>
      </c>
      <c r="AQ16" s="159">
        <v>4</v>
      </c>
      <c r="AR16" s="159">
        <v>2</v>
      </c>
      <c r="AS16" s="159">
        <v>7</v>
      </c>
      <c r="AT16" s="159">
        <v>4</v>
      </c>
      <c r="AU16" s="159">
        <v>3</v>
      </c>
      <c r="AV16" s="159">
        <v>3</v>
      </c>
      <c r="AW16" s="159">
        <v>7</v>
      </c>
      <c r="AX16" s="159">
        <v>17</v>
      </c>
      <c r="AY16" s="159">
        <v>16</v>
      </c>
      <c r="AZ16" s="159">
        <v>10</v>
      </c>
      <c r="BA16" s="159">
        <v>24</v>
      </c>
      <c r="BB16" s="159">
        <v>37</v>
      </c>
      <c r="BC16" s="159">
        <v>15</v>
      </c>
      <c r="BD16" s="159">
        <v>12</v>
      </c>
      <c r="BE16" s="159">
        <v>21</v>
      </c>
      <c r="BF16" s="159">
        <v>19</v>
      </c>
      <c r="BG16" s="159">
        <v>12</v>
      </c>
      <c r="BH16" s="159">
        <v>39</v>
      </c>
      <c r="BI16" s="159">
        <v>25</v>
      </c>
      <c r="BJ16" s="159">
        <v>24</v>
      </c>
      <c r="BK16" s="159">
        <v>43</v>
      </c>
      <c r="BL16" s="159">
        <v>33</v>
      </c>
      <c r="BM16" s="159">
        <v>35</v>
      </c>
      <c r="BN16" s="159">
        <v>39</v>
      </c>
      <c r="BO16" s="159">
        <v>25</v>
      </c>
      <c r="BP16" s="159">
        <v>21</v>
      </c>
      <c r="BQ16" s="159">
        <v>18</v>
      </c>
      <c r="BR16" s="159">
        <v>15</v>
      </c>
      <c r="BS16" s="159">
        <v>16</v>
      </c>
      <c r="BT16" s="159">
        <v>28</v>
      </c>
      <c r="BU16" s="159">
        <v>32</v>
      </c>
      <c r="BV16" s="159">
        <v>17</v>
      </c>
      <c r="BW16" s="159">
        <v>27</v>
      </c>
      <c r="BX16" s="159">
        <v>43</v>
      </c>
      <c r="BY16" s="159">
        <v>37</v>
      </c>
      <c r="BZ16" s="159">
        <v>34</v>
      </c>
      <c r="CA16" s="159">
        <v>21</v>
      </c>
      <c r="CB16" s="159">
        <v>31</v>
      </c>
      <c r="CC16" s="159">
        <v>31</v>
      </c>
      <c r="CD16" s="159">
        <v>41</v>
      </c>
      <c r="CE16" s="159">
        <v>28</v>
      </c>
      <c r="CF16" s="159">
        <v>27</v>
      </c>
      <c r="CG16" s="159">
        <v>29</v>
      </c>
      <c r="CH16" s="159">
        <v>59</v>
      </c>
      <c r="CI16" s="159">
        <v>46</v>
      </c>
      <c r="CJ16" s="159">
        <v>30</v>
      </c>
      <c r="CK16" s="1" t="s">
        <v>9</v>
      </c>
      <c r="CL16" s="1" t="s">
        <v>9</v>
      </c>
      <c r="CM16" s="1" t="s">
        <v>9</v>
      </c>
      <c r="CN16" s="1" t="s">
        <v>9</v>
      </c>
      <c r="CO16" s="1" t="s">
        <v>9</v>
      </c>
      <c r="CP16" s="1" t="s">
        <v>9</v>
      </c>
      <c r="CQ16" s="1" t="s">
        <v>9</v>
      </c>
      <c r="CR16" s="1" t="s">
        <v>9</v>
      </c>
      <c r="CS16" s="1" t="s">
        <v>9</v>
      </c>
      <c r="CT16" s="1" t="s">
        <v>9</v>
      </c>
      <c r="CU16" s="1" t="s">
        <v>9</v>
      </c>
      <c r="CV16" s="1" t="s">
        <v>9</v>
      </c>
      <c r="CW16" s="1" t="s">
        <v>9</v>
      </c>
      <c r="CX16" s="1" t="s">
        <v>9</v>
      </c>
      <c r="CY16" s="1" t="s">
        <v>9</v>
      </c>
      <c r="CZ16" s="1" t="s">
        <v>9</v>
      </c>
      <c r="DA16" s="1" t="s">
        <v>9</v>
      </c>
      <c r="DB16" s="8" t="s">
        <v>9</v>
      </c>
    </row>
    <row r="17" spans="1:106" x14ac:dyDescent="0.25">
      <c r="A17" s="572" t="s">
        <v>0</v>
      </c>
      <c r="B17" s="11" t="s">
        <v>73</v>
      </c>
      <c r="C17" s="1" t="s">
        <v>9</v>
      </c>
      <c r="D17" s="1" t="s">
        <v>9</v>
      </c>
      <c r="E17" s="1" t="s">
        <v>9</v>
      </c>
      <c r="F17" s="1" t="s">
        <v>9</v>
      </c>
      <c r="G17" s="1" t="s">
        <v>9</v>
      </c>
      <c r="H17" s="1" t="s">
        <v>9</v>
      </c>
      <c r="I17" s="1" t="s">
        <v>9</v>
      </c>
      <c r="J17" s="1" t="s">
        <v>9</v>
      </c>
      <c r="K17" s="1" t="s">
        <v>9</v>
      </c>
      <c r="L17" s="1" t="s">
        <v>9</v>
      </c>
      <c r="M17" s="1" t="s">
        <v>9</v>
      </c>
      <c r="N17" s="1" t="s">
        <v>9</v>
      </c>
      <c r="O17" s="1" t="s">
        <v>9</v>
      </c>
      <c r="P17" s="1" t="s">
        <v>9</v>
      </c>
      <c r="Q17" s="1" t="s">
        <v>9</v>
      </c>
      <c r="R17" s="1" t="s">
        <v>9</v>
      </c>
      <c r="S17" s="1" t="s">
        <v>9</v>
      </c>
      <c r="T17" s="1" t="s">
        <v>9</v>
      </c>
      <c r="U17" s="1" t="s">
        <v>9</v>
      </c>
      <c r="V17" s="1" t="s">
        <v>9</v>
      </c>
      <c r="W17" s="1" t="s">
        <v>9</v>
      </c>
      <c r="X17" s="1" t="s">
        <v>9</v>
      </c>
      <c r="Y17" s="1" t="s">
        <v>9</v>
      </c>
      <c r="Z17" s="1" t="s">
        <v>9</v>
      </c>
      <c r="AA17" s="1" t="s">
        <v>9</v>
      </c>
      <c r="AB17" s="1" t="s">
        <v>9</v>
      </c>
      <c r="AC17" s="1" t="s">
        <v>9</v>
      </c>
      <c r="AD17" s="1" t="s">
        <v>9</v>
      </c>
      <c r="AE17" s="1" t="s">
        <v>9</v>
      </c>
      <c r="AF17" s="1" t="s">
        <v>9</v>
      </c>
      <c r="AG17" s="1" t="s">
        <v>9</v>
      </c>
      <c r="AH17" s="1" t="s">
        <v>9</v>
      </c>
      <c r="AI17" s="1" t="s">
        <v>9</v>
      </c>
      <c r="AJ17" s="1" t="s">
        <v>9</v>
      </c>
      <c r="AK17" s="1" t="s">
        <v>9</v>
      </c>
      <c r="AL17" s="1" t="s">
        <v>9</v>
      </c>
      <c r="AM17" s="1" t="s">
        <v>9</v>
      </c>
      <c r="AN17" s="1" t="s">
        <v>9</v>
      </c>
      <c r="AO17" s="1" t="s">
        <v>9</v>
      </c>
      <c r="AP17" s="1" t="s">
        <v>9</v>
      </c>
      <c r="AQ17" s="1" t="s">
        <v>9</v>
      </c>
      <c r="AR17" s="1" t="s">
        <v>9</v>
      </c>
      <c r="AS17" s="1" t="s">
        <v>9</v>
      </c>
      <c r="AT17" s="1" t="s">
        <v>9</v>
      </c>
      <c r="AU17" s="1" t="s">
        <v>9</v>
      </c>
      <c r="AV17" s="1" t="s">
        <v>9</v>
      </c>
      <c r="AW17" s="1" t="s">
        <v>9</v>
      </c>
      <c r="AX17" s="1" t="s">
        <v>9</v>
      </c>
      <c r="AY17" s="1" t="s">
        <v>9</v>
      </c>
      <c r="AZ17" s="1" t="s">
        <v>9</v>
      </c>
      <c r="BA17" s="1" t="s">
        <v>9</v>
      </c>
      <c r="BB17" s="1" t="s">
        <v>9</v>
      </c>
      <c r="BC17" s="1" t="s">
        <v>9</v>
      </c>
      <c r="BD17" s="1" t="s">
        <v>9</v>
      </c>
      <c r="BE17" s="1" t="s">
        <v>9</v>
      </c>
      <c r="BF17" s="1" t="s">
        <v>9</v>
      </c>
      <c r="BG17" s="1" t="s">
        <v>9</v>
      </c>
      <c r="BH17" s="1" t="s">
        <v>9</v>
      </c>
      <c r="BI17" s="1" t="s">
        <v>9</v>
      </c>
      <c r="BJ17" s="1" t="s">
        <v>9</v>
      </c>
      <c r="BK17" s="1" t="s">
        <v>9</v>
      </c>
      <c r="BL17" s="1" t="s">
        <v>9</v>
      </c>
      <c r="BM17" s="1" t="s">
        <v>9</v>
      </c>
      <c r="BN17" s="1" t="s">
        <v>9</v>
      </c>
      <c r="BO17" s="1" t="s">
        <v>9</v>
      </c>
      <c r="BP17" s="1" t="s">
        <v>9</v>
      </c>
      <c r="BQ17" s="1" t="s">
        <v>9</v>
      </c>
      <c r="BR17" s="1" t="s">
        <v>9</v>
      </c>
      <c r="BS17" s="1" t="s">
        <v>9</v>
      </c>
      <c r="BT17" s="1" t="s">
        <v>9</v>
      </c>
      <c r="BU17" s="1" t="s">
        <v>9</v>
      </c>
      <c r="BV17" s="1" t="s">
        <v>9</v>
      </c>
      <c r="BW17" s="1" t="s">
        <v>9</v>
      </c>
      <c r="BX17" s="1" t="s">
        <v>9</v>
      </c>
      <c r="BY17" s="1" t="s">
        <v>9</v>
      </c>
      <c r="BZ17" s="1" t="s">
        <v>9</v>
      </c>
      <c r="CA17" s="1" t="s">
        <v>9</v>
      </c>
      <c r="CB17" s="1" t="s">
        <v>9</v>
      </c>
      <c r="CC17" s="1" t="s">
        <v>9</v>
      </c>
      <c r="CD17" s="1" t="s">
        <v>9</v>
      </c>
      <c r="CE17" s="1" t="s">
        <v>9</v>
      </c>
      <c r="CF17" s="1" t="s">
        <v>9</v>
      </c>
      <c r="CG17" s="1" t="s">
        <v>9</v>
      </c>
      <c r="CH17" s="1" t="s">
        <v>9</v>
      </c>
      <c r="CI17" s="1" t="s">
        <v>9</v>
      </c>
      <c r="CJ17" s="6">
        <v>17</v>
      </c>
      <c r="CK17" s="6">
        <v>78</v>
      </c>
      <c r="CL17" s="6">
        <v>65</v>
      </c>
      <c r="CM17" s="6">
        <v>48</v>
      </c>
      <c r="CN17" s="6">
        <v>51</v>
      </c>
      <c r="CO17" s="6">
        <v>44</v>
      </c>
      <c r="CP17" s="6">
        <v>21</v>
      </c>
      <c r="CQ17" s="6">
        <v>15</v>
      </c>
      <c r="CR17" s="6">
        <v>9</v>
      </c>
      <c r="CS17" s="6">
        <v>20</v>
      </c>
      <c r="CT17" s="6">
        <v>15</v>
      </c>
      <c r="CU17" s="6">
        <v>7</v>
      </c>
      <c r="CV17" s="159">
        <v>3</v>
      </c>
      <c r="CW17" s="159">
        <v>1</v>
      </c>
      <c r="CX17" s="158">
        <v>0</v>
      </c>
      <c r="CY17" s="159">
        <v>1</v>
      </c>
      <c r="CZ17" s="1" t="s">
        <v>9</v>
      </c>
      <c r="DA17" s="158">
        <v>0</v>
      </c>
      <c r="DB17" s="206">
        <v>0</v>
      </c>
    </row>
    <row r="18" spans="1:106" x14ac:dyDescent="0.25">
      <c r="A18" s="572" t="s">
        <v>0</v>
      </c>
      <c r="B18" s="11" t="s">
        <v>57</v>
      </c>
      <c r="C18" s="1" t="s">
        <v>9</v>
      </c>
      <c r="D18" s="1" t="s">
        <v>9</v>
      </c>
      <c r="E18" s="1" t="s">
        <v>9</v>
      </c>
      <c r="F18" s="1" t="s">
        <v>9</v>
      </c>
      <c r="G18" s="1" t="s">
        <v>9</v>
      </c>
      <c r="H18" s="1" t="s">
        <v>9</v>
      </c>
      <c r="I18" s="1" t="s">
        <v>9</v>
      </c>
      <c r="J18" s="1" t="s">
        <v>9</v>
      </c>
      <c r="K18" s="1" t="s">
        <v>9</v>
      </c>
      <c r="L18" s="1" t="s">
        <v>9</v>
      </c>
      <c r="M18" s="1" t="s">
        <v>9</v>
      </c>
      <c r="N18" s="1" t="s">
        <v>9</v>
      </c>
      <c r="O18" s="1" t="s">
        <v>9</v>
      </c>
      <c r="P18" s="1" t="s">
        <v>9</v>
      </c>
      <c r="Q18" s="1" t="s">
        <v>9</v>
      </c>
      <c r="R18" s="1" t="s">
        <v>9</v>
      </c>
      <c r="S18" s="1" t="s">
        <v>9</v>
      </c>
      <c r="T18" s="1" t="s">
        <v>9</v>
      </c>
      <c r="U18" s="1" t="s">
        <v>9</v>
      </c>
      <c r="V18" s="1" t="s">
        <v>9</v>
      </c>
      <c r="W18" s="1" t="s">
        <v>9</v>
      </c>
      <c r="X18" s="1" t="s">
        <v>9</v>
      </c>
      <c r="Y18" s="1" t="s">
        <v>9</v>
      </c>
      <c r="Z18" s="1" t="s">
        <v>9</v>
      </c>
      <c r="AA18" s="1" t="s">
        <v>9</v>
      </c>
      <c r="AB18" s="1" t="s">
        <v>9</v>
      </c>
      <c r="AC18" s="1" t="s">
        <v>9</v>
      </c>
      <c r="AD18" s="1" t="s">
        <v>9</v>
      </c>
      <c r="AE18" s="1" t="s">
        <v>9</v>
      </c>
      <c r="AF18" s="1" t="s">
        <v>9</v>
      </c>
      <c r="AG18" s="1" t="s">
        <v>9</v>
      </c>
      <c r="AH18" s="1" t="s">
        <v>9</v>
      </c>
      <c r="AI18" s="1" t="s">
        <v>9</v>
      </c>
      <c r="AJ18" s="1" t="s">
        <v>9</v>
      </c>
      <c r="AK18" s="1" t="s">
        <v>9</v>
      </c>
      <c r="AL18" s="1" t="s">
        <v>9</v>
      </c>
      <c r="AM18" s="1" t="s">
        <v>9</v>
      </c>
      <c r="AN18" s="1" t="s">
        <v>9</v>
      </c>
      <c r="AO18" s="1" t="s">
        <v>9</v>
      </c>
      <c r="AP18" s="1" t="s">
        <v>9</v>
      </c>
      <c r="AQ18" s="1" t="s">
        <v>9</v>
      </c>
      <c r="AR18" s="1" t="s">
        <v>9</v>
      </c>
      <c r="AS18" s="1" t="s">
        <v>9</v>
      </c>
      <c r="AT18" s="1" t="s">
        <v>9</v>
      </c>
      <c r="AU18" s="1" t="s">
        <v>9</v>
      </c>
      <c r="AV18" s="1" t="s">
        <v>9</v>
      </c>
      <c r="AW18" s="1" t="s">
        <v>9</v>
      </c>
      <c r="AX18" s="1" t="s">
        <v>9</v>
      </c>
      <c r="AY18" s="1" t="s">
        <v>9</v>
      </c>
      <c r="AZ18" s="1" t="s">
        <v>9</v>
      </c>
      <c r="BA18" s="1" t="s">
        <v>9</v>
      </c>
      <c r="BB18" s="1" t="s">
        <v>9</v>
      </c>
      <c r="BC18" s="1" t="s">
        <v>9</v>
      </c>
      <c r="BD18" s="1" t="s">
        <v>9</v>
      </c>
      <c r="BE18" s="1" t="s">
        <v>9</v>
      </c>
      <c r="BF18" s="1" t="s">
        <v>9</v>
      </c>
      <c r="BG18" s="1" t="s">
        <v>9</v>
      </c>
      <c r="BH18" s="1" t="s">
        <v>9</v>
      </c>
      <c r="BI18" s="1" t="s">
        <v>9</v>
      </c>
      <c r="BJ18" s="1" t="s">
        <v>9</v>
      </c>
      <c r="BK18" s="1" t="s">
        <v>9</v>
      </c>
      <c r="BL18" s="1" t="s">
        <v>9</v>
      </c>
      <c r="BM18" s="1" t="s">
        <v>9</v>
      </c>
      <c r="BN18" s="1" t="s">
        <v>9</v>
      </c>
      <c r="BO18" s="1" t="s">
        <v>9</v>
      </c>
      <c r="BP18" s="1" t="s">
        <v>9</v>
      </c>
      <c r="BQ18" s="1" t="s">
        <v>9</v>
      </c>
      <c r="BR18" s="1" t="s">
        <v>9</v>
      </c>
      <c r="BS18" s="1" t="s">
        <v>9</v>
      </c>
      <c r="BT18" s="1" t="s">
        <v>9</v>
      </c>
      <c r="BU18" s="1" t="s">
        <v>9</v>
      </c>
      <c r="BV18" s="1" t="s">
        <v>9</v>
      </c>
      <c r="BW18" s="1" t="s">
        <v>9</v>
      </c>
      <c r="BX18" s="1" t="s">
        <v>9</v>
      </c>
      <c r="BY18" s="1" t="s">
        <v>9</v>
      </c>
      <c r="BZ18" s="1" t="s">
        <v>9</v>
      </c>
      <c r="CA18" s="1" t="s">
        <v>9</v>
      </c>
      <c r="CB18" s="1" t="s">
        <v>9</v>
      </c>
      <c r="CC18" s="1" t="s">
        <v>9</v>
      </c>
      <c r="CD18" s="1" t="s">
        <v>9</v>
      </c>
      <c r="CE18" s="1" t="s">
        <v>9</v>
      </c>
      <c r="CF18" s="1" t="s">
        <v>9</v>
      </c>
      <c r="CG18" s="1" t="s">
        <v>9</v>
      </c>
      <c r="CH18" s="1" t="s">
        <v>9</v>
      </c>
      <c r="CI18" s="1" t="s">
        <v>9</v>
      </c>
      <c r="CJ18" s="158">
        <v>0</v>
      </c>
      <c r="CK18" s="159">
        <v>2</v>
      </c>
      <c r="CL18" s="159">
        <v>1</v>
      </c>
      <c r="CM18" s="159">
        <v>2</v>
      </c>
      <c r="CN18" s="6">
        <v>8</v>
      </c>
      <c r="CO18" s="6">
        <v>18</v>
      </c>
      <c r="CP18" s="159">
        <v>5</v>
      </c>
      <c r="CQ18" s="6">
        <v>6</v>
      </c>
      <c r="CR18" s="6">
        <v>15</v>
      </c>
      <c r="CS18" s="6">
        <v>7</v>
      </c>
      <c r="CT18" s="159">
        <v>5</v>
      </c>
      <c r="CU18" s="6">
        <v>10</v>
      </c>
      <c r="CV18" s="6">
        <v>6</v>
      </c>
      <c r="CW18" s="159">
        <v>1</v>
      </c>
      <c r="CX18" s="159">
        <v>5</v>
      </c>
      <c r="CY18" s="158">
        <v>0</v>
      </c>
      <c r="CZ18" s="1" t="s">
        <v>9</v>
      </c>
      <c r="DA18" s="159">
        <v>2</v>
      </c>
      <c r="DB18" s="207">
        <v>1</v>
      </c>
    </row>
    <row r="19" spans="1:106" ht="15.75" thickBot="1" x14ac:dyDescent="0.3">
      <c r="A19" s="573" t="s">
        <v>0</v>
      </c>
      <c r="B19" s="208" t="s">
        <v>56</v>
      </c>
      <c r="C19" s="210">
        <v>0</v>
      </c>
      <c r="D19" s="210">
        <v>0</v>
      </c>
      <c r="E19" s="210">
        <v>0</v>
      </c>
      <c r="F19" s="210">
        <v>0</v>
      </c>
      <c r="G19" s="210">
        <v>0</v>
      </c>
      <c r="H19" s="210">
        <v>0</v>
      </c>
      <c r="I19" s="210">
        <v>0</v>
      </c>
      <c r="J19" s="210">
        <v>0</v>
      </c>
      <c r="K19" s="210">
        <v>0</v>
      </c>
      <c r="L19" s="210">
        <v>0</v>
      </c>
      <c r="M19" s="210">
        <v>0</v>
      </c>
      <c r="N19" s="210">
        <v>0</v>
      </c>
      <c r="O19" s="210">
        <v>0</v>
      </c>
      <c r="P19" s="210">
        <v>0</v>
      </c>
      <c r="Q19" s="210">
        <v>0</v>
      </c>
      <c r="R19" s="210">
        <v>0</v>
      </c>
      <c r="S19" s="210">
        <v>0</v>
      </c>
      <c r="T19" s="210">
        <v>0</v>
      </c>
      <c r="U19" s="210">
        <v>0</v>
      </c>
      <c r="V19" s="210">
        <v>0</v>
      </c>
      <c r="W19" s="210">
        <v>0</v>
      </c>
      <c r="X19" s="210">
        <v>0</v>
      </c>
      <c r="Y19" s="210">
        <v>0</v>
      </c>
      <c r="Z19" s="210">
        <v>0</v>
      </c>
      <c r="AA19" s="210">
        <v>0</v>
      </c>
      <c r="AB19" s="210">
        <v>0</v>
      </c>
      <c r="AC19" s="210">
        <v>0</v>
      </c>
      <c r="AD19" s="210">
        <v>0</v>
      </c>
      <c r="AE19" s="210">
        <v>0</v>
      </c>
      <c r="AF19" s="210">
        <v>0</v>
      </c>
      <c r="AG19" s="210">
        <v>0</v>
      </c>
      <c r="AH19" s="210">
        <v>0</v>
      </c>
      <c r="AI19" s="210">
        <v>0</v>
      </c>
      <c r="AJ19" s="210">
        <v>0</v>
      </c>
      <c r="AK19" s="210">
        <v>0</v>
      </c>
      <c r="AL19" s="210">
        <v>0</v>
      </c>
      <c r="AM19" s="210">
        <v>0</v>
      </c>
      <c r="AN19" s="210">
        <v>0</v>
      </c>
      <c r="AO19" s="210">
        <v>0</v>
      </c>
      <c r="AP19" s="210">
        <v>0</v>
      </c>
      <c r="AQ19" s="210">
        <v>0</v>
      </c>
      <c r="AR19" s="210">
        <v>0</v>
      </c>
      <c r="AS19" s="210">
        <v>0</v>
      </c>
      <c r="AT19" s="210">
        <v>0</v>
      </c>
      <c r="AU19" s="210">
        <v>0</v>
      </c>
      <c r="AV19" s="210">
        <v>0</v>
      </c>
      <c r="AW19" s="210">
        <v>0</v>
      </c>
      <c r="AX19" s="210">
        <v>0</v>
      </c>
      <c r="AY19" s="210">
        <v>0</v>
      </c>
      <c r="AZ19" s="210">
        <v>0</v>
      </c>
      <c r="BA19" s="210">
        <v>0</v>
      </c>
      <c r="BB19" s="210">
        <v>0</v>
      </c>
      <c r="BC19" s="210">
        <v>0</v>
      </c>
      <c r="BD19" s="210">
        <v>0</v>
      </c>
      <c r="BE19" s="210">
        <v>0</v>
      </c>
      <c r="BF19" s="210">
        <v>0</v>
      </c>
      <c r="BG19" s="210">
        <v>0</v>
      </c>
      <c r="BH19" s="211">
        <v>2</v>
      </c>
      <c r="BI19" s="210">
        <v>0</v>
      </c>
      <c r="BJ19" s="211">
        <v>1</v>
      </c>
      <c r="BK19" s="210">
        <v>0</v>
      </c>
      <c r="BL19" s="211">
        <v>1</v>
      </c>
      <c r="BM19" s="210">
        <v>0</v>
      </c>
      <c r="BN19" s="210">
        <v>0</v>
      </c>
      <c r="BO19" s="210">
        <v>0</v>
      </c>
      <c r="BP19" s="210">
        <v>0</v>
      </c>
      <c r="BQ19" s="211">
        <v>1</v>
      </c>
      <c r="BR19" s="211">
        <v>1</v>
      </c>
      <c r="BS19" s="211">
        <v>1</v>
      </c>
      <c r="BT19" s="210">
        <v>0</v>
      </c>
      <c r="BU19" s="211">
        <v>1</v>
      </c>
      <c r="BV19" s="210">
        <v>0</v>
      </c>
      <c r="BW19" s="211">
        <v>1</v>
      </c>
      <c r="BX19" s="211">
        <v>3</v>
      </c>
      <c r="BY19" s="212">
        <v>13</v>
      </c>
      <c r="BZ19" s="212">
        <v>11</v>
      </c>
      <c r="CA19" s="212">
        <v>9</v>
      </c>
      <c r="CB19" s="212">
        <v>19</v>
      </c>
      <c r="CC19" s="212">
        <v>28</v>
      </c>
      <c r="CD19" s="212">
        <v>31</v>
      </c>
      <c r="CE19" s="212">
        <v>27</v>
      </c>
      <c r="CF19" s="212">
        <v>71</v>
      </c>
      <c r="CG19" s="212">
        <v>38</v>
      </c>
      <c r="CH19" s="212">
        <v>43</v>
      </c>
      <c r="CI19" s="212">
        <v>36</v>
      </c>
      <c r="CJ19" s="212">
        <v>16</v>
      </c>
      <c r="CK19" s="212">
        <v>29</v>
      </c>
      <c r="CL19" s="212">
        <v>25</v>
      </c>
      <c r="CM19" s="212">
        <v>12</v>
      </c>
      <c r="CN19" s="212">
        <v>8</v>
      </c>
      <c r="CO19" s="211">
        <v>2</v>
      </c>
      <c r="CP19" s="211">
        <v>1</v>
      </c>
      <c r="CQ19" s="211">
        <v>2</v>
      </c>
      <c r="CR19" s="211">
        <v>1</v>
      </c>
      <c r="CS19" s="211">
        <v>2</v>
      </c>
      <c r="CT19" s="211">
        <v>5</v>
      </c>
      <c r="CU19" s="211">
        <v>3</v>
      </c>
      <c r="CV19" s="211">
        <v>1</v>
      </c>
      <c r="CW19" s="210">
        <v>0</v>
      </c>
      <c r="CX19" s="210">
        <v>0</v>
      </c>
      <c r="CY19" s="210">
        <v>0</v>
      </c>
      <c r="CZ19" s="210">
        <v>0</v>
      </c>
      <c r="DA19" s="210">
        <v>0</v>
      </c>
      <c r="DB19" s="209">
        <v>0</v>
      </c>
    </row>
    <row r="20" spans="1:106" x14ac:dyDescent="0.25">
      <c r="B20" t="str">
        <f>B13</f>
        <v>Current Baseline to Start &amp; Not Started (Incompletes)</v>
      </c>
      <c r="C20">
        <f t="shared" ref="C20:AH20" si="0">C13*-1</f>
        <v>0</v>
      </c>
      <c r="D20">
        <f t="shared" si="0"/>
        <v>0</v>
      </c>
      <c r="E20">
        <f t="shared" si="0"/>
        <v>0</v>
      </c>
      <c r="F20">
        <f t="shared" si="0"/>
        <v>0</v>
      </c>
      <c r="G20">
        <f t="shared" si="0"/>
        <v>0</v>
      </c>
      <c r="H20">
        <f t="shared" si="0"/>
        <v>0</v>
      </c>
      <c r="I20">
        <f t="shared" si="0"/>
        <v>0</v>
      </c>
      <c r="J20">
        <f t="shared" si="0"/>
        <v>0</v>
      </c>
      <c r="K20">
        <f t="shared" si="0"/>
        <v>0</v>
      </c>
      <c r="L20">
        <f t="shared" si="0"/>
        <v>0</v>
      </c>
      <c r="M20">
        <f t="shared" si="0"/>
        <v>0</v>
      </c>
      <c r="N20">
        <f t="shared" si="0"/>
        <v>0</v>
      </c>
      <c r="O20">
        <f t="shared" si="0"/>
        <v>0</v>
      </c>
      <c r="P20">
        <f t="shared" si="0"/>
        <v>0</v>
      </c>
      <c r="Q20">
        <f t="shared" si="0"/>
        <v>0</v>
      </c>
      <c r="R20">
        <f t="shared" si="0"/>
        <v>0</v>
      </c>
      <c r="S20">
        <f t="shared" si="0"/>
        <v>0</v>
      </c>
      <c r="T20">
        <f t="shared" si="0"/>
        <v>0</v>
      </c>
      <c r="U20">
        <f t="shared" si="0"/>
        <v>0</v>
      </c>
      <c r="V20">
        <f t="shared" si="0"/>
        <v>0</v>
      </c>
      <c r="W20">
        <f t="shared" si="0"/>
        <v>0</v>
      </c>
      <c r="X20">
        <f t="shared" si="0"/>
        <v>0</v>
      </c>
      <c r="Y20">
        <f t="shared" si="0"/>
        <v>0</v>
      </c>
      <c r="Z20">
        <f t="shared" si="0"/>
        <v>0</v>
      </c>
      <c r="AA20">
        <f t="shared" si="0"/>
        <v>0</v>
      </c>
      <c r="AB20">
        <f t="shared" si="0"/>
        <v>0</v>
      </c>
      <c r="AC20">
        <f t="shared" si="0"/>
        <v>0</v>
      </c>
      <c r="AD20">
        <f t="shared" si="0"/>
        <v>0</v>
      </c>
      <c r="AE20">
        <f t="shared" si="0"/>
        <v>0</v>
      </c>
      <c r="AF20">
        <f t="shared" si="0"/>
        <v>0</v>
      </c>
      <c r="AG20">
        <f t="shared" si="0"/>
        <v>0</v>
      </c>
      <c r="AH20">
        <f t="shared" si="0"/>
        <v>0</v>
      </c>
      <c r="AI20">
        <f t="shared" ref="AI20:BN20" si="1">AI13*-1</f>
        <v>0</v>
      </c>
      <c r="AJ20">
        <f t="shared" si="1"/>
        <v>0</v>
      </c>
      <c r="AK20">
        <f t="shared" si="1"/>
        <v>0</v>
      </c>
      <c r="AL20">
        <f t="shared" si="1"/>
        <v>0</v>
      </c>
      <c r="AM20">
        <f t="shared" si="1"/>
        <v>0</v>
      </c>
      <c r="AN20">
        <f t="shared" si="1"/>
        <v>0</v>
      </c>
      <c r="AO20">
        <f t="shared" si="1"/>
        <v>0</v>
      </c>
      <c r="AP20">
        <f t="shared" si="1"/>
        <v>0</v>
      </c>
      <c r="AQ20">
        <f t="shared" si="1"/>
        <v>0</v>
      </c>
      <c r="AR20">
        <f t="shared" si="1"/>
        <v>0</v>
      </c>
      <c r="AS20">
        <f t="shared" si="1"/>
        <v>0</v>
      </c>
      <c r="AT20">
        <f t="shared" si="1"/>
        <v>0</v>
      </c>
      <c r="AU20">
        <f t="shared" si="1"/>
        <v>0</v>
      </c>
      <c r="AV20">
        <f t="shared" si="1"/>
        <v>0</v>
      </c>
      <c r="AW20">
        <f t="shared" si="1"/>
        <v>0</v>
      </c>
      <c r="AX20">
        <f t="shared" si="1"/>
        <v>0</v>
      </c>
      <c r="AY20">
        <f t="shared" si="1"/>
        <v>0</v>
      </c>
      <c r="AZ20">
        <f t="shared" si="1"/>
        <v>0</v>
      </c>
      <c r="BA20">
        <f t="shared" si="1"/>
        <v>0</v>
      </c>
      <c r="BB20">
        <f t="shared" si="1"/>
        <v>0</v>
      </c>
      <c r="BC20">
        <f t="shared" si="1"/>
        <v>0</v>
      </c>
      <c r="BD20">
        <f t="shared" si="1"/>
        <v>0</v>
      </c>
      <c r="BE20">
        <f t="shared" si="1"/>
        <v>0</v>
      </c>
      <c r="BF20">
        <f t="shared" si="1"/>
        <v>0</v>
      </c>
      <c r="BG20">
        <f t="shared" si="1"/>
        <v>0</v>
      </c>
      <c r="BH20">
        <f t="shared" si="1"/>
        <v>-2</v>
      </c>
      <c r="BI20">
        <f t="shared" si="1"/>
        <v>0</v>
      </c>
      <c r="BJ20">
        <f t="shared" si="1"/>
        <v>-1</v>
      </c>
      <c r="BK20">
        <f t="shared" si="1"/>
        <v>0</v>
      </c>
      <c r="BL20">
        <f t="shared" si="1"/>
        <v>0</v>
      </c>
      <c r="BM20">
        <f t="shared" si="1"/>
        <v>0</v>
      </c>
      <c r="BN20">
        <f t="shared" si="1"/>
        <v>0</v>
      </c>
      <c r="BO20">
        <f t="shared" ref="BO20:CT20" si="2">BO13*-1</f>
        <v>0</v>
      </c>
      <c r="BP20">
        <f t="shared" si="2"/>
        <v>0</v>
      </c>
      <c r="BQ20">
        <f t="shared" si="2"/>
        <v>-1</v>
      </c>
      <c r="BR20">
        <f t="shared" si="2"/>
        <v>0</v>
      </c>
      <c r="BS20">
        <f t="shared" si="2"/>
        <v>0</v>
      </c>
      <c r="BT20">
        <f t="shared" si="2"/>
        <v>0</v>
      </c>
      <c r="BU20">
        <f t="shared" si="2"/>
        <v>-1</v>
      </c>
      <c r="BV20">
        <f t="shared" si="2"/>
        <v>0</v>
      </c>
      <c r="BW20">
        <f t="shared" si="2"/>
        <v>0</v>
      </c>
      <c r="BX20">
        <f t="shared" si="2"/>
        <v>-3</v>
      </c>
      <c r="BY20">
        <f t="shared" si="2"/>
        <v>-15</v>
      </c>
      <c r="BZ20">
        <f t="shared" si="2"/>
        <v>-9</v>
      </c>
      <c r="CA20">
        <f t="shared" si="2"/>
        <v>-7</v>
      </c>
      <c r="CB20">
        <f t="shared" si="2"/>
        <v>-11</v>
      </c>
      <c r="CC20">
        <f t="shared" si="2"/>
        <v>-24</v>
      </c>
      <c r="CD20">
        <f t="shared" si="2"/>
        <v>-31</v>
      </c>
      <c r="CE20">
        <f t="shared" si="2"/>
        <v>-18</v>
      </c>
      <c r="CF20">
        <f t="shared" si="2"/>
        <v>-66</v>
      </c>
      <c r="CG20">
        <f t="shared" si="2"/>
        <v>-45</v>
      </c>
      <c r="CH20">
        <f t="shared" si="2"/>
        <v>-47</v>
      </c>
      <c r="CI20">
        <f t="shared" si="2"/>
        <v>-32</v>
      </c>
      <c r="CJ20">
        <f t="shared" si="2"/>
        <v>-9</v>
      </c>
      <c r="CK20">
        <f t="shared" si="2"/>
        <v>-29</v>
      </c>
      <c r="CL20">
        <f t="shared" si="2"/>
        <v>-26</v>
      </c>
      <c r="CM20">
        <f t="shared" si="2"/>
        <v>-8</v>
      </c>
      <c r="CN20">
        <f t="shared" si="2"/>
        <v>-7</v>
      </c>
      <c r="CO20">
        <f t="shared" si="2"/>
        <v>-1</v>
      </c>
      <c r="CP20">
        <f t="shared" si="2"/>
        <v>-1</v>
      </c>
      <c r="CQ20">
        <f t="shared" si="2"/>
        <v>-1</v>
      </c>
      <c r="CR20">
        <f t="shared" si="2"/>
        <v>-1</v>
      </c>
      <c r="CS20">
        <f t="shared" si="2"/>
        <v>-4</v>
      </c>
      <c r="CT20">
        <f t="shared" si="2"/>
        <v>-5</v>
      </c>
      <c r="CU20">
        <f t="shared" ref="CU20:DB20" si="3">CU13*-1</f>
        <v>-1</v>
      </c>
      <c r="CV20">
        <f t="shared" si="3"/>
        <v>-1</v>
      </c>
      <c r="CW20">
        <f t="shared" si="3"/>
        <v>0</v>
      </c>
      <c r="CX20">
        <f t="shared" si="3"/>
        <v>0</v>
      </c>
      <c r="CY20">
        <f t="shared" si="3"/>
        <v>0</v>
      </c>
      <c r="CZ20">
        <f t="shared" si="3"/>
        <v>0</v>
      </c>
      <c r="DA20">
        <f t="shared" si="3"/>
        <v>0</v>
      </c>
      <c r="DB20">
        <f t="shared" si="3"/>
        <v>0</v>
      </c>
    </row>
    <row r="21" spans="1:106" x14ac:dyDescent="0.25">
      <c r="B21" t="str">
        <f>B19</f>
        <v>Current Baseline to Finish &amp; Not Finished (Incompletes)</v>
      </c>
      <c r="C21">
        <f t="shared" ref="C21:AH21" si="4">C19*-1</f>
        <v>0</v>
      </c>
      <c r="D21">
        <f t="shared" si="4"/>
        <v>0</v>
      </c>
      <c r="E21">
        <f t="shared" si="4"/>
        <v>0</v>
      </c>
      <c r="F21">
        <f t="shared" si="4"/>
        <v>0</v>
      </c>
      <c r="G21">
        <f t="shared" si="4"/>
        <v>0</v>
      </c>
      <c r="H21">
        <f t="shared" si="4"/>
        <v>0</v>
      </c>
      <c r="I21">
        <f t="shared" si="4"/>
        <v>0</v>
      </c>
      <c r="J21">
        <f t="shared" si="4"/>
        <v>0</v>
      </c>
      <c r="K21">
        <f t="shared" si="4"/>
        <v>0</v>
      </c>
      <c r="L21">
        <f t="shared" si="4"/>
        <v>0</v>
      </c>
      <c r="M21">
        <f t="shared" si="4"/>
        <v>0</v>
      </c>
      <c r="N21">
        <f t="shared" si="4"/>
        <v>0</v>
      </c>
      <c r="O21">
        <f t="shared" si="4"/>
        <v>0</v>
      </c>
      <c r="P21">
        <f t="shared" si="4"/>
        <v>0</v>
      </c>
      <c r="Q21">
        <f t="shared" si="4"/>
        <v>0</v>
      </c>
      <c r="R21">
        <f t="shared" si="4"/>
        <v>0</v>
      </c>
      <c r="S21">
        <f t="shared" si="4"/>
        <v>0</v>
      </c>
      <c r="T21">
        <f t="shared" si="4"/>
        <v>0</v>
      </c>
      <c r="U21">
        <f t="shared" si="4"/>
        <v>0</v>
      </c>
      <c r="V21">
        <f t="shared" si="4"/>
        <v>0</v>
      </c>
      <c r="W21">
        <f t="shared" si="4"/>
        <v>0</v>
      </c>
      <c r="X21">
        <f t="shared" si="4"/>
        <v>0</v>
      </c>
      <c r="Y21">
        <f t="shared" si="4"/>
        <v>0</v>
      </c>
      <c r="Z21">
        <f t="shared" si="4"/>
        <v>0</v>
      </c>
      <c r="AA21">
        <f t="shared" si="4"/>
        <v>0</v>
      </c>
      <c r="AB21">
        <f t="shared" si="4"/>
        <v>0</v>
      </c>
      <c r="AC21">
        <f t="shared" si="4"/>
        <v>0</v>
      </c>
      <c r="AD21">
        <f t="shared" si="4"/>
        <v>0</v>
      </c>
      <c r="AE21">
        <f t="shared" si="4"/>
        <v>0</v>
      </c>
      <c r="AF21">
        <f t="shared" si="4"/>
        <v>0</v>
      </c>
      <c r="AG21">
        <f t="shared" si="4"/>
        <v>0</v>
      </c>
      <c r="AH21">
        <f t="shared" si="4"/>
        <v>0</v>
      </c>
      <c r="AI21">
        <f t="shared" ref="AI21:BN21" si="5">AI19*-1</f>
        <v>0</v>
      </c>
      <c r="AJ21">
        <f t="shared" si="5"/>
        <v>0</v>
      </c>
      <c r="AK21">
        <f t="shared" si="5"/>
        <v>0</v>
      </c>
      <c r="AL21">
        <f t="shared" si="5"/>
        <v>0</v>
      </c>
      <c r="AM21">
        <f t="shared" si="5"/>
        <v>0</v>
      </c>
      <c r="AN21">
        <f t="shared" si="5"/>
        <v>0</v>
      </c>
      <c r="AO21">
        <f t="shared" si="5"/>
        <v>0</v>
      </c>
      <c r="AP21">
        <f t="shared" si="5"/>
        <v>0</v>
      </c>
      <c r="AQ21">
        <f t="shared" si="5"/>
        <v>0</v>
      </c>
      <c r="AR21">
        <f t="shared" si="5"/>
        <v>0</v>
      </c>
      <c r="AS21">
        <f t="shared" si="5"/>
        <v>0</v>
      </c>
      <c r="AT21">
        <f t="shared" si="5"/>
        <v>0</v>
      </c>
      <c r="AU21">
        <f t="shared" si="5"/>
        <v>0</v>
      </c>
      <c r="AV21">
        <f t="shared" si="5"/>
        <v>0</v>
      </c>
      <c r="AW21">
        <f t="shared" si="5"/>
        <v>0</v>
      </c>
      <c r="AX21">
        <f t="shared" si="5"/>
        <v>0</v>
      </c>
      <c r="AY21">
        <f t="shared" si="5"/>
        <v>0</v>
      </c>
      <c r="AZ21">
        <f t="shared" si="5"/>
        <v>0</v>
      </c>
      <c r="BA21">
        <f t="shared" si="5"/>
        <v>0</v>
      </c>
      <c r="BB21">
        <f t="shared" si="5"/>
        <v>0</v>
      </c>
      <c r="BC21">
        <f t="shared" si="5"/>
        <v>0</v>
      </c>
      <c r="BD21">
        <f t="shared" si="5"/>
        <v>0</v>
      </c>
      <c r="BE21">
        <f t="shared" si="5"/>
        <v>0</v>
      </c>
      <c r="BF21">
        <f t="shared" si="5"/>
        <v>0</v>
      </c>
      <c r="BG21">
        <f t="shared" si="5"/>
        <v>0</v>
      </c>
      <c r="BH21">
        <f t="shared" si="5"/>
        <v>-2</v>
      </c>
      <c r="BI21">
        <f t="shared" si="5"/>
        <v>0</v>
      </c>
      <c r="BJ21">
        <f t="shared" si="5"/>
        <v>-1</v>
      </c>
      <c r="BK21">
        <f t="shared" si="5"/>
        <v>0</v>
      </c>
      <c r="BL21">
        <f t="shared" si="5"/>
        <v>-1</v>
      </c>
      <c r="BM21">
        <f t="shared" si="5"/>
        <v>0</v>
      </c>
      <c r="BN21">
        <f t="shared" si="5"/>
        <v>0</v>
      </c>
      <c r="BO21">
        <f t="shared" ref="BO21:CT21" si="6">BO19*-1</f>
        <v>0</v>
      </c>
      <c r="BP21">
        <f t="shared" si="6"/>
        <v>0</v>
      </c>
      <c r="BQ21">
        <f t="shared" si="6"/>
        <v>-1</v>
      </c>
      <c r="BR21">
        <f t="shared" si="6"/>
        <v>-1</v>
      </c>
      <c r="BS21">
        <f t="shared" si="6"/>
        <v>-1</v>
      </c>
      <c r="BT21">
        <f t="shared" si="6"/>
        <v>0</v>
      </c>
      <c r="BU21">
        <f t="shared" si="6"/>
        <v>-1</v>
      </c>
      <c r="BV21">
        <f t="shared" si="6"/>
        <v>0</v>
      </c>
      <c r="BW21">
        <f t="shared" si="6"/>
        <v>-1</v>
      </c>
      <c r="BX21">
        <f t="shared" si="6"/>
        <v>-3</v>
      </c>
      <c r="BY21">
        <f t="shared" si="6"/>
        <v>-13</v>
      </c>
      <c r="BZ21">
        <f t="shared" si="6"/>
        <v>-11</v>
      </c>
      <c r="CA21">
        <f t="shared" si="6"/>
        <v>-9</v>
      </c>
      <c r="CB21">
        <f t="shared" si="6"/>
        <v>-19</v>
      </c>
      <c r="CC21">
        <f t="shared" si="6"/>
        <v>-28</v>
      </c>
      <c r="CD21">
        <f t="shared" si="6"/>
        <v>-31</v>
      </c>
      <c r="CE21">
        <f t="shared" si="6"/>
        <v>-27</v>
      </c>
      <c r="CF21">
        <f t="shared" si="6"/>
        <v>-71</v>
      </c>
      <c r="CG21">
        <f t="shared" si="6"/>
        <v>-38</v>
      </c>
      <c r="CH21">
        <f t="shared" si="6"/>
        <v>-43</v>
      </c>
      <c r="CI21">
        <f t="shared" si="6"/>
        <v>-36</v>
      </c>
      <c r="CJ21">
        <f t="shared" si="6"/>
        <v>-16</v>
      </c>
      <c r="CK21">
        <f t="shared" si="6"/>
        <v>-29</v>
      </c>
      <c r="CL21">
        <f t="shared" si="6"/>
        <v>-25</v>
      </c>
      <c r="CM21">
        <f t="shared" si="6"/>
        <v>-12</v>
      </c>
      <c r="CN21">
        <f t="shared" si="6"/>
        <v>-8</v>
      </c>
      <c r="CO21">
        <f t="shared" si="6"/>
        <v>-2</v>
      </c>
      <c r="CP21">
        <f t="shared" si="6"/>
        <v>-1</v>
      </c>
      <c r="CQ21">
        <f t="shared" si="6"/>
        <v>-2</v>
      </c>
      <c r="CR21">
        <f t="shared" si="6"/>
        <v>-1</v>
      </c>
      <c r="CS21">
        <f t="shared" si="6"/>
        <v>-2</v>
      </c>
      <c r="CT21">
        <f t="shared" si="6"/>
        <v>-5</v>
      </c>
      <c r="CU21">
        <f t="shared" ref="CU21:DB21" si="7">CU19*-1</f>
        <v>-3</v>
      </c>
      <c r="CV21">
        <f t="shared" si="7"/>
        <v>-1</v>
      </c>
      <c r="CW21">
        <f t="shared" si="7"/>
        <v>0</v>
      </c>
      <c r="CX21">
        <f t="shared" si="7"/>
        <v>0</v>
      </c>
      <c r="CY21">
        <f t="shared" si="7"/>
        <v>0</v>
      </c>
      <c r="CZ21">
        <f t="shared" si="7"/>
        <v>0</v>
      </c>
      <c r="DA21">
        <f t="shared" si="7"/>
        <v>0</v>
      </c>
      <c r="DB21">
        <f t="shared" si="7"/>
        <v>0</v>
      </c>
    </row>
    <row r="22" spans="1:106" x14ac:dyDescent="0.25">
      <c r="B22" s="17" t="s">
        <v>21</v>
      </c>
    </row>
    <row r="44" spans="109:109" x14ac:dyDescent="0.25">
      <c r="DE44" s="523" t="s">
        <v>192</v>
      </c>
    </row>
    <row r="45" spans="109:109" x14ac:dyDescent="0.25">
      <c r="DE45" s="524"/>
    </row>
    <row r="46" spans="109:109" x14ac:dyDescent="0.25">
      <c r="DE46" s="523" t="s">
        <v>193</v>
      </c>
    </row>
    <row r="47" spans="109:109" x14ac:dyDescent="0.25">
      <c r="DE47" s="524"/>
    </row>
    <row r="48" spans="109:109" x14ac:dyDescent="0.25">
      <c r="DE48" s="523" t="s">
        <v>194</v>
      </c>
    </row>
    <row r="49" spans="109:109" x14ac:dyDescent="0.25">
      <c r="DE49" s="524"/>
    </row>
    <row r="50" spans="109:109" x14ac:dyDescent="0.25">
      <c r="DE50" s="523" t="s">
        <v>195</v>
      </c>
    </row>
    <row r="51" spans="109:109" x14ac:dyDescent="0.25">
      <c r="DE51" s="524"/>
    </row>
    <row r="52" spans="109:109" x14ac:dyDescent="0.25">
      <c r="DE52" s="523" t="s">
        <v>196</v>
      </c>
    </row>
    <row r="53" spans="109:109" x14ac:dyDescent="0.25">
      <c r="DE53" s="524"/>
    </row>
    <row r="54" spans="109:109" x14ac:dyDescent="0.25">
      <c r="DE54" s="523" t="s">
        <v>197</v>
      </c>
    </row>
    <row r="55" spans="109:109" x14ac:dyDescent="0.25">
      <c r="DE55" s="527"/>
    </row>
    <row r="56" spans="109:109" x14ac:dyDescent="0.25">
      <c r="DE56" s="530" t="s">
        <v>198</v>
      </c>
    </row>
    <row r="57" spans="109:109" x14ac:dyDescent="0.25">
      <c r="DE57" s="530" t="s">
        <v>199</v>
      </c>
    </row>
    <row r="58" spans="109:109" x14ac:dyDescent="0.25">
      <c r="DE58" s="530" t="s">
        <v>200</v>
      </c>
    </row>
  </sheetData>
  <mergeCells count="4">
    <mergeCell ref="A3:DB3"/>
    <mergeCell ref="A5:DB5"/>
    <mergeCell ref="C6:DB6"/>
    <mergeCell ref="A8:A19"/>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7D6AE-2F01-44E1-ABC1-25B918C9783E}">
  <sheetPr codeName="Sheet3">
    <tabColor rgb="FF00FFFF"/>
  </sheetPr>
  <dimension ref="B1:AM2156"/>
  <sheetViews>
    <sheetView topLeftCell="X1" zoomScale="85" zoomScaleNormal="85" workbookViewId="0">
      <pane ySplit="5" topLeftCell="A12" activePane="bottomLeft" state="frozen"/>
      <selection pane="bottomLeft" activeCell="AL19" sqref="AL19"/>
    </sheetView>
  </sheetViews>
  <sheetFormatPr defaultRowHeight="15" x14ac:dyDescent="0.25"/>
  <cols>
    <col min="2" max="2" width="15.85546875" customWidth="1"/>
    <col min="3" max="3" width="11.85546875" customWidth="1"/>
    <col min="4" max="4" width="43.28515625" customWidth="1"/>
    <col min="5" max="6" width="9.140625" style="15"/>
    <col min="7" max="7" width="11.5703125" style="15" customWidth="1"/>
    <col min="8" max="8" width="17.42578125" customWidth="1"/>
    <col min="9" max="9" width="9.140625" customWidth="1"/>
    <col min="10" max="10" width="9.7109375" bestFit="1" customWidth="1"/>
    <col min="14" max="14" width="13.140625" customWidth="1"/>
    <col min="15" max="18" width="10.28515625" customWidth="1"/>
    <col min="19" max="19" width="11.5703125" customWidth="1"/>
    <col min="20" max="20" width="11.85546875" customWidth="1"/>
  </cols>
  <sheetData>
    <row r="1" spans="2:38" ht="18.75" x14ac:dyDescent="0.3">
      <c r="B1" s="231" t="s">
        <v>295</v>
      </c>
    </row>
    <row r="3" spans="2:38" ht="54.75" customHeight="1" x14ac:dyDescent="0.25">
      <c r="B3" s="203" t="s">
        <v>55</v>
      </c>
      <c r="C3" s="574" t="s">
        <v>50</v>
      </c>
      <c r="D3" s="574"/>
      <c r="E3" s="574"/>
      <c r="F3" s="574"/>
      <c r="G3" s="574"/>
      <c r="H3" s="574"/>
      <c r="I3" s="574"/>
      <c r="J3" s="574"/>
      <c r="K3" s="574"/>
      <c r="L3" s="574"/>
      <c r="M3" s="574"/>
      <c r="N3" s="574"/>
      <c r="O3" s="574" t="s">
        <v>54</v>
      </c>
      <c r="P3" s="574"/>
      <c r="Q3" s="574"/>
      <c r="R3" s="574"/>
      <c r="S3" s="574" t="s">
        <v>213</v>
      </c>
      <c r="T3" s="574"/>
      <c r="U3" s="574"/>
      <c r="V3" s="574"/>
      <c r="W3" s="574"/>
      <c r="X3" s="574"/>
      <c r="Y3" s="574"/>
      <c r="Z3" s="574"/>
      <c r="AA3" s="574"/>
      <c r="AB3" s="574"/>
      <c r="AC3" s="574"/>
      <c r="AD3" s="574"/>
      <c r="AE3" s="574"/>
      <c r="AF3" s="574"/>
    </row>
    <row r="4" spans="2:38" ht="45" x14ac:dyDescent="0.25">
      <c r="O4" s="220" t="s">
        <v>67</v>
      </c>
      <c r="P4" s="220" t="s">
        <v>69</v>
      </c>
      <c r="Q4" s="220" t="s">
        <v>70</v>
      </c>
      <c r="R4" s="220" t="s">
        <v>68</v>
      </c>
    </row>
    <row r="5" spans="2:38" ht="39.75" customHeight="1" x14ac:dyDescent="0.25">
      <c r="B5" s="202" t="s">
        <v>29</v>
      </c>
      <c r="C5" s="200" t="s">
        <v>34</v>
      </c>
      <c r="D5" s="200" t="s">
        <v>35</v>
      </c>
      <c r="E5" s="201" t="s">
        <v>32</v>
      </c>
      <c r="F5" s="201" t="s">
        <v>33</v>
      </c>
      <c r="G5" s="229" t="s">
        <v>31</v>
      </c>
      <c r="H5" s="202" t="s">
        <v>28</v>
      </c>
      <c r="I5" s="202" t="s">
        <v>72</v>
      </c>
      <c r="J5" s="202" t="s">
        <v>71</v>
      </c>
      <c r="K5" s="202" t="s">
        <v>37</v>
      </c>
      <c r="L5" s="202" t="s">
        <v>38</v>
      </c>
      <c r="M5" s="202" t="s">
        <v>53</v>
      </c>
      <c r="O5" s="164">
        <v>0.15</v>
      </c>
      <c r="P5" s="165">
        <v>0.25</v>
      </c>
      <c r="Q5" s="165">
        <v>0.75</v>
      </c>
      <c r="R5" s="164">
        <v>0.85</v>
      </c>
      <c r="S5" s="532" t="s">
        <v>220</v>
      </c>
      <c r="T5" s="533" t="s">
        <v>219</v>
      </c>
    </row>
    <row r="6" spans="2:38" x14ac:dyDescent="0.25">
      <c r="B6" s="169">
        <f>H6</f>
        <v>5.1413881748071976E-4</v>
      </c>
      <c r="C6">
        <v>1274</v>
      </c>
      <c r="E6">
        <v>132</v>
      </c>
      <c r="F6">
        <v>1</v>
      </c>
      <c r="G6" s="15">
        <v>7.5757575757575803E-3</v>
      </c>
      <c r="H6" s="167">
        <f t="shared" ref="H6:H69" si="0">1/$L$6</f>
        <v>5.1413881748071976E-4</v>
      </c>
      <c r="I6" s="168">
        <f>MIN(G:G)</f>
        <v>7.5757575757575803E-3</v>
      </c>
      <c r="J6" s="168">
        <f>AVERAGE(G:G)</f>
        <v>2.0066246942687909</v>
      </c>
      <c r="K6" s="168">
        <f>MAX(G:G)</f>
        <v>109.5</v>
      </c>
      <c r="L6" s="17">
        <f>COUNTA(C:C)-2</f>
        <v>1945</v>
      </c>
      <c r="M6" s="171">
        <f>L6+3</f>
        <v>1948</v>
      </c>
      <c r="N6" s="204" t="s">
        <v>52</v>
      </c>
      <c r="O6" s="169">
        <f>O5</f>
        <v>0.15</v>
      </c>
      <c r="P6" s="169">
        <f>P5</f>
        <v>0.25</v>
      </c>
      <c r="Q6" s="169">
        <f>Q5</f>
        <v>0.75</v>
      </c>
      <c r="R6" s="169">
        <f>R5</f>
        <v>0.85</v>
      </c>
    </row>
    <row r="7" spans="2:38" x14ac:dyDescent="0.25">
      <c r="B7" s="169">
        <f t="shared" ref="B7:B70" si="1">B6+H7</f>
        <v>1.0282776349614395E-3</v>
      </c>
      <c r="C7">
        <v>2645</v>
      </c>
      <c r="E7">
        <v>80</v>
      </c>
      <c r="F7">
        <v>1</v>
      </c>
      <c r="G7" s="15">
        <v>1.2500000000000001E-2</v>
      </c>
      <c r="H7" s="167">
        <f t="shared" si="0"/>
        <v>5.1413881748071976E-4</v>
      </c>
      <c r="I7" s="167"/>
      <c r="J7" s="167"/>
      <c r="N7" s="205" t="s">
        <v>51</v>
      </c>
      <c r="O7" s="169" cm="1">
        <f t="array" ref="O7">INDEX($B$6:$B$1950,MATCH(MIN(ABS($B$6:$B$1950-O6)),ABS($B$6:$B$1850-O6),0))</f>
        <v>0.15012853470437007</v>
      </c>
      <c r="P7" s="169" cm="1">
        <f t="array" ref="P7">INDEX($B$6:$B$1950,MATCH(MIN(ABS($B$6:$B$1950-P6)),ABS($B$6:$B$1850-P6),0))</f>
        <v>0.24987146529562962</v>
      </c>
      <c r="Q7" s="169" cm="1">
        <f t="array" ref="Q7">INDEX($B$6:$B$1950,MATCH(MIN(ABS($B$6:$B$1950-Q6)),ABS($B$6:$B$1850-Q6),0))</f>
        <v>0.75012853470439644</v>
      </c>
      <c r="R7" s="169" cm="1">
        <f t="array" ref="R7">INDEX($B$6:$B$1950,MATCH(MIN(ABS($B$6:$B$1950-R6)),ABS($B$6:$B$1850-R6),0))</f>
        <v>0.84987146529566138</v>
      </c>
      <c r="AL7" s="523" t="s">
        <v>201</v>
      </c>
    </row>
    <row r="8" spans="2:38" x14ac:dyDescent="0.25">
      <c r="B8" s="169">
        <f t="shared" si="1"/>
        <v>1.5424164524421593E-3</v>
      </c>
      <c r="C8">
        <v>2627</v>
      </c>
      <c r="E8">
        <v>60</v>
      </c>
      <c r="F8">
        <v>1</v>
      </c>
      <c r="G8" s="15">
        <v>1.6666666666666701E-2</v>
      </c>
      <c r="H8" s="167">
        <f t="shared" si="0"/>
        <v>5.1413881748071976E-4</v>
      </c>
      <c r="I8" s="167"/>
      <c r="J8" s="167"/>
      <c r="N8" s="205" t="s">
        <v>30</v>
      </c>
      <c r="O8" s="221">
        <f>VLOOKUP(O7,$B$6:$H$1950,6)</f>
        <v>0.75</v>
      </c>
      <c r="P8" s="222">
        <f>VLOOKUP(P7,$B$6:$H$1950,6)</f>
        <v>1</v>
      </c>
      <c r="Q8" s="222">
        <f>VLOOKUP(Q7,$B$6:$H$1950,6)</f>
        <v>1.45</v>
      </c>
      <c r="R8" s="221">
        <f>VLOOKUP(R7,$B$6:$H$1950,6)</f>
        <v>2.5</v>
      </c>
      <c r="AL8" s="524"/>
    </row>
    <row r="9" spans="2:38" ht="26.25" x14ac:dyDescent="0.4">
      <c r="B9" s="169">
        <f t="shared" si="1"/>
        <v>2.056555269922879E-3</v>
      </c>
      <c r="C9">
        <v>2642</v>
      </c>
      <c r="E9">
        <v>60</v>
      </c>
      <c r="F9">
        <v>1</v>
      </c>
      <c r="G9" s="15">
        <v>1.6666666666666701E-2</v>
      </c>
      <c r="H9" s="167">
        <f t="shared" si="0"/>
        <v>5.1413881748071976E-4</v>
      </c>
      <c r="I9" s="167"/>
      <c r="J9" s="167"/>
      <c r="O9" s="531" t="s">
        <v>214</v>
      </c>
      <c r="P9" s="531" t="s">
        <v>214</v>
      </c>
      <c r="Q9" s="531" t="s">
        <v>214</v>
      </c>
      <c r="R9" s="531" t="s">
        <v>214</v>
      </c>
      <c r="AL9" s="523" t="s">
        <v>202</v>
      </c>
    </row>
    <row r="10" spans="2:38" ht="36" x14ac:dyDescent="0.25">
      <c r="B10" s="169">
        <f t="shared" si="1"/>
        <v>2.5706940874035988E-3</v>
      </c>
      <c r="C10">
        <v>3636</v>
      </c>
      <c r="E10">
        <v>40</v>
      </c>
      <c r="F10">
        <v>1</v>
      </c>
      <c r="G10" s="15">
        <v>2.5000000000000001E-2</v>
      </c>
      <c r="H10" s="167">
        <f t="shared" si="0"/>
        <v>5.1413881748071976E-4</v>
      </c>
      <c r="I10" s="167"/>
      <c r="J10" s="167"/>
      <c r="O10" s="533" t="s">
        <v>217</v>
      </c>
      <c r="P10" s="533" t="s">
        <v>215</v>
      </c>
      <c r="Q10" s="533" t="s">
        <v>216</v>
      </c>
      <c r="R10" s="533" t="s">
        <v>218</v>
      </c>
      <c r="AL10" s="527"/>
    </row>
    <row r="11" spans="2:38" x14ac:dyDescent="0.25">
      <c r="B11" s="169">
        <f t="shared" si="1"/>
        <v>3.0848329048843185E-3</v>
      </c>
      <c r="C11">
        <v>2632</v>
      </c>
      <c r="E11">
        <v>38</v>
      </c>
      <c r="F11">
        <v>1</v>
      </c>
      <c r="G11" s="15">
        <v>2.6315789473684199E-2</v>
      </c>
      <c r="H11" s="167">
        <f t="shared" si="0"/>
        <v>5.1413881748071976E-4</v>
      </c>
      <c r="I11" s="167"/>
      <c r="J11" s="167"/>
      <c r="AL11" s="530" t="s">
        <v>203</v>
      </c>
    </row>
    <row r="12" spans="2:38" x14ac:dyDescent="0.25">
      <c r="B12" s="169">
        <f t="shared" si="1"/>
        <v>3.5989717223650383E-3</v>
      </c>
      <c r="C12">
        <v>3630</v>
      </c>
      <c r="E12">
        <v>30</v>
      </c>
      <c r="F12">
        <v>1</v>
      </c>
      <c r="G12" s="15">
        <v>3.3333333333333298E-2</v>
      </c>
      <c r="H12" s="167">
        <f t="shared" si="0"/>
        <v>5.1413881748071976E-4</v>
      </c>
      <c r="I12" s="167"/>
      <c r="J12" s="167"/>
      <c r="AL12" s="530" t="s">
        <v>204</v>
      </c>
    </row>
    <row r="13" spans="2:38" x14ac:dyDescent="0.25">
      <c r="B13" s="169">
        <f t="shared" si="1"/>
        <v>4.1131105398457581E-3</v>
      </c>
      <c r="C13">
        <v>4341</v>
      </c>
      <c r="E13">
        <v>18</v>
      </c>
      <c r="F13">
        <v>1</v>
      </c>
      <c r="G13" s="15">
        <v>5.5555555555555601E-2</v>
      </c>
      <c r="H13" s="167">
        <f t="shared" si="0"/>
        <v>5.1413881748071976E-4</v>
      </c>
      <c r="I13" s="167"/>
      <c r="J13" s="167"/>
      <c r="AL13" s="530" t="s">
        <v>205</v>
      </c>
    </row>
    <row r="14" spans="2:38" x14ac:dyDescent="0.25">
      <c r="B14" s="169">
        <f t="shared" si="1"/>
        <v>4.6272493573264774E-3</v>
      </c>
      <c r="C14">
        <v>2447</v>
      </c>
      <c r="E14">
        <v>18</v>
      </c>
      <c r="F14">
        <v>1</v>
      </c>
      <c r="G14" s="15">
        <v>5.5555555555555601E-2</v>
      </c>
      <c r="H14" s="167">
        <f t="shared" si="0"/>
        <v>5.1413881748071976E-4</v>
      </c>
      <c r="I14" s="167"/>
      <c r="J14" s="167"/>
      <c r="AL14" s="524"/>
    </row>
    <row r="15" spans="2:38" x14ac:dyDescent="0.25">
      <c r="B15" s="169">
        <f t="shared" si="1"/>
        <v>5.1413881748071967E-3</v>
      </c>
      <c r="C15">
        <v>4243</v>
      </c>
      <c r="E15">
        <v>292</v>
      </c>
      <c r="F15">
        <v>18</v>
      </c>
      <c r="G15" s="15">
        <v>6.1643835616438401E-2</v>
      </c>
      <c r="H15" s="167">
        <f t="shared" si="0"/>
        <v>5.1413881748071976E-4</v>
      </c>
      <c r="I15" s="167"/>
      <c r="J15" s="167"/>
      <c r="AL15" s="523" t="s">
        <v>206</v>
      </c>
    </row>
    <row r="16" spans="2:38" x14ac:dyDescent="0.25">
      <c r="B16" s="169">
        <f t="shared" si="1"/>
        <v>5.655526992287916E-3</v>
      </c>
      <c r="C16">
        <v>969</v>
      </c>
      <c r="E16">
        <v>15</v>
      </c>
      <c r="F16">
        <v>1</v>
      </c>
      <c r="G16" s="15">
        <v>6.6666666666666693E-2</v>
      </c>
      <c r="H16" s="167">
        <f t="shared" si="0"/>
        <v>5.1413881748071976E-4</v>
      </c>
      <c r="I16" s="167"/>
      <c r="J16" s="167"/>
      <c r="AL16" s="524"/>
    </row>
    <row r="17" spans="2:38" x14ac:dyDescent="0.25">
      <c r="B17" s="169">
        <f t="shared" si="1"/>
        <v>6.1696658097686354E-3</v>
      </c>
      <c r="C17">
        <v>972</v>
      </c>
      <c r="E17">
        <v>15</v>
      </c>
      <c r="F17">
        <v>1</v>
      </c>
      <c r="G17" s="15">
        <v>6.6666666666666693E-2</v>
      </c>
      <c r="H17" s="167">
        <f t="shared" si="0"/>
        <v>5.1413881748071976E-4</v>
      </c>
      <c r="I17" s="167"/>
      <c r="J17" s="167"/>
      <c r="AL17" s="523" t="s">
        <v>207</v>
      </c>
    </row>
    <row r="18" spans="2:38" x14ac:dyDescent="0.25">
      <c r="B18" s="169">
        <f t="shared" si="1"/>
        <v>6.6838046272493547E-3</v>
      </c>
      <c r="C18">
        <v>4332</v>
      </c>
      <c r="E18">
        <v>15</v>
      </c>
      <c r="F18">
        <v>1</v>
      </c>
      <c r="G18" s="15">
        <v>6.6666666666666693E-2</v>
      </c>
      <c r="H18" s="167">
        <f t="shared" si="0"/>
        <v>5.1413881748071976E-4</v>
      </c>
      <c r="I18" s="167"/>
      <c r="J18" s="167"/>
      <c r="AL18" s="524"/>
    </row>
    <row r="19" spans="2:38" x14ac:dyDescent="0.25">
      <c r="B19" s="169">
        <f t="shared" si="1"/>
        <v>7.197943444730074E-3</v>
      </c>
      <c r="C19">
        <v>4345</v>
      </c>
      <c r="E19">
        <v>15</v>
      </c>
      <c r="F19">
        <v>1</v>
      </c>
      <c r="G19" s="15">
        <v>6.6666666666666693E-2</v>
      </c>
      <c r="H19" s="167">
        <f t="shared" si="0"/>
        <v>5.1413881748071976E-4</v>
      </c>
      <c r="I19" s="167"/>
      <c r="J19" s="167"/>
      <c r="AL19" s="523" t="s">
        <v>208</v>
      </c>
    </row>
    <row r="20" spans="2:38" x14ac:dyDescent="0.25">
      <c r="B20" s="169">
        <f t="shared" si="1"/>
        <v>7.7120822622107933E-3</v>
      </c>
      <c r="C20">
        <v>6056</v>
      </c>
      <c r="E20">
        <v>15</v>
      </c>
      <c r="F20">
        <v>1</v>
      </c>
      <c r="G20" s="15">
        <v>6.6666666666666693E-2</v>
      </c>
      <c r="H20" s="167">
        <f t="shared" si="0"/>
        <v>5.1413881748071976E-4</v>
      </c>
      <c r="I20" s="167"/>
      <c r="J20" s="167"/>
      <c r="AL20" s="524"/>
    </row>
    <row r="21" spans="2:38" x14ac:dyDescent="0.25">
      <c r="B21" s="169">
        <f t="shared" si="1"/>
        <v>8.2262210796915126E-3</v>
      </c>
      <c r="C21">
        <v>2582</v>
      </c>
      <c r="E21">
        <v>15</v>
      </c>
      <c r="F21">
        <v>1</v>
      </c>
      <c r="G21" s="15">
        <v>6.6666666666666693E-2</v>
      </c>
      <c r="H21" s="167">
        <f t="shared" si="0"/>
        <v>5.1413881748071976E-4</v>
      </c>
      <c r="I21" s="167"/>
      <c r="J21" s="167"/>
      <c r="AL21" s="523" t="s">
        <v>209</v>
      </c>
    </row>
    <row r="22" spans="2:38" x14ac:dyDescent="0.25">
      <c r="B22" s="169">
        <f t="shared" si="1"/>
        <v>8.740359897172232E-3</v>
      </c>
      <c r="C22">
        <v>2462</v>
      </c>
      <c r="E22">
        <v>15</v>
      </c>
      <c r="F22">
        <v>1</v>
      </c>
      <c r="G22" s="15">
        <v>6.6666666666666693E-2</v>
      </c>
      <c r="H22" s="167">
        <f t="shared" si="0"/>
        <v>5.1413881748071976E-4</v>
      </c>
      <c r="I22" s="167"/>
      <c r="J22" s="167"/>
      <c r="AL22" s="527"/>
    </row>
    <row r="23" spans="2:38" x14ac:dyDescent="0.25">
      <c r="B23" s="169">
        <f t="shared" si="1"/>
        <v>9.2544987146529513E-3</v>
      </c>
      <c r="C23">
        <v>2463</v>
      </c>
      <c r="E23">
        <v>15</v>
      </c>
      <c r="F23">
        <v>1</v>
      </c>
      <c r="G23" s="15">
        <v>6.6666666666666693E-2</v>
      </c>
      <c r="H23" s="167">
        <f t="shared" si="0"/>
        <v>5.1413881748071976E-4</v>
      </c>
      <c r="I23" s="167"/>
      <c r="J23" s="167"/>
      <c r="AL23" s="530" t="s">
        <v>210</v>
      </c>
    </row>
    <row r="24" spans="2:38" x14ac:dyDescent="0.25">
      <c r="B24" s="169">
        <f t="shared" si="1"/>
        <v>9.7686375321336706E-3</v>
      </c>
      <c r="C24">
        <v>2596</v>
      </c>
      <c r="E24">
        <v>13</v>
      </c>
      <c r="F24">
        <v>1</v>
      </c>
      <c r="G24" s="15">
        <v>7.69230769230769E-2</v>
      </c>
      <c r="H24" s="167">
        <f t="shared" si="0"/>
        <v>5.1413881748071976E-4</v>
      </c>
      <c r="I24" s="167"/>
      <c r="J24" s="167"/>
      <c r="AL24" s="530" t="s">
        <v>211</v>
      </c>
    </row>
    <row r="25" spans="2:38" x14ac:dyDescent="0.25">
      <c r="B25" s="169">
        <f t="shared" si="1"/>
        <v>1.028277634961439E-2</v>
      </c>
      <c r="C25">
        <v>2042</v>
      </c>
      <c r="E25">
        <v>23</v>
      </c>
      <c r="F25">
        <v>2</v>
      </c>
      <c r="G25" s="15">
        <v>8.6956521739130405E-2</v>
      </c>
      <c r="H25" s="167">
        <f t="shared" si="0"/>
        <v>5.1413881748071976E-4</v>
      </c>
      <c r="I25" s="167"/>
      <c r="J25" s="167"/>
      <c r="AL25" s="530" t="s">
        <v>212</v>
      </c>
    </row>
    <row r="26" spans="2:38" x14ac:dyDescent="0.25">
      <c r="B26" s="169">
        <f t="shared" si="1"/>
        <v>1.0796915167095109E-2</v>
      </c>
      <c r="C26">
        <v>4450</v>
      </c>
      <c r="E26">
        <v>10</v>
      </c>
      <c r="F26">
        <v>1</v>
      </c>
      <c r="G26" s="15">
        <v>0.1</v>
      </c>
      <c r="H26" s="167">
        <f t="shared" si="0"/>
        <v>5.1413881748071976E-4</v>
      </c>
      <c r="I26" s="167"/>
      <c r="J26" s="167"/>
    </row>
    <row r="27" spans="2:38" x14ac:dyDescent="0.25">
      <c r="B27" s="169">
        <f t="shared" si="1"/>
        <v>1.1311053984575829E-2</v>
      </c>
      <c r="C27">
        <v>4009</v>
      </c>
      <c r="E27">
        <v>30</v>
      </c>
      <c r="F27">
        <v>3</v>
      </c>
      <c r="G27" s="15">
        <v>0.1</v>
      </c>
      <c r="H27" s="167">
        <f t="shared" si="0"/>
        <v>5.1413881748071976E-4</v>
      </c>
      <c r="I27" s="167"/>
      <c r="J27" s="167"/>
    </row>
    <row r="28" spans="2:38" x14ac:dyDescent="0.25">
      <c r="B28" s="169">
        <f t="shared" si="1"/>
        <v>1.1825192802056548E-2</v>
      </c>
      <c r="C28">
        <v>3994</v>
      </c>
      <c r="E28">
        <v>10</v>
      </c>
      <c r="F28">
        <v>1</v>
      </c>
      <c r="G28" s="15">
        <v>0.1</v>
      </c>
      <c r="H28" s="167">
        <f t="shared" si="0"/>
        <v>5.1413881748071976E-4</v>
      </c>
      <c r="I28" s="167"/>
      <c r="J28" s="167"/>
    </row>
    <row r="29" spans="2:38" x14ac:dyDescent="0.25">
      <c r="B29" s="169">
        <f t="shared" si="1"/>
        <v>1.2339331619537267E-2</v>
      </c>
      <c r="C29">
        <v>3995</v>
      </c>
      <c r="E29">
        <v>10</v>
      </c>
      <c r="F29">
        <v>1</v>
      </c>
      <c r="G29" s="15">
        <v>0.1</v>
      </c>
      <c r="H29" s="167">
        <f t="shared" si="0"/>
        <v>5.1413881748071976E-4</v>
      </c>
      <c r="I29" s="167"/>
      <c r="J29" s="167"/>
    </row>
    <row r="30" spans="2:38" x14ac:dyDescent="0.25">
      <c r="B30" s="169">
        <f t="shared" si="1"/>
        <v>1.2853470437017987E-2</v>
      </c>
      <c r="C30">
        <v>5564</v>
      </c>
      <c r="E30">
        <v>10</v>
      </c>
      <c r="F30">
        <v>1</v>
      </c>
      <c r="G30" s="15">
        <v>0.1</v>
      </c>
      <c r="H30" s="167">
        <f t="shared" si="0"/>
        <v>5.1413881748071976E-4</v>
      </c>
      <c r="I30" s="167"/>
      <c r="J30" s="167"/>
    </row>
    <row r="31" spans="2:38" x14ac:dyDescent="0.25">
      <c r="B31" s="169">
        <f t="shared" si="1"/>
        <v>1.3367609254498706E-2</v>
      </c>
      <c r="C31">
        <v>5885</v>
      </c>
      <c r="E31">
        <v>90</v>
      </c>
      <c r="F31">
        <v>10</v>
      </c>
      <c r="G31" s="15">
        <v>0.11111111111111099</v>
      </c>
      <c r="H31" s="167">
        <f t="shared" si="0"/>
        <v>5.1413881748071976E-4</v>
      </c>
      <c r="I31" s="167"/>
      <c r="J31" s="167"/>
    </row>
    <row r="32" spans="2:38" x14ac:dyDescent="0.25">
      <c r="B32" s="169">
        <f t="shared" si="1"/>
        <v>1.3881748071979425E-2</v>
      </c>
      <c r="C32">
        <v>1778</v>
      </c>
      <c r="E32">
        <v>9</v>
      </c>
      <c r="F32">
        <v>1</v>
      </c>
      <c r="G32" s="15">
        <v>0.11111111111111099</v>
      </c>
      <c r="H32" s="167">
        <f t="shared" si="0"/>
        <v>5.1413881748071976E-4</v>
      </c>
      <c r="I32" s="167"/>
      <c r="J32" s="167"/>
    </row>
    <row r="33" spans="2:28" x14ac:dyDescent="0.25">
      <c r="B33" s="169">
        <f t="shared" si="1"/>
        <v>1.4395886889460145E-2</v>
      </c>
      <c r="C33">
        <v>1779</v>
      </c>
      <c r="E33">
        <v>9</v>
      </c>
      <c r="F33">
        <v>1</v>
      </c>
      <c r="G33" s="15">
        <v>0.11111111111111099</v>
      </c>
      <c r="H33" s="167">
        <f t="shared" si="0"/>
        <v>5.1413881748071976E-4</v>
      </c>
      <c r="I33" s="167"/>
      <c r="J33" s="167"/>
    </row>
    <row r="34" spans="2:28" x14ac:dyDescent="0.25">
      <c r="B34" s="169">
        <f t="shared" si="1"/>
        <v>1.4910025706940864E-2</v>
      </c>
      <c r="C34">
        <v>5999</v>
      </c>
      <c r="E34">
        <v>125</v>
      </c>
      <c r="F34">
        <v>14</v>
      </c>
      <c r="G34" s="15">
        <v>0.112</v>
      </c>
      <c r="H34" s="167">
        <f t="shared" si="0"/>
        <v>5.1413881748071976E-4</v>
      </c>
      <c r="I34" s="167"/>
      <c r="J34" s="167"/>
    </row>
    <row r="35" spans="2:28" x14ac:dyDescent="0.25">
      <c r="B35" s="169">
        <f t="shared" si="1"/>
        <v>1.5424164524421583E-2</v>
      </c>
      <c r="C35">
        <v>4882</v>
      </c>
      <c r="E35">
        <v>40</v>
      </c>
      <c r="F35">
        <v>5</v>
      </c>
      <c r="G35" s="15">
        <v>0.125</v>
      </c>
      <c r="H35" s="167">
        <f t="shared" si="0"/>
        <v>5.1413881748071976E-4</v>
      </c>
      <c r="I35" s="167"/>
      <c r="J35" s="167"/>
    </row>
    <row r="36" spans="2:28" x14ac:dyDescent="0.25">
      <c r="B36" s="169">
        <f t="shared" si="1"/>
        <v>1.5938303341902302E-2</v>
      </c>
      <c r="C36">
        <v>4115</v>
      </c>
      <c r="E36">
        <v>8</v>
      </c>
      <c r="F36">
        <v>1</v>
      </c>
      <c r="G36" s="15">
        <v>0.125</v>
      </c>
      <c r="H36" s="167">
        <f t="shared" si="0"/>
        <v>5.1413881748071976E-4</v>
      </c>
      <c r="I36" s="167"/>
      <c r="J36" s="167"/>
    </row>
    <row r="37" spans="2:28" x14ac:dyDescent="0.25">
      <c r="B37" s="169">
        <f t="shared" si="1"/>
        <v>1.6452442159383022E-2</v>
      </c>
      <c r="C37">
        <v>4160</v>
      </c>
      <c r="E37">
        <v>16</v>
      </c>
      <c r="F37">
        <v>2</v>
      </c>
      <c r="G37" s="15">
        <v>0.125</v>
      </c>
      <c r="H37" s="167">
        <f t="shared" si="0"/>
        <v>5.1413881748071976E-4</v>
      </c>
      <c r="I37" s="167"/>
      <c r="J37" s="167"/>
    </row>
    <row r="38" spans="2:28" x14ac:dyDescent="0.25">
      <c r="B38" s="169">
        <f t="shared" si="1"/>
        <v>1.6966580976863741E-2</v>
      </c>
      <c r="C38">
        <v>4004</v>
      </c>
      <c r="E38">
        <v>15</v>
      </c>
      <c r="F38">
        <v>2</v>
      </c>
      <c r="G38" s="15">
        <v>0.133333333333333</v>
      </c>
      <c r="H38" s="167">
        <f t="shared" si="0"/>
        <v>5.1413881748071976E-4</v>
      </c>
      <c r="I38" s="167"/>
      <c r="J38" s="167"/>
    </row>
    <row r="39" spans="2:28" x14ac:dyDescent="0.25">
      <c r="B39" s="169">
        <f t="shared" si="1"/>
        <v>1.748071979434446E-2</v>
      </c>
      <c r="C39">
        <v>5530</v>
      </c>
      <c r="E39">
        <v>15</v>
      </c>
      <c r="F39">
        <v>2</v>
      </c>
      <c r="G39" s="15">
        <v>0.133333333333333</v>
      </c>
      <c r="H39" s="167">
        <f t="shared" si="0"/>
        <v>5.1413881748071976E-4</v>
      </c>
      <c r="I39" s="167"/>
      <c r="J39" s="167"/>
    </row>
    <row r="40" spans="2:28" x14ac:dyDescent="0.25">
      <c r="B40" s="169">
        <f t="shared" si="1"/>
        <v>1.799485861182518E-2</v>
      </c>
      <c r="C40">
        <v>4015</v>
      </c>
      <c r="E40">
        <v>15</v>
      </c>
      <c r="F40">
        <v>2</v>
      </c>
      <c r="G40" s="15">
        <v>0.133333333333333</v>
      </c>
      <c r="H40" s="167">
        <f t="shared" si="0"/>
        <v>5.1413881748071976E-4</v>
      </c>
      <c r="I40" s="167"/>
      <c r="J40" s="167"/>
    </row>
    <row r="41" spans="2:28" x14ac:dyDescent="0.25">
      <c r="B41" s="169">
        <f t="shared" si="1"/>
        <v>1.8508997429305899E-2</v>
      </c>
      <c r="C41">
        <v>4877</v>
      </c>
      <c r="E41">
        <v>37</v>
      </c>
      <c r="F41">
        <v>5</v>
      </c>
      <c r="G41" s="15">
        <v>0.135135135135135</v>
      </c>
      <c r="H41" s="167">
        <f t="shared" si="0"/>
        <v>5.1413881748071976E-4</v>
      </c>
      <c r="I41" s="167"/>
      <c r="J41" s="167"/>
    </row>
    <row r="42" spans="2:28" x14ac:dyDescent="0.25">
      <c r="B42" s="169">
        <f t="shared" si="1"/>
        <v>1.9023136246786618E-2</v>
      </c>
      <c r="C42">
        <v>2405</v>
      </c>
      <c r="E42">
        <v>65</v>
      </c>
      <c r="F42">
        <v>9</v>
      </c>
      <c r="G42" s="15">
        <v>0.138461538461538</v>
      </c>
      <c r="H42" s="167">
        <f t="shared" si="0"/>
        <v>5.1413881748071976E-4</v>
      </c>
      <c r="I42" s="167"/>
      <c r="J42" s="167"/>
    </row>
    <row r="43" spans="2:28" x14ac:dyDescent="0.25">
      <c r="B43" s="169">
        <f t="shared" si="1"/>
        <v>1.9537275064267338E-2</v>
      </c>
      <c r="C43">
        <v>2410</v>
      </c>
      <c r="E43">
        <v>85</v>
      </c>
      <c r="F43">
        <v>14</v>
      </c>
      <c r="G43" s="15">
        <v>0.16470588235294101</v>
      </c>
      <c r="H43" s="167">
        <f t="shared" si="0"/>
        <v>5.1413881748071976E-4</v>
      </c>
      <c r="I43" s="167"/>
      <c r="J43" s="167"/>
      <c r="P43" s="166"/>
      <c r="Q43" s="170"/>
      <c r="R43" s="15"/>
      <c r="S43" s="15"/>
      <c r="T43" s="15"/>
      <c r="X43" s="166"/>
      <c r="Y43" s="170"/>
      <c r="Z43" s="15"/>
      <c r="AA43" s="15"/>
      <c r="AB43" s="15"/>
    </row>
    <row r="44" spans="2:28" x14ac:dyDescent="0.25">
      <c r="B44" s="169">
        <f t="shared" si="1"/>
        <v>2.0051413881748057E-2</v>
      </c>
      <c r="C44">
        <v>4859</v>
      </c>
      <c r="E44">
        <v>25</v>
      </c>
      <c r="F44">
        <v>5</v>
      </c>
      <c r="G44" s="15">
        <v>0.2</v>
      </c>
      <c r="H44" s="167">
        <f t="shared" si="0"/>
        <v>5.1413881748071976E-4</v>
      </c>
      <c r="I44" s="167"/>
      <c r="J44" s="167"/>
      <c r="Q44" s="170"/>
      <c r="R44" s="15"/>
      <c r="S44" s="15"/>
      <c r="T44" s="15"/>
      <c r="Y44" s="170"/>
      <c r="Z44" s="15"/>
      <c r="AA44" s="15"/>
      <c r="AB44" s="15"/>
    </row>
    <row r="45" spans="2:28" x14ac:dyDescent="0.25">
      <c r="B45" s="169">
        <f t="shared" si="1"/>
        <v>2.0565552699228776E-2</v>
      </c>
      <c r="C45">
        <v>4861</v>
      </c>
      <c r="E45">
        <v>25</v>
      </c>
      <c r="F45">
        <v>5</v>
      </c>
      <c r="G45" s="15">
        <v>0.2</v>
      </c>
      <c r="H45" s="167">
        <f t="shared" si="0"/>
        <v>5.1413881748071976E-4</v>
      </c>
      <c r="I45" s="167"/>
      <c r="J45" s="167"/>
      <c r="M45" s="166"/>
      <c r="N45" s="172"/>
      <c r="O45" s="168"/>
      <c r="R45" s="171"/>
      <c r="S45" s="171"/>
      <c r="T45" s="171"/>
      <c r="Z45" s="171"/>
      <c r="AA45" s="171"/>
      <c r="AB45" s="171"/>
    </row>
    <row r="46" spans="2:28" x14ac:dyDescent="0.25">
      <c r="B46" s="169">
        <f t="shared" si="1"/>
        <v>2.1079691516709496E-2</v>
      </c>
      <c r="C46">
        <v>4886</v>
      </c>
      <c r="E46">
        <v>15</v>
      </c>
      <c r="F46">
        <v>3</v>
      </c>
      <c r="G46" s="15">
        <v>0.2</v>
      </c>
      <c r="H46" s="167">
        <f t="shared" si="0"/>
        <v>5.1413881748071976E-4</v>
      </c>
      <c r="I46" s="167"/>
      <c r="J46" s="167"/>
      <c r="S46" s="15"/>
      <c r="AA46" s="15"/>
    </row>
    <row r="47" spans="2:28" x14ac:dyDescent="0.25">
      <c r="B47" s="169">
        <f t="shared" si="1"/>
        <v>2.1593830334190215E-2</v>
      </c>
      <c r="C47">
        <v>4891</v>
      </c>
      <c r="E47">
        <v>15</v>
      </c>
      <c r="F47">
        <v>3</v>
      </c>
      <c r="G47" s="15">
        <v>0.2</v>
      </c>
      <c r="H47" s="167">
        <f t="shared" si="0"/>
        <v>5.1413881748071976E-4</v>
      </c>
      <c r="I47" s="167"/>
      <c r="J47" s="167"/>
      <c r="S47" s="15"/>
      <c r="AA47" s="15"/>
    </row>
    <row r="48" spans="2:28" x14ac:dyDescent="0.25">
      <c r="B48" s="169">
        <f t="shared" si="1"/>
        <v>2.2107969151670934E-2</v>
      </c>
      <c r="C48">
        <v>4864</v>
      </c>
      <c r="E48">
        <v>10</v>
      </c>
      <c r="F48">
        <v>2</v>
      </c>
      <c r="G48" s="15">
        <v>0.2</v>
      </c>
      <c r="H48" s="167">
        <f t="shared" si="0"/>
        <v>5.1413881748071976E-4</v>
      </c>
      <c r="I48" s="167"/>
      <c r="J48" s="167"/>
      <c r="S48" s="15"/>
      <c r="AA48" s="15"/>
    </row>
    <row r="49" spans="2:30" x14ac:dyDescent="0.25">
      <c r="B49" s="169">
        <f t="shared" si="1"/>
        <v>2.2622107969151654E-2</v>
      </c>
      <c r="C49">
        <v>5535</v>
      </c>
      <c r="E49">
        <v>5</v>
      </c>
      <c r="F49">
        <v>1</v>
      </c>
      <c r="G49" s="15">
        <v>0.2</v>
      </c>
      <c r="H49" s="167">
        <f t="shared" si="0"/>
        <v>5.1413881748071976E-4</v>
      </c>
      <c r="I49" s="167"/>
      <c r="J49" s="167"/>
      <c r="S49" s="15"/>
      <c r="AA49" s="15"/>
    </row>
    <row r="50" spans="2:30" x14ac:dyDescent="0.25">
      <c r="B50" s="169">
        <f t="shared" si="1"/>
        <v>2.3136246786632373E-2</v>
      </c>
      <c r="C50">
        <v>5662</v>
      </c>
      <c r="E50">
        <v>10</v>
      </c>
      <c r="F50">
        <v>2</v>
      </c>
      <c r="G50" s="15">
        <v>0.2</v>
      </c>
      <c r="H50" s="167">
        <f t="shared" si="0"/>
        <v>5.1413881748071976E-4</v>
      </c>
      <c r="I50" s="167"/>
      <c r="J50" s="167"/>
    </row>
    <row r="51" spans="2:30" x14ac:dyDescent="0.25">
      <c r="B51" s="169">
        <f t="shared" si="1"/>
        <v>2.3650385604113092E-2</v>
      </c>
      <c r="C51">
        <v>3976</v>
      </c>
      <c r="E51">
        <v>15</v>
      </c>
      <c r="F51">
        <v>3</v>
      </c>
      <c r="G51" s="15">
        <v>0.2</v>
      </c>
      <c r="H51" s="167">
        <f t="shared" si="0"/>
        <v>5.1413881748071976E-4</v>
      </c>
      <c r="I51" s="167"/>
      <c r="J51" s="167"/>
    </row>
    <row r="52" spans="2:30" x14ac:dyDescent="0.25">
      <c r="B52" s="169">
        <f t="shared" si="1"/>
        <v>2.4164524421593812E-2</v>
      </c>
      <c r="C52">
        <v>5878</v>
      </c>
      <c r="E52">
        <v>20</v>
      </c>
      <c r="F52">
        <v>4</v>
      </c>
      <c r="G52" s="15">
        <v>0.2</v>
      </c>
      <c r="H52" s="167">
        <f t="shared" si="0"/>
        <v>5.1413881748071976E-4</v>
      </c>
      <c r="I52" s="167"/>
      <c r="J52" s="167"/>
    </row>
    <row r="53" spans="2:30" x14ac:dyDescent="0.25">
      <c r="B53" s="169">
        <f t="shared" si="1"/>
        <v>2.4678663239074531E-2</v>
      </c>
      <c r="C53">
        <v>6078</v>
      </c>
      <c r="E53">
        <v>10</v>
      </c>
      <c r="F53">
        <v>2</v>
      </c>
      <c r="G53" s="15">
        <v>0.2</v>
      </c>
      <c r="H53" s="167">
        <f t="shared" si="0"/>
        <v>5.1413881748071976E-4</v>
      </c>
      <c r="I53" s="167"/>
      <c r="J53" s="167"/>
      <c r="Z53" s="166"/>
      <c r="AA53" s="170"/>
      <c r="AB53" s="173"/>
      <c r="AC53" s="15"/>
      <c r="AD53" s="15"/>
    </row>
    <row r="54" spans="2:30" x14ac:dyDescent="0.25">
      <c r="B54" s="169">
        <f t="shared" si="1"/>
        <v>2.519280205655525E-2</v>
      </c>
      <c r="C54">
        <v>5770</v>
      </c>
      <c r="E54">
        <v>5</v>
      </c>
      <c r="F54">
        <v>1</v>
      </c>
      <c r="G54" s="15">
        <v>0.2</v>
      </c>
      <c r="H54" s="167">
        <f t="shared" si="0"/>
        <v>5.1413881748071976E-4</v>
      </c>
      <c r="I54" s="167"/>
      <c r="J54" s="167"/>
      <c r="AA54" s="170"/>
      <c r="AB54" s="15"/>
      <c r="AC54" s="15"/>
      <c r="AD54" s="15"/>
    </row>
    <row r="55" spans="2:30" x14ac:dyDescent="0.25">
      <c r="B55" s="169">
        <f t="shared" si="1"/>
        <v>2.570694087403597E-2</v>
      </c>
      <c r="C55">
        <v>5483</v>
      </c>
      <c r="E55">
        <v>5</v>
      </c>
      <c r="F55">
        <v>1</v>
      </c>
      <c r="G55" s="15">
        <v>0.2</v>
      </c>
      <c r="H55" s="167">
        <f t="shared" si="0"/>
        <v>5.1413881748071976E-4</v>
      </c>
      <c r="I55" s="167"/>
      <c r="J55" s="167"/>
      <c r="AB55" s="174"/>
      <c r="AC55" s="171"/>
      <c r="AD55" s="171"/>
    </row>
    <row r="56" spans="2:30" x14ac:dyDescent="0.25">
      <c r="B56" s="169">
        <f t="shared" si="1"/>
        <v>2.6221079691516689E-2</v>
      </c>
      <c r="C56">
        <v>1921</v>
      </c>
      <c r="E56">
        <v>5</v>
      </c>
      <c r="F56">
        <v>1</v>
      </c>
      <c r="G56" s="15">
        <v>0.2</v>
      </c>
      <c r="H56" s="167">
        <f t="shared" si="0"/>
        <v>5.1413881748071976E-4</v>
      </c>
      <c r="I56" s="167"/>
      <c r="J56" s="167"/>
      <c r="AC56" s="15"/>
    </row>
    <row r="57" spans="2:30" x14ac:dyDescent="0.25">
      <c r="B57" s="169">
        <f t="shared" si="1"/>
        <v>2.6735218508997408E-2</v>
      </c>
      <c r="C57">
        <v>1930</v>
      </c>
      <c r="E57">
        <v>5</v>
      </c>
      <c r="F57">
        <v>1</v>
      </c>
      <c r="G57" s="15">
        <v>0.2</v>
      </c>
      <c r="H57" s="167">
        <f t="shared" si="0"/>
        <v>5.1413881748071976E-4</v>
      </c>
      <c r="I57" s="167"/>
      <c r="J57" s="167"/>
      <c r="AC57" s="15"/>
    </row>
    <row r="58" spans="2:30" x14ac:dyDescent="0.25">
      <c r="B58" s="169">
        <f t="shared" si="1"/>
        <v>2.7249357326478128E-2</v>
      </c>
      <c r="C58">
        <v>1939</v>
      </c>
      <c r="E58">
        <v>5</v>
      </c>
      <c r="F58">
        <v>1</v>
      </c>
      <c r="G58" s="15">
        <v>0.2</v>
      </c>
      <c r="H58" s="167">
        <f t="shared" si="0"/>
        <v>5.1413881748071976E-4</v>
      </c>
      <c r="I58" s="167"/>
      <c r="J58" s="167"/>
      <c r="AC58" s="15"/>
    </row>
    <row r="59" spans="2:30" x14ac:dyDescent="0.25">
      <c r="B59" s="169">
        <f t="shared" si="1"/>
        <v>2.7763496143958847E-2</v>
      </c>
      <c r="C59">
        <v>1948</v>
      </c>
      <c r="E59">
        <v>5</v>
      </c>
      <c r="F59">
        <v>1</v>
      </c>
      <c r="G59" s="15">
        <v>0.2</v>
      </c>
      <c r="H59" s="167">
        <f t="shared" si="0"/>
        <v>5.1413881748071976E-4</v>
      </c>
      <c r="I59" s="167"/>
      <c r="J59" s="167"/>
      <c r="AC59" s="15"/>
    </row>
    <row r="60" spans="2:30" x14ac:dyDescent="0.25">
      <c r="B60" s="169">
        <f t="shared" si="1"/>
        <v>2.8277634961439566E-2</v>
      </c>
      <c r="C60">
        <v>3996</v>
      </c>
      <c r="E60">
        <v>10</v>
      </c>
      <c r="F60">
        <v>2</v>
      </c>
      <c r="G60" s="15">
        <v>0.2</v>
      </c>
      <c r="H60" s="167">
        <f t="shared" si="0"/>
        <v>5.1413881748071976E-4</v>
      </c>
      <c r="I60" s="167"/>
      <c r="J60" s="167"/>
    </row>
    <row r="61" spans="2:30" x14ac:dyDescent="0.25">
      <c r="B61" s="169">
        <f t="shared" si="1"/>
        <v>2.8791773778920286E-2</v>
      </c>
      <c r="C61">
        <v>4990</v>
      </c>
      <c r="E61">
        <v>5</v>
      </c>
      <c r="F61">
        <v>1</v>
      </c>
      <c r="G61" s="15">
        <v>0.2</v>
      </c>
      <c r="H61" s="167">
        <f t="shared" si="0"/>
        <v>5.1413881748071976E-4</v>
      </c>
      <c r="I61" s="167"/>
      <c r="J61" s="167"/>
    </row>
    <row r="62" spans="2:30" x14ac:dyDescent="0.25">
      <c r="B62" s="169">
        <f t="shared" si="1"/>
        <v>2.9305912596401005E-2</v>
      </c>
      <c r="C62">
        <v>5998</v>
      </c>
      <c r="E62">
        <v>25</v>
      </c>
      <c r="F62">
        <v>5</v>
      </c>
      <c r="G62" s="15">
        <v>0.2</v>
      </c>
      <c r="H62" s="167">
        <f t="shared" si="0"/>
        <v>5.1413881748071976E-4</v>
      </c>
      <c r="I62" s="167"/>
      <c r="J62" s="167"/>
    </row>
    <row r="63" spans="2:30" x14ac:dyDescent="0.25">
      <c r="B63" s="169">
        <f t="shared" si="1"/>
        <v>2.9820051413881724E-2</v>
      </c>
      <c r="C63">
        <v>1627</v>
      </c>
      <c r="E63">
        <v>5</v>
      </c>
      <c r="F63">
        <v>1</v>
      </c>
      <c r="G63" s="15">
        <v>0.2</v>
      </c>
      <c r="H63" s="167">
        <f t="shared" si="0"/>
        <v>5.1413881748071976E-4</v>
      </c>
      <c r="I63" s="167"/>
      <c r="J63" s="167"/>
    </row>
    <row r="64" spans="2:30" x14ac:dyDescent="0.25">
      <c r="B64" s="169">
        <f t="shared" si="1"/>
        <v>3.0334190231362444E-2</v>
      </c>
      <c r="C64">
        <v>2041</v>
      </c>
      <c r="E64">
        <v>10</v>
      </c>
      <c r="F64">
        <v>2</v>
      </c>
      <c r="G64" s="15">
        <v>0.2</v>
      </c>
      <c r="H64" s="167">
        <f t="shared" si="0"/>
        <v>5.1413881748071976E-4</v>
      </c>
      <c r="I64" s="167"/>
      <c r="J64" s="167"/>
    </row>
    <row r="65" spans="2:20" x14ac:dyDescent="0.25">
      <c r="B65" s="169">
        <f t="shared" si="1"/>
        <v>3.0848329048843163E-2</v>
      </c>
      <c r="C65">
        <v>2338</v>
      </c>
      <c r="E65">
        <v>15</v>
      </c>
      <c r="F65">
        <v>3</v>
      </c>
      <c r="G65" s="15">
        <v>0.2</v>
      </c>
      <c r="H65" s="167">
        <f t="shared" si="0"/>
        <v>5.1413881748071976E-4</v>
      </c>
      <c r="I65" s="167"/>
      <c r="J65" s="167"/>
    </row>
    <row r="66" spans="2:20" x14ac:dyDescent="0.25">
      <c r="B66" s="169">
        <f t="shared" si="1"/>
        <v>3.1362467866323886E-2</v>
      </c>
      <c r="C66">
        <v>2339</v>
      </c>
      <c r="E66">
        <v>5</v>
      </c>
      <c r="F66">
        <v>1</v>
      </c>
      <c r="G66" s="15">
        <v>0.2</v>
      </c>
      <c r="H66" s="167">
        <f t="shared" si="0"/>
        <v>5.1413881748071976E-4</v>
      </c>
      <c r="I66" s="167"/>
      <c r="J66" s="167"/>
    </row>
    <row r="67" spans="2:20" x14ac:dyDescent="0.25">
      <c r="B67" s="169">
        <f t="shared" si="1"/>
        <v>3.1876606683804605E-2</v>
      </c>
      <c r="C67">
        <v>6127</v>
      </c>
      <c r="E67">
        <v>20</v>
      </c>
      <c r="F67">
        <v>4</v>
      </c>
      <c r="G67" s="15">
        <v>0.2</v>
      </c>
      <c r="H67" s="167">
        <f t="shared" si="0"/>
        <v>5.1413881748071976E-4</v>
      </c>
      <c r="I67" s="167"/>
      <c r="J67" s="167"/>
    </row>
    <row r="68" spans="2:20" x14ac:dyDescent="0.25">
      <c r="B68" s="169">
        <f t="shared" si="1"/>
        <v>3.2390745501285324E-2</v>
      </c>
      <c r="C68">
        <v>2366</v>
      </c>
      <c r="E68">
        <v>5</v>
      </c>
      <c r="F68">
        <v>1</v>
      </c>
      <c r="G68" s="15">
        <v>0.2</v>
      </c>
      <c r="H68" s="167">
        <f t="shared" si="0"/>
        <v>5.1413881748071976E-4</v>
      </c>
      <c r="I68" s="167"/>
      <c r="J68" s="167"/>
    </row>
    <row r="69" spans="2:20" x14ac:dyDescent="0.25">
      <c r="B69" s="169">
        <f t="shared" si="1"/>
        <v>3.2904884318766044E-2</v>
      </c>
      <c r="C69">
        <v>2356</v>
      </c>
      <c r="E69">
        <v>15</v>
      </c>
      <c r="F69">
        <v>3</v>
      </c>
      <c r="G69" s="15">
        <v>0.2</v>
      </c>
      <c r="H69" s="167">
        <f t="shared" si="0"/>
        <v>5.1413881748071976E-4</v>
      </c>
      <c r="I69" s="167"/>
      <c r="J69" s="167"/>
    </row>
    <row r="70" spans="2:20" x14ac:dyDescent="0.25">
      <c r="B70" s="169">
        <f t="shared" si="1"/>
        <v>3.3419023136246763E-2</v>
      </c>
      <c r="C70">
        <v>2384</v>
      </c>
      <c r="E70">
        <v>5</v>
      </c>
      <c r="F70">
        <v>1</v>
      </c>
      <c r="G70" s="15">
        <v>0.2</v>
      </c>
      <c r="H70" s="167">
        <f t="shared" ref="H70:H133" si="2">1/$L$6</f>
        <v>5.1413881748071976E-4</v>
      </c>
      <c r="I70" s="167"/>
      <c r="J70" s="167"/>
    </row>
    <row r="71" spans="2:20" x14ac:dyDescent="0.25">
      <c r="B71" s="169">
        <f t="shared" ref="B71:B134" si="3">B70+H71</f>
        <v>3.3933161953727482E-2</v>
      </c>
      <c r="C71">
        <v>7129</v>
      </c>
      <c r="E71">
        <v>5</v>
      </c>
      <c r="F71">
        <v>1</v>
      </c>
      <c r="G71" s="15">
        <v>0.2</v>
      </c>
      <c r="H71" s="167">
        <f t="shared" si="2"/>
        <v>5.1413881748071976E-4</v>
      </c>
      <c r="I71" s="167"/>
      <c r="J71" s="167"/>
    </row>
    <row r="72" spans="2:20" x14ac:dyDescent="0.25">
      <c r="B72" s="169">
        <f t="shared" si="3"/>
        <v>3.4447300771208202E-2</v>
      </c>
      <c r="C72">
        <v>2357</v>
      </c>
      <c r="E72">
        <v>5</v>
      </c>
      <c r="F72">
        <v>1</v>
      </c>
      <c r="G72" s="15">
        <v>0.2</v>
      </c>
      <c r="H72" s="167">
        <f t="shared" si="2"/>
        <v>5.1413881748071976E-4</v>
      </c>
      <c r="I72" s="167"/>
      <c r="J72" s="167"/>
    </row>
    <row r="73" spans="2:20" x14ac:dyDescent="0.25">
      <c r="B73" s="169">
        <f t="shared" si="3"/>
        <v>3.4961439588688921E-2</v>
      </c>
      <c r="C73">
        <v>2375</v>
      </c>
      <c r="E73">
        <v>5</v>
      </c>
      <c r="F73">
        <v>1</v>
      </c>
      <c r="G73" s="15">
        <v>0.2</v>
      </c>
      <c r="H73" s="167">
        <f t="shared" si="2"/>
        <v>5.1413881748071976E-4</v>
      </c>
      <c r="I73" s="167"/>
      <c r="J73" s="167"/>
    </row>
    <row r="74" spans="2:20" x14ac:dyDescent="0.25">
      <c r="B74" s="169">
        <f t="shared" si="3"/>
        <v>3.547557840616964E-2</v>
      </c>
      <c r="C74">
        <v>1872</v>
      </c>
      <c r="E74">
        <v>5</v>
      </c>
      <c r="F74">
        <v>1</v>
      </c>
      <c r="G74" s="15">
        <v>0.2</v>
      </c>
      <c r="H74" s="167">
        <f t="shared" si="2"/>
        <v>5.1413881748071976E-4</v>
      </c>
      <c r="I74" s="167"/>
      <c r="J74" s="167"/>
    </row>
    <row r="75" spans="2:20" x14ac:dyDescent="0.25">
      <c r="B75" s="169">
        <f t="shared" si="3"/>
        <v>3.598971722365036E-2</v>
      </c>
      <c r="C75">
        <v>2348</v>
      </c>
      <c r="E75">
        <v>5</v>
      </c>
      <c r="F75">
        <v>1</v>
      </c>
      <c r="G75" s="15">
        <v>0.2</v>
      </c>
      <c r="H75" s="167">
        <f t="shared" si="2"/>
        <v>5.1413881748071976E-4</v>
      </c>
      <c r="I75" s="167"/>
      <c r="J75" s="167"/>
    </row>
    <row r="76" spans="2:20" x14ac:dyDescent="0.25">
      <c r="B76" s="169">
        <f t="shared" si="3"/>
        <v>3.6503856041131079E-2</v>
      </c>
      <c r="C76">
        <v>1883</v>
      </c>
      <c r="E76">
        <v>5</v>
      </c>
      <c r="F76">
        <v>1</v>
      </c>
      <c r="G76" s="15">
        <v>0.2</v>
      </c>
      <c r="H76" s="167">
        <f t="shared" si="2"/>
        <v>5.1413881748071976E-4</v>
      </c>
      <c r="I76" s="167"/>
      <c r="J76" s="167"/>
    </row>
    <row r="77" spans="2:20" x14ac:dyDescent="0.25">
      <c r="B77" s="169">
        <f t="shared" si="3"/>
        <v>3.7017994858611798E-2</v>
      </c>
      <c r="C77">
        <v>2329</v>
      </c>
      <c r="E77">
        <v>15</v>
      </c>
      <c r="F77">
        <v>3</v>
      </c>
      <c r="G77" s="15">
        <v>0.2</v>
      </c>
      <c r="H77" s="167">
        <f t="shared" si="2"/>
        <v>5.1413881748071976E-4</v>
      </c>
      <c r="I77" s="167"/>
      <c r="J77" s="167"/>
    </row>
    <row r="78" spans="2:20" x14ac:dyDescent="0.25">
      <c r="B78" s="169">
        <f t="shared" si="3"/>
        <v>3.7532133676092518E-2</v>
      </c>
      <c r="C78">
        <v>2330</v>
      </c>
      <c r="E78">
        <v>5</v>
      </c>
      <c r="F78">
        <v>1</v>
      </c>
      <c r="G78" s="15">
        <v>0.2</v>
      </c>
      <c r="H78" s="167">
        <f t="shared" si="2"/>
        <v>5.1413881748071976E-4</v>
      </c>
      <c r="I78" s="167"/>
      <c r="J78" s="167"/>
      <c r="M78" s="166"/>
      <c r="N78" s="172"/>
      <c r="T78" s="15"/>
    </row>
    <row r="79" spans="2:20" x14ac:dyDescent="0.25">
      <c r="B79" s="169">
        <f t="shared" si="3"/>
        <v>3.8046272493573237E-2</v>
      </c>
      <c r="C79">
        <v>4696</v>
      </c>
      <c r="E79">
        <v>5</v>
      </c>
      <c r="F79">
        <v>1</v>
      </c>
      <c r="G79" s="15">
        <v>0.2</v>
      </c>
      <c r="H79" s="167">
        <f t="shared" si="2"/>
        <v>5.1413881748071976E-4</v>
      </c>
      <c r="I79" s="167"/>
      <c r="J79" s="167"/>
      <c r="T79" s="15"/>
    </row>
    <row r="80" spans="2:20" x14ac:dyDescent="0.25">
      <c r="B80" s="169">
        <f t="shared" si="3"/>
        <v>3.8560411311053956E-2</v>
      </c>
      <c r="C80">
        <v>2392</v>
      </c>
      <c r="E80">
        <v>15</v>
      </c>
      <c r="F80">
        <v>3</v>
      </c>
      <c r="G80" s="15">
        <v>0.2</v>
      </c>
      <c r="H80" s="167">
        <f t="shared" si="2"/>
        <v>5.1413881748071976E-4</v>
      </c>
      <c r="I80" s="167"/>
      <c r="J80" s="167"/>
      <c r="T80" s="15"/>
    </row>
    <row r="81" spans="2:20" x14ac:dyDescent="0.25">
      <c r="B81" s="169">
        <f t="shared" si="3"/>
        <v>3.9074550128534676E-2</v>
      </c>
      <c r="C81">
        <v>2393</v>
      </c>
      <c r="E81">
        <v>5</v>
      </c>
      <c r="F81">
        <v>1</v>
      </c>
      <c r="G81" s="15">
        <v>0.2</v>
      </c>
      <c r="H81" s="167">
        <f t="shared" si="2"/>
        <v>5.1413881748071976E-4</v>
      </c>
      <c r="I81" s="167"/>
      <c r="J81" s="167"/>
      <c r="T81" s="15"/>
    </row>
    <row r="82" spans="2:20" x14ac:dyDescent="0.25">
      <c r="B82" s="169">
        <f t="shared" si="3"/>
        <v>3.9588688946015395E-2</v>
      </c>
      <c r="C82">
        <v>2396</v>
      </c>
      <c r="E82">
        <v>5</v>
      </c>
      <c r="F82">
        <v>1</v>
      </c>
      <c r="G82" s="15">
        <v>0.2</v>
      </c>
      <c r="H82" s="167">
        <f t="shared" si="2"/>
        <v>5.1413881748071976E-4</v>
      </c>
      <c r="I82" s="167"/>
      <c r="J82" s="167"/>
    </row>
    <row r="83" spans="2:20" x14ac:dyDescent="0.25">
      <c r="B83" s="169">
        <f t="shared" si="3"/>
        <v>4.0102827763496114E-2</v>
      </c>
      <c r="C83">
        <v>2464</v>
      </c>
      <c r="E83">
        <v>5</v>
      </c>
      <c r="F83">
        <v>1</v>
      </c>
      <c r="G83" s="15">
        <v>0.2</v>
      </c>
      <c r="H83" s="167">
        <f t="shared" si="2"/>
        <v>5.1413881748071976E-4</v>
      </c>
      <c r="I83" s="167"/>
      <c r="J83" s="167"/>
    </row>
    <row r="84" spans="2:20" x14ac:dyDescent="0.25">
      <c r="B84" s="169">
        <f t="shared" si="3"/>
        <v>4.0616966580976833E-2</v>
      </c>
      <c r="C84">
        <v>4893</v>
      </c>
      <c r="E84">
        <v>37</v>
      </c>
      <c r="F84">
        <v>8</v>
      </c>
      <c r="G84" s="15">
        <v>0.21621621621621601</v>
      </c>
      <c r="H84" s="167">
        <f t="shared" si="2"/>
        <v>5.1413881748071976E-4</v>
      </c>
      <c r="I84" s="167"/>
      <c r="J84" s="167"/>
    </row>
    <row r="85" spans="2:20" x14ac:dyDescent="0.25">
      <c r="B85" s="169">
        <f t="shared" si="3"/>
        <v>4.1131105398457553E-2</v>
      </c>
      <c r="C85">
        <v>6463</v>
      </c>
      <c r="E85">
        <v>555</v>
      </c>
      <c r="F85">
        <v>124</v>
      </c>
      <c r="G85" s="15">
        <v>0.223423423423423</v>
      </c>
      <c r="H85" s="167">
        <f t="shared" si="2"/>
        <v>5.1413881748071976E-4</v>
      </c>
      <c r="I85" s="167"/>
      <c r="J85" s="167"/>
    </row>
    <row r="86" spans="2:20" x14ac:dyDescent="0.25">
      <c r="B86" s="169">
        <f t="shared" si="3"/>
        <v>4.1645244215938272E-2</v>
      </c>
      <c r="C86">
        <v>3625</v>
      </c>
      <c r="E86">
        <v>40</v>
      </c>
      <c r="F86">
        <v>9</v>
      </c>
      <c r="G86" s="15">
        <v>0.22500000000000001</v>
      </c>
      <c r="H86" s="167">
        <f t="shared" si="2"/>
        <v>5.1413881748071976E-4</v>
      </c>
      <c r="I86" s="167"/>
      <c r="J86" s="167"/>
    </row>
    <row r="87" spans="2:20" x14ac:dyDescent="0.25">
      <c r="B87" s="169">
        <f t="shared" si="3"/>
        <v>4.2159383033418991E-2</v>
      </c>
      <c r="C87">
        <v>3855</v>
      </c>
      <c r="E87">
        <v>40</v>
      </c>
      <c r="F87">
        <v>9</v>
      </c>
      <c r="G87" s="15">
        <v>0.22500000000000001</v>
      </c>
      <c r="H87" s="167">
        <f t="shared" si="2"/>
        <v>5.1413881748071976E-4</v>
      </c>
      <c r="I87" s="167"/>
      <c r="J87" s="167"/>
    </row>
    <row r="88" spans="2:20" x14ac:dyDescent="0.25">
      <c r="B88" s="169">
        <f t="shared" si="3"/>
        <v>4.2673521850899711E-2</v>
      </c>
      <c r="C88">
        <v>4355</v>
      </c>
      <c r="E88">
        <v>13</v>
      </c>
      <c r="F88">
        <v>3</v>
      </c>
      <c r="G88" s="15">
        <v>0.230769230769231</v>
      </c>
      <c r="H88" s="167">
        <f t="shared" si="2"/>
        <v>5.1413881748071976E-4</v>
      </c>
      <c r="I88" s="167"/>
      <c r="J88" s="167"/>
    </row>
    <row r="89" spans="2:20" x14ac:dyDescent="0.25">
      <c r="B89" s="169">
        <f t="shared" si="3"/>
        <v>4.318766066838043E-2</v>
      </c>
      <c r="C89">
        <v>2460</v>
      </c>
      <c r="E89">
        <v>13</v>
      </c>
      <c r="F89">
        <v>3</v>
      </c>
      <c r="G89" s="15">
        <v>0.230769230769231</v>
      </c>
      <c r="H89" s="167">
        <f t="shared" si="2"/>
        <v>5.1413881748071976E-4</v>
      </c>
      <c r="I89" s="167"/>
      <c r="J89" s="167"/>
    </row>
    <row r="90" spans="2:20" x14ac:dyDescent="0.25">
      <c r="B90" s="169">
        <f t="shared" si="3"/>
        <v>4.3701799485861149E-2</v>
      </c>
      <c r="C90">
        <v>3955</v>
      </c>
      <c r="E90">
        <v>30</v>
      </c>
      <c r="F90">
        <v>7</v>
      </c>
      <c r="G90" s="15">
        <v>0.233333333333333</v>
      </c>
      <c r="H90" s="167">
        <f t="shared" si="2"/>
        <v>5.1413881748071976E-4</v>
      </c>
      <c r="I90" s="167"/>
      <c r="J90" s="167"/>
    </row>
    <row r="91" spans="2:20" x14ac:dyDescent="0.25">
      <c r="B91" s="169">
        <f t="shared" si="3"/>
        <v>4.4215938303341869E-2</v>
      </c>
      <c r="C91">
        <v>4849</v>
      </c>
      <c r="E91">
        <v>40</v>
      </c>
      <c r="F91">
        <v>10</v>
      </c>
      <c r="G91" s="15">
        <v>0.25</v>
      </c>
      <c r="H91" s="167">
        <f t="shared" si="2"/>
        <v>5.1413881748071976E-4</v>
      </c>
      <c r="I91" s="167"/>
      <c r="J91" s="167"/>
    </row>
    <row r="92" spans="2:20" x14ac:dyDescent="0.25">
      <c r="B92" s="169">
        <f t="shared" si="3"/>
        <v>4.4730077120822588E-2</v>
      </c>
      <c r="C92">
        <v>4850</v>
      </c>
      <c r="E92">
        <v>40</v>
      </c>
      <c r="F92">
        <v>10</v>
      </c>
      <c r="G92" s="15">
        <v>0.25</v>
      </c>
      <c r="H92" s="167">
        <f t="shared" si="2"/>
        <v>5.1413881748071976E-4</v>
      </c>
      <c r="I92" s="167"/>
      <c r="J92" s="167"/>
    </row>
    <row r="93" spans="2:20" x14ac:dyDescent="0.25">
      <c r="B93" s="169">
        <f t="shared" si="3"/>
        <v>4.5244215938303307E-2</v>
      </c>
      <c r="C93">
        <v>4453</v>
      </c>
      <c r="E93">
        <v>16</v>
      </c>
      <c r="F93">
        <v>4</v>
      </c>
      <c r="G93" s="15">
        <v>0.25</v>
      </c>
      <c r="H93" s="167">
        <f t="shared" si="2"/>
        <v>5.1413881748071976E-4</v>
      </c>
      <c r="I93" s="167"/>
      <c r="J93" s="167"/>
    </row>
    <row r="94" spans="2:20" x14ac:dyDescent="0.25">
      <c r="B94" s="169">
        <f t="shared" si="3"/>
        <v>4.5758354755784027E-2</v>
      </c>
      <c r="C94">
        <v>6518</v>
      </c>
      <c r="E94">
        <v>4</v>
      </c>
      <c r="F94">
        <v>1</v>
      </c>
      <c r="G94" s="15">
        <v>0.25</v>
      </c>
      <c r="H94" s="167">
        <f t="shared" si="2"/>
        <v>5.1413881748071976E-4</v>
      </c>
      <c r="I94" s="167"/>
      <c r="J94" s="167"/>
    </row>
    <row r="95" spans="2:20" x14ac:dyDescent="0.25">
      <c r="B95" s="169">
        <f t="shared" si="3"/>
        <v>4.6272493573264746E-2</v>
      </c>
      <c r="C95">
        <v>3914</v>
      </c>
      <c r="E95">
        <v>20</v>
      </c>
      <c r="F95">
        <v>5</v>
      </c>
      <c r="G95" s="15">
        <v>0.25</v>
      </c>
      <c r="H95" s="167">
        <f t="shared" si="2"/>
        <v>5.1413881748071976E-4</v>
      </c>
      <c r="I95" s="167"/>
      <c r="J95" s="167"/>
    </row>
    <row r="96" spans="2:20" x14ac:dyDescent="0.25">
      <c r="B96" s="169">
        <f t="shared" si="3"/>
        <v>4.6786632390745465E-2</v>
      </c>
      <c r="C96">
        <v>4084</v>
      </c>
      <c r="E96">
        <v>4</v>
      </c>
      <c r="F96">
        <v>1</v>
      </c>
      <c r="G96" s="15">
        <v>0.25</v>
      </c>
      <c r="H96" s="167">
        <f t="shared" si="2"/>
        <v>5.1413881748071976E-4</v>
      </c>
      <c r="I96" s="167"/>
      <c r="J96" s="167"/>
    </row>
    <row r="97" spans="2:20" x14ac:dyDescent="0.25">
      <c r="B97" s="169">
        <f t="shared" si="3"/>
        <v>4.7300771208226185E-2</v>
      </c>
      <c r="C97">
        <v>4219</v>
      </c>
      <c r="E97">
        <v>4</v>
      </c>
      <c r="F97">
        <v>1</v>
      </c>
      <c r="G97" s="15">
        <v>0.25</v>
      </c>
      <c r="H97" s="167">
        <f t="shared" si="2"/>
        <v>5.1413881748071976E-4</v>
      </c>
      <c r="I97" s="167"/>
      <c r="J97" s="167"/>
    </row>
    <row r="98" spans="2:20" x14ac:dyDescent="0.25">
      <c r="B98" s="169">
        <f t="shared" si="3"/>
        <v>4.7814910025706904E-2</v>
      </c>
      <c r="C98">
        <v>1772</v>
      </c>
      <c r="E98">
        <v>15</v>
      </c>
      <c r="F98">
        <v>4</v>
      </c>
      <c r="G98" s="15">
        <v>0.266666666666667</v>
      </c>
      <c r="H98" s="167">
        <f t="shared" si="2"/>
        <v>5.1413881748071976E-4</v>
      </c>
      <c r="I98" s="167"/>
      <c r="J98" s="167"/>
    </row>
    <row r="99" spans="2:20" x14ac:dyDescent="0.25">
      <c r="B99" s="169">
        <f t="shared" si="3"/>
        <v>4.8329048843187623E-2</v>
      </c>
      <c r="C99">
        <v>3858</v>
      </c>
      <c r="E99">
        <v>75</v>
      </c>
      <c r="F99">
        <v>21</v>
      </c>
      <c r="G99" s="15">
        <v>0.28000000000000003</v>
      </c>
      <c r="H99" s="167">
        <f t="shared" si="2"/>
        <v>5.1413881748071976E-4</v>
      </c>
      <c r="I99" s="167"/>
      <c r="J99" s="167"/>
    </row>
    <row r="100" spans="2:20" x14ac:dyDescent="0.25">
      <c r="B100" s="169">
        <f t="shared" si="3"/>
        <v>4.8843187660668343E-2</v>
      </c>
      <c r="C100">
        <v>3964</v>
      </c>
      <c r="E100">
        <v>25</v>
      </c>
      <c r="F100">
        <v>7</v>
      </c>
      <c r="G100" s="15">
        <v>0.28000000000000003</v>
      </c>
      <c r="H100" s="167">
        <f t="shared" si="2"/>
        <v>5.1413881748071976E-4</v>
      </c>
      <c r="I100" s="167"/>
      <c r="J100" s="167"/>
    </row>
    <row r="101" spans="2:20" x14ac:dyDescent="0.25">
      <c r="B101" s="169">
        <f t="shared" si="3"/>
        <v>4.9357326478149062E-2</v>
      </c>
      <c r="C101">
        <v>2672</v>
      </c>
      <c r="E101">
        <v>28</v>
      </c>
      <c r="F101">
        <v>8</v>
      </c>
      <c r="G101" s="15">
        <v>0.28571428571428598</v>
      </c>
      <c r="H101" s="167">
        <f t="shared" si="2"/>
        <v>5.1413881748071976E-4</v>
      </c>
      <c r="I101" s="167"/>
      <c r="J101" s="167"/>
    </row>
    <row r="102" spans="2:20" x14ac:dyDescent="0.25">
      <c r="B102" s="169">
        <f t="shared" si="3"/>
        <v>4.9871465295629781E-2</v>
      </c>
      <c r="C102">
        <v>4888</v>
      </c>
      <c r="E102">
        <v>37</v>
      </c>
      <c r="F102">
        <v>11</v>
      </c>
      <c r="G102" s="15">
        <v>0.29729729729729698</v>
      </c>
      <c r="H102" s="167">
        <f t="shared" si="2"/>
        <v>5.1413881748071976E-4</v>
      </c>
      <c r="I102" s="167"/>
      <c r="J102" s="167"/>
    </row>
    <row r="103" spans="2:20" x14ac:dyDescent="0.25">
      <c r="B103" s="169">
        <f t="shared" si="3"/>
        <v>5.0385604113110501E-2</v>
      </c>
      <c r="C103">
        <v>4305</v>
      </c>
      <c r="E103">
        <v>30</v>
      </c>
      <c r="F103">
        <v>9</v>
      </c>
      <c r="G103" s="15">
        <v>0.3</v>
      </c>
      <c r="H103" s="167">
        <f t="shared" si="2"/>
        <v>5.1413881748071976E-4</v>
      </c>
      <c r="I103" s="167"/>
      <c r="J103" s="167"/>
    </row>
    <row r="104" spans="2:20" x14ac:dyDescent="0.25">
      <c r="B104" s="169">
        <f t="shared" si="3"/>
        <v>5.089974293059122E-2</v>
      </c>
      <c r="C104">
        <v>4819</v>
      </c>
      <c r="E104">
        <v>10</v>
      </c>
      <c r="F104">
        <v>3</v>
      </c>
      <c r="G104" s="15">
        <v>0.3</v>
      </c>
      <c r="H104" s="167">
        <f t="shared" si="2"/>
        <v>5.1413881748071976E-4</v>
      </c>
      <c r="I104" s="167"/>
      <c r="J104" s="167"/>
    </row>
    <row r="105" spans="2:20" x14ac:dyDescent="0.25">
      <c r="B105" s="169">
        <f t="shared" si="3"/>
        <v>5.1413881748071939E-2</v>
      </c>
      <c r="C105">
        <v>524</v>
      </c>
      <c r="E105">
        <v>20</v>
      </c>
      <c r="F105">
        <v>6</v>
      </c>
      <c r="G105" s="15">
        <v>0.3</v>
      </c>
      <c r="H105" s="167">
        <f t="shared" si="2"/>
        <v>5.1413881748071976E-4</v>
      </c>
      <c r="I105" s="167"/>
      <c r="J105" s="167"/>
    </row>
    <row r="106" spans="2:20" x14ac:dyDescent="0.25">
      <c r="B106" s="169">
        <f t="shared" si="3"/>
        <v>5.1928020565552659E-2</v>
      </c>
      <c r="C106">
        <v>5913</v>
      </c>
      <c r="E106">
        <v>20</v>
      </c>
      <c r="F106">
        <v>6</v>
      </c>
      <c r="G106" s="15">
        <v>0.3</v>
      </c>
      <c r="H106" s="167">
        <f t="shared" si="2"/>
        <v>5.1413881748071976E-4</v>
      </c>
      <c r="I106" s="167"/>
      <c r="J106" s="167"/>
    </row>
    <row r="107" spans="2:20" x14ac:dyDescent="0.25">
      <c r="B107" s="169">
        <f t="shared" si="3"/>
        <v>5.2442159383033378E-2</v>
      </c>
      <c r="C107">
        <v>2644</v>
      </c>
      <c r="E107">
        <v>65</v>
      </c>
      <c r="F107">
        <v>20</v>
      </c>
      <c r="G107" s="15">
        <v>0.30769230769230799</v>
      </c>
      <c r="H107" s="167">
        <f t="shared" si="2"/>
        <v>5.1413881748071976E-4</v>
      </c>
      <c r="I107" s="167"/>
      <c r="J107" s="167"/>
    </row>
    <row r="108" spans="2:20" x14ac:dyDescent="0.25">
      <c r="B108" s="169">
        <f t="shared" si="3"/>
        <v>5.2956298200514097E-2</v>
      </c>
      <c r="C108">
        <v>3953</v>
      </c>
      <c r="E108">
        <v>45</v>
      </c>
      <c r="F108">
        <v>14</v>
      </c>
      <c r="G108" s="15">
        <v>0.31111111111111101</v>
      </c>
      <c r="H108" s="167">
        <f t="shared" si="2"/>
        <v>5.1413881748071976E-4</v>
      </c>
      <c r="I108" s="167"/>
      <c r="J108" s="167"/>
    </row>
    <row r="109" spans="2:20" x14ac:dyDescent="0.25">
      <c r="B109" s="169">
        <f t="shared" si="3"/>
        <v>5.3470437017994817E-2</v>
      </c>
      <c r="C109">
        <v>4118</v>
      </c>
      <c r="E109">
        <v>16</v>
      </c>
      <c r="F109">
        <v>5</v>
      </c>
      <c r="G109" s="15">
        <v>0.3125</v>
      </c>
      <c r="H109" s="167">
        <f t="shared" si="2"/>
        <v>5.1413881748071976E-4</v>
      </c>
      <c r="I109" s="167"/>
      <c r="J109" s="167"/>
    </row>
    <row r="110" spans="2:20" x14ac:dyDescent="0.25">
      <c r="B110" s="169">
        <f t="shared" si="3"/>
        <v>5.3984575835475536E-2</v>
      </c>
      <c r="C110">
        <v>2340</v>
      </c>
      <c r="E110">
        <v>16</v>
      </c>
      <c r="F110">
        <v>5</v>
      </c>
      <c r="G110" s="15">
        <v>0.3125</v>
      </c>
      <c r="H110" s="167">
        <f t="shared" si="2"/>
        <v>5.1413881748071976E-4</v>
      </c>
      <c r="I110" s="167"/>
      <c r="J110" s="167"/>
      <c r="M110" s="166"/>
      <c r="N110" s="172"/>
      <c r="T110" s="15"/>
    </row>
    <row r="111" spans="2:20" x14ac:dyDescent="0.25">
      <c r="B111" s="169">
        <f t="shared" si="3"/>
        <v>5.4498714652956255E-2</v>
      </c>
      <c r="C111">
        <v>1873</v>
      </c>
      <c r="E111">
        <v>16</v>
      </c>
      <c r="F111">
        <v>5</v>
      </c>
      <c r="G111" s="15">
        <v>0.3125</v>
      </c>
      <c r="H111" s="167">
        <f t="shared" si="2"/>
        <v>5.1413881748071976E-4</v>
      </c>
      <c r="I111" s="167"/>
      <c r="J111" s="167"/>
      <c r="T111" s="15"/>
    </row>
    <row r="112" spans="2:20" x14ac:dyDescent="0.25">
      <c r="B112" s="169">
        <f t="shared" si="3"/>
        <v>5.5012853470436975E-2</v>
      </c>
      <c r="C112">
        <v>1874</v>
      </c>
      <c r="E112">
        <v>16</v>
      </c>
      <c r="F112">
        <v>5</v>
      </c>
      <c r="G112" s="15">
        <v>0.3125</v>
      </c>
      <c r="H112" s="167">
        <f t="shared" si="2"/>
        <v>5.1413881748071976E-4</v>
      </c>
      <c r="I112" s="167"/>
      <c r="J112" s="167"/>
      <c r="T112" s="15"/>
    </row>
    <row r="113" spans="2:20" x14ac:dyDescent="0.25">
      <c r="B113" s="169">
        <f t="shared" si="3"/>
        <v>5.5526992287917694E-2</v>
      </c>
      <c r="C113">
        <v>4887</v>
      </c>
      <c r="E113">
        <v>37</v>
      </c>
      <c r="F113">
        <v>12</v>
      </c>
      <c r="G113" s="15">
        <v>0.32432432432432401</v>
      </c>
      <c r="H113" s="167">
        <f t="shared" si="2"/>
        <v>5.1413881748071976E-4</v>
      </c>
      <c r="I113" s="167"/>
      <c r="J113" s="167"/>
      <c r="T113" s="15"/>
    </row>
    <row r="114" spans="2:20" x14ac:dyDescent="0.25">
      <c r="B114" s="169">
        <f t="shared" si="3"/>
        <v>5.6041131105398413E-2</v>
      </c>
      <c r="C114">
        <v>4310</v>
      </c>
      <c r="E114">
        <v>3</v>
      </c>
      <c r="F114">
        <v>1</v>
      </c>
      <c r="G114" s="15">
        <v>0.33333333333333298</v>
      </c>
      <c r="H114" s="167">
        <f t="shared" si="2"/>
        <v>5.1413881748071976E-4</v>
      </c>
      <c r="I114" s="167"/>
      <c r="J114" s="167"/>
    </row>
    <row r="115" spans="2:20" x14ac:dyDescent="0.25">
      <c r="B115" s="169">
        <f t="shared" si="3"/>
        <v>5.6555269922879133E-2</v>
      </c>
      <c r="C115">
        <v>3756</v>
      </c>
      <c r="E115">
        <v>3</v>
      </c>
      <c r="F115">
        <v>1</v>
      </c>
      <c r="G115" s="15">
        <v>0.33333333333333298</v>
      </c>
      <c r="H115" s="167">
        <f t="shared" si="2"/>
        <v>5.1413881748071976E-4</v>
      </c>
      <c r="I115" s="167"/>
      <c r="J115" s="167"/>
    </row>
    <row r="116" spans="2:20" x14ac:dyDescent="0.25">
      <c r="B116" s="169">
        <f t="shared" si="3"/>
        <v>5.7069408740359852E-2</v>
      </c>
      <c r="C116">
        <v>3765</v>
      </c>
      <c r="E116">
        <v>3</v>
      </c>
      <c r="F116">
        <v>1</v>
      </c>
      <c r="G116" s="15">
        <v>0.33333333333333298</v>
      </c>
      <c r="H116" s="167">
        <f t="shared" si="2"/>
        <v>5.1413881748071976E-4</v>
      </c>
      <c r="I116" s="167"/>
      <c r="J116" s="167"/>
    </row>
    <row r="117" spans="2:20" x14ac:dyDescent="0.25">
      <c r="B117" s="169">
        <f t="shared" si="3"/>
        <v>5.7583547557840571E-2</v>
      </c>
      <c r="C117">
        <v>3919</v>
      </c>
      <c r="E117">
        <v>30</v>
      </c>
      <c r="F117">
        <v>10</v>
      </c>
      <c r="G117" s="15">
        <v>0.33333333333333298</v>
      </c>
      <c r="H117" s="167">
        <f t="shared" si="2"/>
        <v>5.1413881748071976E-4</v>
      </c>
      <c r="I117" s="167"/>
      <c r="J117" s="167"/>
    </row>
    <row r="118" spans="2:20" x14ac:dyDescent="0.25">
      <c r="B118" s="169">
        <f t="shared" si="3"/>
        <v>5.809768637532129E-2</v>
      </c>
      <c r="C118">
        <v>4866</v>
      </c>
      <c r="E118">
        <v>15</v>
      </c>
      <c r="F118">
        <v>5</v>
      </c>
      <c r="G118" s="15">
        <v>0.33333333333333298</v>
      </c>
      <c r="H118" s="167">
        <f t="shared" si="2"/>
        <v>5.1413881748071976E-4</v>
      </c>
      <c r="I118" s="167"/>
      <c r="J118" s="167"/>
    </row>
    <row r="119" spans="2:20" x14ac:dyDescent="0.25">
      <c r="B119" s="169">
        <f t="shared" si="3"/>
        <v>5.861182519280201E-2</v>
      </c>
      <c r="C119">
        <v>3787</v>
      </c>
      <c r="E119">
        <v>3</v>
      </c>
      <c r="F119">
        <v>1</v>
      </c>
      <c r="G119" s="15">
        <v>0.33333333333333298</v>
      </c>
      <c r="H119" s="167">
        <f t="shared" si="2"/>
        <v>5.1413881748071976E-4</v>
      </c>
      <c r="I119" s="167"/>
      <c r="J119" s="167"/>
    </row>
    <row r="120" spans="2:20" x14ac:dyDescent="0.25">
      <c r="B120" s="169">
        <f t="shared" si="3"/>
        <v>5.9125964010282729E-2</v>
      </c>
      <c r="C120">
        <v>5670</v>
      </c>
      <c r="E120">
        <v>24</v>
      </c>
      <c r="F120">
        <v>8</v>
      </c>
      <c r="G120" s="15">
        <v>0.33333333333333298</v>
      </c>
      <c r="H120" s="167">
        <f t="shared" si="2"/>
        <v>5.1413881748071976E-4</v>
      </c>
      <c r="I120" s="167"/>
      <c r="J120" s="167"/>
    </row>
    <row r="121" spans="2:20" x14ac:dyDescent="0.25">
      <c r="B121" s="169">
        <f t="shared" si="3"/>
        <v>5.9640102827763448E-2</v>
      </c>
      <c r="C121">
        <v>3803</v>
      </c>
      <c r="E121">
        <v>3</v>
      </c>
      <c r="F121">
        <v>1</v>
      </c>
      <c r="G121" s="15">
        <v>0.33333333333333298</v>
      </c>
      <c r="H121" s="167">
        <f t="shared" si="2"/>
        <v>5.1413881748071976E-4</v>
      </c>
      <c r="I121" s="167"/>
      <c r="J121" s="167"/>
    </row>
    <row r="122" spans="2:20" x14ac:dyDescent="0.25">
      <c r="B122" s="169">
        <f t="shared" si="3"/>
        <v>6.0154241645244168E-2</v>
      </c>
      <c r="C122">
        <v>5751</v>
      </c>
      <c r="E122">
        <v>6</v>
      </c>
      <c r="F122">
        <v>2</v>
      </c>
      <c r="G122" s="15">
        <v>0.33333333333333298</v>
      </c>
      <c r="H122" s="167">
        <f t="shared" si="2"/>
        <v>5.1413881748071976E-4</v>
      </c>
      <c r="I122" s="167"/>
      <c r="J122" s="167"/>
    </row>
    <row r="123" spans="2:20" x14ac:dyDescent="0.25">
      <c r="B123" s="169">
        <f t="shared" si="3"/>
        <v>6.0668380462724887E-2</v>
      </c>
      <c r="C123">
        <v>4103</v>
      </c>
      <c r="E123">
        <v>18</v>
      </c>
      <c r="F123">
        <v>6</v>
      </c>
      <c r="G123" s="15">
        <v>0.33333333333333298</v>
      </c>
      <c r="H123" s="167">
        <f t="shared" si="2"/>
        <v>5.1413881748071976E-4</v>
      </c>
      <c r="I123" s="167"/>
      <c r="J123" s="167"/>
    </row>
    <row r="124" spans="2:20" x14ac:dyDescent="0.25">
      <c r="B124" s="169">
        <f t="shared" si="3"/>
        <v>6.1182519280205606E-2</v>
      </c>
      <c r="C124">
        <v>2581</v>
      </c>
      <c r="E124">
        <v>15</v>
      </c>
      <c r="F124">
        <v>5</v>
      </c>
      <c r="G124" s="15">
        <v>0.33333333333333298</v>
      </c>
      <c r="H124" s="167">
        <f t="shared" si="2"/>
        <v>5.1413881748071976E-4</v>
      </c>
      <c r="I124" s="167"/>
      <c r="J124" s="167"/>
    </row>
    <row r="125" spans="2:20" x14ac:dyDescent="0.25">
      <c r="B125" s="169">
        <f t="shared" si="3"/>
        <v>6.1696658097686326E-2</v>
      </c>
      <c r="C125">
        <v>6950</v>
      </c>
      <c r="E125">
        <v>3</v>
      </c>
      <c r="F125">
        <v>1</v>
      </c>
      <c r="G125" s="15">
        <v>0.33333333333333298</v>
      </c>
      <c r="H125" s="167">
        <f t="shared" si="2"/>
        <v>5.1413881748071976E-4</v>
      </c>
      <c r="I125" s="167"/>
      <c r="J125" s="167"/>
    </row>
    <row r="126" spans="2:20" x14ac:dyDescent="0.25">
      <c r="B126" s="169">
        <f t="shared" si="3"/>
        <v>6.2210796915167045E-2</v>
      </c>
      <c r="C126">
        <v>2328</v>
      </c>
      <c r="E126">
        <v>15</v>
      </c>
      <c r="F126">
        <v>5</v>
      </c>
      <c r="G126" s="15">
        <v>0.33333333333333298</v>
      </c>
      <c r="H126" s="167">
        <f t="shared" si="2"/>
        <v>5.1413881748071976E-4</v>
      </c>
      <c r="I126" s="167"/>
      <c r="J126" s="167"/>
    </row>
    <row r="127" spans="2:20" x14ac:dyDescent="0.25">
      <c r="B127" s="169">
        <f t="shared" si="3"/>
        <v>6.2724935732647771E-2</v>
      </c>
      <c r="C127">
        <v>624</v>
      </c>
      <c r="E127">
        <v>15</v>
      </c>
      <c r="F127">
        <v>5</v>
      </c>
      <c r="G127" s="15">
        <v>0.33333333333333298</v>
      </c>
      <c r="H127" s="167">
        <f t="shared" si="2"/>
        <v>5.1413881748071976E-4</v>
      </c>
      <c r="I127" s="167"/>
      <c r="J127" s="167"/>
    </row>
    <row r="128" spans="2:20" x14ac:dyDescent="0.25">
      <c r="B128" s="169">
        <f t="shared" si="3"/>
        <v>6.3239074550128491E-2</v>
      </c>
      <c r="C128">
        <v>5487</v>
      </c>
      <c r="E128">
        <v>88</v>
      </c>
      <c r="F128">
        <v>30</v>
      </c>
      <c r="G128" s="15">
        <v>0.34090909090909099</v>
      </c>
      <c r="H128" s="167">
        <f t="shared" si="2"/>
        <v>5.1413881748071976E-4</v>
      </c>
      <c r="I128" s="167"/>
      <c r="J128" s="167"/>
    </row>
    <row r="129" spans="2:20" x14ac:dyDescent="0.25">
      <c r="B129" s="169">
        <f t="shared" si="3"/>
        <v>6.375321336760921E-2</v>
      </c>
      <c r="C129">
        <v>2408</v>
      </c>
      <c r="E129">
        <v>41</v>
      </c>
      <c r="F129">
        <v>14</v>
      </c>
      <c r="G129" s="15">
        <v>0.34146341463414598</v>
      </c>
      <c r="H129" s="167">
        <f t="shared" si="2"/>
        <v>5.1413881748071976E-4</v>
      </c>
      <c r="I129" s="167"/>
      <c r="J129" s="167"/>
    </row>
    <row r="130" spans="2:20" x14ac:dyDescent="0.25">
      <c r="B130" s="169">
        <f t="shared" si="3"/>
        <v>6.4267352185089929E-2</v>
      </c>
      <c r="C130">
        <v>4892</v>
      </c>
      <c r="E130">
        <v>37</v>
      </c>
      <c r="F130">
        <v>13</v>
      </c>
      <c r="G130" s="15">
        <v>0.35135135135135098</v>
      </c>
      <c r="H130" s="167">
        <f t="shared" si="2"/>
        <v>5.1413881748071976E-4</v>
      </c>
      <c r="I130" s="167"/>
      <c r="J130" s="167"/>
    </row>
    <row r="131" spans="2:20" x14ac:dyDescent="0.25">
      <c r="B131" s="169">
        <f t="shared" si="3"/>
        <v>6.4781491002570649E-2</v>
      </c>
      <c r="C131">
        <v>2685</v>
      </c>
      <c r="E131">
        <v>14</v>
      </c>
      <c r="F131">
        <v>5</v>
      </c>
      <c r="G131" s="15">
        <v>0.35714285714285698</v>
      </c>
      <c r="H131" s="167">
        <f t="shared" si="2"/>
        <v>5.1413881748071976E-4</v>
      </c>
      <c r="I131" s="167"/>
      <c r="J131" s="167"/>
    </row>
    <row r="132" spans="2:20" x14ac:dyDescent="0.25">
      <c r="B132" s="169">
        <f t="shared" si="3"/>
        <v>6.5295629820051368E-2</v>
      </c>
      <c r="C132">
        <v>2412</v>
      </c>
      <c r="E132">
        <v>38</v>
      </c>
      <c r="F132">
        <v>14</v>
      </c>
      <c r="G132" s="15">
        <v>0.36842105263157898</v>
      </c>
      <c r="H132" s="167">
        <f t="shared" si="2"/>
        <v>5.1413881748071976E-4</v>
      </c>
      <c r="I132" s="167"/>
      <c r="J132" s="167"/>
    </row>
    <row r="133" spans="2:20" x14ac:dyDescent="0.25">
      <c r="B133" s="169">
        <f t="shared" si="3"/>
        <v>6.5809768637532087E-2</v>
      </c>
      <c r="C133">
        <v>4832</v>
      </c>
      <c r="E133">
        <v>40</v>
      </c>
      <c r="F133">
        <v>15</v>
      </c>
      <c r="G133" s="15">
        <v>0.375</v>
      </c>
      <c r="H133" s="167">
        <f t="shared" si="2"/>
        <v>5.1413881748071976E-4</v>
      </c>
      <c r="I133" s="167"/>
      <c r="J133" s="167"/>
    </row>
    <row r="134" spans="2:20" x14ac:dyDescent="0.25">
      <c r="B134" s="169">
        <f t="shared" si="3"/>
        <v>6.6323907455012807E-2</v>
      </c>
      <c r="C134">
        <v>2406</v>
      </c>
      <c r="E134">
        <v>36</v>
      </c>
      <c r="F134">
        <v>14</v>
      </c>
      <c r="G134" s="15">
        <v>0.38888888888888901</v>
      </c>
      <c r="H134" s="167">
        <f t="shared" ref="H134:H197" si="4">1/$L$6</f>
        <v>5.1413881748071976E-4</v>
      </c>
      <c r="I134" s="167"/>
      <c r="J134" s="167"/>
    </row>
    <row r="135" spans="2:20" x14ac:dyDescent="0.25">
      <c r="B135" s="169">
        <f t="shared" ref="B135:B198" si="5">B134+H135</f>
        <v>6.6838046272493526E-2</v>
      </c>
      <c r="C135">
        <v>3678</v>
      </c>
      <c r="E135">
        <v>5</v>
      </c>
      <c r="F135">
        <v>2</v>
      </c>
      <c r="G135" s="15">
        <v>0.4</v>
      </c>
      <c r="H135" s="167">
        <f t="shared" si="4"/>
        <v>5.1413881748071976E-4</v>
      </c>
      <c r="I135" s="167"/>
      <c r="J135" s="167"/>
    </row>
    <row r="136" spans="2:20" x14ac:dyDescent="0.25">
      <c r="B136" s="169">
        <f t="shared" si="5"/>
        <v>6.7352185089974245E-2</v>
      </c>
      <c r="C136">
        <v>4860</v>
      </c>
      <c r="E136">
        <v>20</v>
      </c>
      <c r="F136">
        <v>8</v>
      </c>
      <c r="G136" s="15">
        <v>0.4</v>
      </c>
      <c r="H136" s="167">
        <f t="shared" si="4"/>
        <v>5.1413881748071976E-4</v>
      </c>
      <c r="I136" s="167"/>
      <c r="J136" s="167"/>
    </row>
    <row r="137" spans="2:20" x14ac:dyDescent="0.25">
      <c r="B137" s="169">
        <f t="shared" si="5"/>
        <v>6.7866323907454965E-2</v>
      </c>
      <c r="C137">
        <v>3752</v>
      </c>
      <c r="E137">
        <v>5</v>
      </c>
      <c r="F137">
        <v>2</v>
      </c>
      <c r="G137" s="15">
        <v>0.4</v>
      </c>
      <c r="H137" s="167">
        <f t="shared" si="4"/>
        <v>5.1413881748071976E-4</v>
      </c>
      <c r="I137" s="167"/>
      <c r="J137" s="167"/>
    </row>
    <row r="138" spans="2:20" x14ac:dyDescent="0.25">
      <c r="B138" s="169">
        <f t="shared" si="5"/>
        <v>6.8380462724935684E-2</v>
      </c>
      <c r="C138">
        <v>4896</v>
      </c>
      <c r="E138">
        <v>15</v>
      </c>
      <c r="F138">
        <v>6</v>
      </c>
      <c r="G138" s="15">
        <v>0.4</v>
      </c>
      <c r="H138" s="167">
        <f t="shared" si="4"/>
        <v>5.1413881748071976E-4</v>
      </c>
      <c r="I138" s="167"/>
      <c r="J138" s="167"/>
    </row>
    <row r="139" spans="2:20" x14ac:dyDescent="0.25">
      <c r="B139" s="169">
        <f t="shared" si="5"/>
        <v>6.8894601542416403E-2</v>
      </c>
      <c r="C139">
        <v>4801</v>
      </c>
      <c r="E139">
        <v>10</v>
      </c>
      <c r="F139">
        <v>4</v>
      </c>
      <c r="G139" s="15">
        <v>0.4</v>
      </c>
      <c r="H139" s="167">
        <f t="shared" si="4"/>
        <v>5.1413881748071976E-4</v>
      </c>
      <c r="I139" s="167"/>
      <c r="J139" s="167"/>
    </row>
    <row r="140" spans="2:20" x14ac:dyDescent="0.25">
      <c r="B140" s="169">
        <f t="shared" si="5"/>
        <v>6.9408740359897123E-2</v>
      </c>
      <c r="C140">
        <v>4802</v>
      </c>
      <c r="E140">
        <v>10</v>
      </c>
      <c r="F140">
        <v>4</v>
      </c>
      <c r="G140" s="15">
        <v>0.4</v>
      </c>
      <c r="H140" s="167">
        <f t="shared" si="4"/>
        <v>5.1413881748071976E-4</v>
      </c>
      <c r="I140" s="167"/>
      <c r="J140" s="167"/>
    </row>
    <row r="141" spans="2:20" x14ac:dyDescent="0.25">
      <c r="B141" s="169">
        <f t="shared" si="5"/>
        <v>6.9922879177377842E-2</v>
      </c>
      <c r="C141">
        <v>4810</v>
      </c>
      <c r="E141">
        <v>10</v>
      </c>
      <c r="F141">
        <v>4</v>
      </c>
      <c r="G141" s="15">
        <v>0.4</v>
      </c>
      <c r="H141" s="167">
        <f t="shared" si="4"/>
        <v>5.1413881748071976E-4</v>
      </c>
      <c r="I141" s="167"/>
      <c r="J141" s="167"/>
    </row>
    <row r="142" spans="2:20" x14ac:dyDescent="0.25">
      <c r="B142" s="169">
        <f t="shared" si="5"/>
        <v>7.0437017994858561E-2</v>
      </c>
      <c r="C142">
        <v>4803</v>
      </c>
      <c r="E142">
        <v>10</v>
      </c>
      <c r="F142">
        <v>4</v>
      </c>
      <c r="G142" s="15">
        <v>0.4</v>
      </c>
      <c r="H142" s="167">
        <f t="shared" si="4"/>
        <v>5.1413881748071976E-4</v>
      </c>
      <c r="I142" s="167"/>
      <c r="J142" s="167"/>
      <c r="M142" s="166"/>
      <c r="N142" s="172"/>
    </row>
    <row r="143" spans="2:20" x14ac:dyDescent="0.25">
      <c r="B143" s="169">
        <f t="shared" si="5"/>
        <v>7.0951156812339281E-2</v>
      </c>
      <c r="C143">
        <v>4811</v>
      </c>
      <c r="E143">
        <v>10</v>
      </c>
      <c r="F143">
        <v>4</v>
      </c>
      <c r="G143" s="15">
        <v>0.4</v>
      </c>
      <c r="H143" s="167">
        <f t="shared" si="4"/>
        <v>5.1413881748071976E-4</v>
      </c>
      <c r="I143" s="167"/>
      <c r="J143" s="167"/>
      <c r="T143" s="15"/>
    </row>
    <row r="144" spans="2:20" x14ac:dyDescent="0.25">
      <c r="B144" s="169">
        <f t="shared" si="5"/>
        <v>7.146529562982E-2</v>
      </c>
      <c r="C144">
        <v>4814</v>
      </c>
      <c r="E144">
        <v>10</v>
      </c>
      <c r="F144">
        <v>4</v>
      </c>
      <c r="G144" s="15">
        <v>0.4</v>
      </c>
      <c r="H144" s="167">
        <f t="shared" si="4"/>
        <v>5.1413881748071976E-4</v>
      </c>
      <c r="I144" s="167"/>
      <c r="J144" s="167"/>
      <c r="T144" s="15"/>
    </row>
    <row r="145" spans="2:20" x14ac:dyDescent="0.25">
      <c r="B145" s="169">
        <f t="shared" si="5"/>
        <v>7.1979434447300719E-2</v>
      </c>
      <c r="C145">
        <v>6053</v>
      </c>
      <c r="E145">
        <v>15</v>
      </c>
      <c r="F145">
        <v>6</v>
      </c>
      <c r="G145" s="15">
        <v>0.4</v>
      </c>
      <c r="H145" s="167">
        <f t="shared" si="4"/>
        <v>5.1413881748071976E-4</v>
      </c>
      <c r="I145" s="167"/>
      <c r="J145" s="167"/>
      <c r="T145" s="15"/>
    </row>
    <row r="146" spans="2:20" x14ac:dyDescent="0.25">
      <c r="B146" s="169">
        <f t="shared" si="5"/>
        <v>7.2493573264781438E-2</v>
      </c>
      <c r="C146">
        <v>2753</v>
      </c>
      <c r="E146">
        <v>5</v>
      </c>
      <c r="F146">
        <v>2</v>
      </c>
      <c r="G146" s="15">
        <v>0.4</v>
      </c>
      <c r="H146" s="167">
        <f t="shared" si="4"/>
        <v>5.1413881748071976E-4</v>
      </c>
      <c r="I146" s="167"/>
      <c r="J146" s="167"/>
      <c r="T146" s="15"/>
    </row>
    <row r="147" spans="2:20" x14ac:dyDescent="0.25">
      <c r="B147" s="169">
        <f t="shared" si="5"/>
        <v>7.3007712082262158E-2</v>
      </c>
      <c r="C147">
        <v>2754</v>
      </c>
      <c r="E147">
        <v>5</v>
      </c>
      <c r="F147">
        <v>2</v>
      </c>
      <c r="G147" s="15">
        <v>0.4</v>
      </c>
      <c r="H147" s="167">
        <f t="shared" si="4"/>
        <v>5.1413881748071976E-4</v>
      </c>
      <c r="I147" s="167"/>
      <c r="J147" s="167"/>
    </row>
    <row r="148" spans="2:20" x14ac:dyDescent="0.25">
      <c r="B148" s="169">
        <f t="shared" si="5"/>
        <v>7.3521850899742877E-2</v>
      </c>
      <c r="C148">
        <v>2755</v>
      </c>
      <c r="E148">
        <v>5</v>
      </c>
      <c r="F148">
        <v>2</v>
      </c>
      <c r="G148" s="15">
        <v>0.4</v>
      </c>
      <c r="H148" s="167">
        <f t="shared" si="4"/>
        <v>5.1413881748071976E-4</v>
      </c>
      <c r="I148" s="167"/>
      <c r="J148" s="167"/>
    </row>
    <row r="149" spans="2:20" x14ac:dyDescent="0.25">
      <c r="B149" s="169">
        <f t="shared" si="5"/>
        <v>7.4035989717223596E-2</v>
      </c>
      <c r="C149">
        <v>2756</v>
      </c>
      <c r="E149">
        <v>5</v>
      </c>
      <c r="F149">
        <v>2</v>
      </c>
      <c r="G149" s="15">
        <v>0.4</v>
      </c>
      <c r="H149" s="167">
        <f t="shared" si="4"/>
        <v>5.1413881748071976E-4</v>
      </c>
      <c r="I149" s="167"/>
      <c r="J149" s="167"/>
    </row>
    <row r="150" spans="2:20" x14ac:dyDescent="0.25">
      <c r="B150" s="169">
        <f t="shared" si="5"/>
        <v>7.4550128534704316E-2</v>
      </c>
      <c r="C150">
        <v>4008</v>
      </c>
      <c r="E150">
        <v>10</v>
      </c>
      <c r="F150">
        <v>4</v>
      </c>
      <c r="G150" s="15">
        <v>0.4</v>
      </c>
      <c r="H150" s="167">
        <f t="shared" si="4"/>
        <v>5.1413881748071976E-4</v>
      </c>
      <c r="I150" s="167"/>
      <c r="J150" s="167"/>
    </row>
    <row r="151" spans="2:20" x14ac:dyDescent="0.25">
      <c r="B151" s="169">
        <f t="shared" si="5"/>
        <v>7.5064267352185035E-2</v>
      </c>
      <c r="C151">
        <v>5888</v>
      </c>
      <c r="E151">
        <v>5</v>
      </c>
      <c r="F151">
        <v>2</v>
      </c>
      <c r="G151" s="15">
        <v>0.4</v>
      </c>
      <c r="H151" s="167">
        <f t="shared" si="4"/>
        <v>5.1413881748071976E-4</v>
      </c>
      <c r="I151" s="167"/>
      <c r="J151" s="167"/>
    </row>
    <row r="152" spans="2:20" x14ac:dyDescent="0.25">
      <c r="B152" s="169">
        <f t="shared" si="5"/>
        <v>7.5578406169665754E-2</v>
      </c>
      <c r="C152">
        <v>5534</v>
      </c>
      <c r="E152">
        <v>15</v>
      </c>
      <c r="F152">
        <v>6</v>
      </c>
      <c r="G152" s="15">
        <v>0.4</v>
      </c>
      <c r="H152" s="167">
        <f t="shared" si="4"/>
        <v>5.1413881748071976E-4</v>
      </c>
      <c r="I152" s="167"/>
      <c r="J152" s="167"/>
    </row>
    <row r="153" spans="2:20" x14ac:dyDescent="0.25">
      <c r="B153" s="169">
        <f t="shared" si="5"/>
        <v>7.6092544987146474E-2</v>
      </c>
      <c r="C153">
        <v>1611</v>
      </c>
      <c r="E153">
        <v>5</v>
      </c>
      <c r="F153">
        <v>2</v>
      </c>
      <c r="G153" s="15">
        <v>0.4</v>
      </c>
      <c r="H153" s="167">
        <f t="shared" si="4"/>
        <v>5.1413881748071976E-4</v>
      </c>
      <c r="I153" s="167"/>
      <c r="J153" s="167"/>
    </row>
    <row r="154" spans="2:20" x14ac:dyDescent="0.25">
      <c r="B154" s="169">
        <f t="shared" si="5"/>
        <v>7.6606683804627193E-2</v>
      </c>
      <c r="C154">
        <v>1612</v>
      </c>
      <c r="E154">
        <v>5</v>
      </c>
      <c r="F154">
        <v>2</v>
      </c>
      <c r="G154" s="15">
        <v>0.4</v>
      </c>
      <c r="H154" s="167">
        <f t="shared" si="4"/>
        <v>5.1413881748071976E-4</v>
      </c>
      <c r="I154" s="167"/>
      <c r="J154" s="167"/>
    </row>
    <row r="155" spans="2:20" x14ac:dyDescent="0.25">
      <c r="B155" s="169">
        <f t="shared" si="5"/>
        <v>7.7120822622107912E-2</v>
      </c>
      <c r="C155">
        <v>3945</v>
      </c>
      <c r="E155">
        <v>20</v>
      </c>
      <c r="F155">
        <v>8</v>
      </c>
      <c r="G155" s="15">
        <v>0.4</v>
      </c>
      <c r="H155" s="167">
        <f t="shared" si="4"/>
        <v>5.1413881748071976E-4</v>
      </c>
      <c r="I155" s="167"/>
      <c r="J155" s="167"/>
    </row>
    <row r="156" spans="2:20" x14ac:dyDescent="0.25">
      <c r="B156" s="169">
        <f t="shared" si="5"/>
        <v>7.7634961439588632E-2</v>
      </c>
      <c r="C156">
        <v>4012</v>
      </c>
      <c r="E156">
        <v>15</v>
      </c>
      <c r="F156">
        <v>6</v>
      </c>
      <c r="G156" s="15">
        <v>0.4</v>
      </c>
      <c r="H156" s="167">
        <f t="shared" si="4"/>
        <v>5.1413881748071976E-4</v>
      </c>
      <c r="I156" s="167"/>
      <c r="J156" s="167"/>
    </row>
    <row r="157" spans="2:20" x14ac:dyDescent="0.25">
      <c r="B157" s="169">
        <f t="shared" si="5"/>
        <v>7.8149100257069351E-2</v>
      </c>
      <c r="C157">
        <v>2324</v>
      </c>
      <c r="E157">
        <v>20</v>
      </c>
      <c r="F157">
        <v>8</v>
      </c>
      <c r="G157" s="15">
        <v>0.4</v>
      </c>
      <c r="H157" s="167">
        <f t="shared" si="4"/>
        <v>5.1413881748071976E-4</v>
      </c>
      <c r="I157" s="167"/>
      <c r="J157" s="167"/>
    </row>
    <row r="158" spans="2:20" x14ac:dyDescent="0.25">
      <c r="B158" s="169">
        <f t="shared" si="5"/>
        <v>7.866323907455007E-2</v>
      </c>
      <c r="C158">
        <v>6858</v>
      </c>
      <c r="E158">
        <v>40</v>
      </c>
      <c r="F158">
        <v>16</v>
      </c>
      <c r="G158" s="15">
        <v>0.4</v>
      </c>
      <c r="H158" s="167">
        <f t="shared" si="4"/>
        <v>5.1413881748071976E-4</v>
      </c>
      <c r="I158" s="167"/>
      <c r="J158" s="167"/>
    </row>
    <row r="159" spans="2:20" x14ac:dyDescent="0.25">
      <c r="B159" s="169">
        <f t="shared" si="5"/>
        <v>7.917737789203079E-2</v>
      </c>
      <c r="C159">
        <v>3845</v>
      </c>
      <c r="E159">
        <v>23</v>
      </c>
      <c r="F159">
        <v>10</v>
      </c>
      <c r="G159" s="15">
        <v>0.434782608695652</v>
      </c>
      <c r="H159" s="167">
        <f t="shared" si="4"/>
        <v>5.1413881748071976E-4</v>
      </c>
      <c r="I159" s="167"/>
      <c r="J159" s="167"/>
    </row>
    <row r="160" spans="2:20" x14ac:dyDescent="0.25">
      <c r="B160" s="169">
        <f t="shared" si="5"/>
        <v>7.9691516709511509E-2</v>
      </c>
      <c r="C160">
        <v>2422</v>
      </c>
      <c r="E160">
        <v>23</v>
      </c>
      <c r="F160">
        <v>10</v>
      </c>
      <c r="G160" s="15">
        <v>0.434782608695652</v>
      </c>
      <c r="H160" s="167">
        <f t="shared" si="4"/>
        <v>5.1413881748071976E-4</v>
      </c>
      <c r="I160" s="167"/>
      <c r="J160" s="167"/>
    </row>
    <row r="161" spans="2:10" x14ac:dyDescent="0.25">
      <c r="B161" s="169">
        <f t="shared" si="5"/>
        <v>8.0205655526992228E-2</v>
      </c>
      <c r="C161">
        <v>2407</v>
      </c>
      <c r="E161">
        <v>32</v>
      </c>
      <c r="F161">
        <v>14</v>
      </c>
      <c r="G161" s="15">
        <v>0.4375</v>
      </c>
      <c r="H161" s="167">
        <f t="shared" si="4"/>
        <v>5.1413881748071976E-4</v>
      </c>
      <c r="I161" s="167"/>
      <c r="J161" s="167"/>
    </row>
    <row r="162" spans="2:10" x14ac:dyDescent="0.25">
      <c r="B162" s="169">
        <f t="shared" si="5"/>
        <v>8.0719794344472948E-2</v>
      </c>
      <c r="C162">
        <v>5980</v>
      </c>
      <c r="E162">
        <v>36</v>
      </c>
      <c r="F162">
        <v>16</v>
      </c>
      <c r="G162" s="15">
        <v>0.44444444444444398</v>
      </c>
      <c r="H162" s="167">
        <f t="shared" si="4"/>
        <v>5.1413881748071976E-4</v>
      </c>
      <c r="I162" s="167"/>
      <c r="J162" s="167"/>
    </row>
    <row r="163" spans="2:10" x14ac:dyDescent="0.25">
      <c r="B163" s="169">
        <f t="shared" si="5"/>
        <v>8.1233933161953667E-2</v>
      </c>
      <c r="C163">
        <v>4833</v>
      </c>
      <c r="E163">
        <v>40</v>
      </c>
      <c r="F163">
        <v>18</v>
      </c>
      <c r="G163" s="15">
        <v>0.45</v>
      </c>
      <c r="H163" s="167">
        <f t="shared" si="4"/>
        <v>5.1413881748071976E-4</v>
      </c>
      <c r="I163" s="167"/>
      <c r="J163" s="167"/>
    </row>
    <row r="164" spans="2:10" x14ac:dyDescent="0.25">
      <c r="B164" s="169">
        <f t="shared" si="5"/>
        <v>8.1748071979434386E-2</v>
      </c>
      <c r="C164">
        <v>5717</v>
      </c>
      <c r="E164">
        <v>11</v>
      </c>
      <c r="F164">
        <v>5</v>
      </c>
      <c r="G164" s="15">
        <v>0.45454545454545497</v>
      </c>
      <c r="H164" s="167">
        <f t="shared" si="4"/>
        <v>5.1413881748071976E-4</v>
      </c>
      <c r="I164" s="167"/>
      <c r="J164" s="167"/>
    </row>
    <row r="165" spans="2:10" x14ac:dyDescent="0.25">
      <c r="B165" s="169">
        <f t="shared" si="5"/>
        <v>8.2262210796915106E-2</v>
      </c>
      <c r="C165">
        <v>4356</v>
      </c>
      <c r="E165">
        <v>15</v>
      </c>
      <c r="F165">
        <v>7</v>
      </c>
      <c r="G165" s="15">
        <v>0.46666666666666701</v>
      </c>
      <c r="H165" s="167">
        <f t="shared" si="4"/>
        <v>5.1413881748071976E-4</v>
      </c>
      <c r="I165" s="167"/>
      <c r="J165" s="167"/>
    </row>
    <row r="166" spans="2:10" x14ac:dyDescent="0.25">
      <c r="B166" s="169">
        <f t="shared" si="5"/>
        <v>8.2776349614395825E-2</v>
      </c>
      <c r="C166">
        <v>3997</v>
      </c>
      <c r="E166">
        <v>15</v>
      </c>
      <c r="F166">
        <v>7</v>
      </c>
      <c r="G166" s="15">
        <v>0.46666666666666701</v>
      </c>
      <c r="H166" s="167">
        <f t="shared" si="4"/>
        <v>5.1413881748071976E-4</v>
      </c>
      <c r="I166" s="167"/>
      <c r="J166" s="167"/>
    </row>
    <row r="167" spans="2:10" x14ac:dyDescent="0.25">
      <c r="B167" s="169">
        <f t="shared" si="5"/>
        <v>8.3290488431876544E-2</v>
      </c>
      <c r="C167">
        <v>6672</v>
      </c>
      <c r="E167">
        <v>15</v>
      </c>
      <c r="F167">
        <v>7</v>
      </c>
      <c r="G167" s="15">
        <v>0.46666666666666701</v>
      </c>
      <c r="H167" s="167">
        <f t="shared" si="4"/>
        <v>5.1413881748071976E-4</v>
      </c>
      <c r="I167" s="167"/>
      <c r="J167" s="167"/>
    </row>
    <row r="168" spans="2:10" x14ac:dyDescent="0.25">
      <c r="B168" s="169">
        <f t="shared" si="5"/>
        <v>8.3804627249357264E-2</v>
      </c>
      <c r="C168">
        <v>2614</v>
      </c>
      <c r="E168">
        <v>34</v>
      </c>
      <c r="F168">
        <v>16</v>
      </c>
      <c r="G168" s="15">
        <v>0.47058823529411797</v>
      </c>
      <c r="H168" s="167">
        <f t="shared" si="4"/>
        <v>5.1413881748071976E-4</v>
      </c>
      <c r="I168" s="167"/>
      <c r="J168" s="167"/>
    </row>
    <row r="169" spans="2:10" x14ac:dyDescent="0.25">
      <c r="B169" s="169">
        <f t="shared" si="5"/>
        <v>8.4318766066837983E-2</v>
      </c>
      <c r="C169">
        <v>3621</v>
      </c>
      <c r="E169">
        <v>40</v>
      </c>
      <c r="F169">
        <v>20</v>
      </c>
      <c r="G169" s="15">
        <v>0.5</v>
      </c>
      <c r="H169" s="167">
        <f t="shared" si="4"/>
        <v>5.1413881748071976E-4</v>
      </c>
      <c r="I169" s="167"/>
      <c r="J169" s="167"/>
    </row>
    <row r="170" spans="2:10" x14ac:dyDescent="0.25">
      <c r="B170" s="169">
        <f t="shared" si="5"/>
        <v>8.4832904884318702E-2</v>
      </c>
      <c r="C170">
        <v>3735</v>
      </c>
      <c r="E170">
        <v>2</v>
      </c>
      <c r="F170">
        <v>1</v>
      </c>
      <c r="G170" s="15">
        <v>0.5</v>
      </c>
      <c r="H170" s="167">
        <f t="shared" si="4"/>
        <v>5.1413881748071976E-4</v>
      </c>
      <c r="I170" s="167"/>
      <c r="J170" s="167"/>
    </row>
    <row r="171" spans="2:10" x14ac:dyDescent="0.25">
      <c r="B171" s="169">
        <f t="shared" si="5"/>
        <v>8.5347043701799422E-2</v>
      </c>
      <c r="C171">
        <v>3736</v>
      </c>
      <c r="E171">
        <v>2</v>
      </c>
      <c r="F171">
        <v>1</v>
      </c>
      <c r="G171" s="15">
        <v>0.5</v>
      </c>
      <c r="H171" s="167">
        <f t="shared" si="4"/>
        <v>5.1413881748071976E-4</v>
      </c>
      <c r="I171" s="167"/>
      <c r="J171" s="167"/>
    </row>
    <row r="172" spans="2:10" x14ac:dyDescent="0.25">
      <c r="B172" s="169">
        <f t="shared" si="5"/>
        <v>8.5861182519280141E-2</v>
      </c>
      <c r="C172">
        <v>3743</v>
      </c>
      <c r="E172">
        <v>2</v>
      </c>
      <c r="F172">
        <v>1</v>
      </c>
      <c r="G172" s="15">
        <v>0.5</v>
      </c>
      <c r="H172" s="167">
        <f t="shared" si="4"/>
        <v>5.1413881748071976E-4</v>
      </c>
      <c r="I172" s="167"/>
      <c r="J172" s="167"/>
    </row>
    <row r="173" spans="2:10" x14ac:dyDescent="0.25">
      <c r="B173" s="169">
        <f t="shared" si="5"/>
        <v>8.637532133676086E-2</v>
      </c>
      <c r="C173">
        <v>3744</v>
      </c>
      <c r="E173">
        <v>2</v>
      </c>
      <c r="F173">
        <v>1</v>
      </c>
      <c r="G173" s="15">
        <v>0.5</v>
      </c>
      <c r="H173" s="167">
        <f t="shared" si="4"/>
        <v>5.1413881748071976E-4</v>
      </c>
      <c r="I173" s="167"/>
      <c r="J173" s="167"/>
    </row>
    <row r="174" spans="2:10" x14ac:dyDescent="0.25">
      <c r="B174" s="169">
        <f t="shared" si="5"/>
        <v>8.688946015424158E-2</v>
      </c>
      <c r="C174">
        <v>5089</v>
      </c>
      <c r="E174">
        <v>2</v>
      </c>
      <c r="F174">
        <v>1</v>
      </c>
      <c r="G174" s="15">
        <v>0.5</v>
      </c>
      <c r="H174" s="167">
        <f t="shared" si="4"/>
        <v>5.1413881748071976E-4</v>
      </c>
      <c r="I174" s="167"/>
      <c r="J174" s="167"/>
    </row>
    <row r="175" spans="2:10" x14ac:dyDescent="0.25">
      <c r="B175" s="169">
        <f t="shared" si="5"/>
        <v>8.7403598971722299E-2</v>
      </c>
      <c r="C175">
        <v>3763</v>
      </c>
      <c r="E175">
        <v>2</v>
      </c>
      <c r="F175">
        <v>1</v>
      </c>
      <c r="G175" s="15">
        <v>0.5</v>
      </c>
      <c r="H175" s="167">
        <f t="shared" si="4"/>
        <v>5.1413881748071976E-4</v>
      </c>
      <c r="I175" s="167"/>
      <c r="J175" s="167"/>
    </row>
    <row r="176" spans="2:10" x14ac:dyDescent="0.25">
      <c r="B176" s="169">
        <f t="shared" si="5"/>
        <v>8.7917737789203018E-2</v>
      </c>
      <c r="C176">
        <v>2233</v>
      </c>
      <c r="E176">
        <v>2</v>
      </c>
      <c r="F176">
        <v>1</v>
      </c>
      <c r="G176" s="15">
        <v>0.5</v>
      </c>
      <c r="H176" s="167">
        <f t="shared" si="4"/>
        <v>5.1413881748071976E-4</v>
      </c>
      <c r="I176" s="167"/>
      <c r="J176" s="167"/>
    </row>
    <row r="177" spans="2:10" x14ac:dyDescent="0.25">
      <c r="B177" s="169">
        <f t="shared" si="5"/>
        <v>8.8431876606683738E-2</v>
      </c>
      <c r="C177">
        <v>4799</v>
      </c>
      <c r="E177">
        <v>10</v>
      </c>
      <c r="F177">
        <v>5</v>
      </c>
      <c r="G177" s="15">
        <v>0.5</v>
      </c>
      <c r="H177" s="167">
        <f t="shared" si="4"/>
        <v>5.1413881748071976E-4</v>
      </c>
      <c r="I177" s="167"/>
      <c r="J177" s="167"/>
    </row>
    <row r="178" spans="2:10" x14ac:dyDescent="0.25">
      <c r="B178" s="169">
        <f t="shared" si="5"/>
        <v>8.8946015424164457E-2</v>
      </c>
      <c r="C178">
        <v>4809</v>
      </c>
      <c r="E178">
        <v>10</v>
      </c>
      <c r="F178">
        <v>5</v>
      </c>
      <c r="G178" s="15">
        <v>0.5</v>
      </c>
      <c r="H178" s="167">
        <f t="shared" si="4"/>
        <v>5.1413881748071976E-4</v>
      </c>
      <c r="I178" s="167"/>
      <c r="J178" s="167"/>
    </row>
    <row r="179" spans="2:10" x14ac:dyDescent="0.25">
      <c r="B179" s="169">
        <f t="shared" si="5"/>
        <v>8.9460154241645176E-2</v>
      </c>
      <c r="C179">
        <v>4820</v>
      </c>
      <c r="E179">
        <v>10</v>
      </c>
      <c r="F179">
        <v>5</v>
      </c>
      <c r="G179" s="15">
        <v>0.5</v>
      </c>
      <c r="H179" s="167">
        <f t="shared" si="4"/>
        <v>5.1413881748071976E-4</v>
      </c>
      <c r="I179" s="167"/>
      <c r="J179" s="167"/>
    </row>
    <row r="180" spans="2:10" x14ac:dyDescent="0.25">
      <c r="B180" s="169">
        <f t="shared" si="5"/>
        <v>8.9974293059125895E-2</v>
      </c>
      <c r="C180">
        <v>4812</v>
      </c>
      <c r="E180">
        <v>10</v>
      </c>
      <c r="F180">
        <v>5</v>
      </c>
      <c r="G180" s="15">
        <v>0.5</v>
      </c>
      <c r="H180" s="167">
        <f t="shared" si="4"/>
        <v>5.1413881748071976E-4</v>
      </c>
      <c r="I180" s="167"/>
      <c r="J180" s="167"/>
    </row>
    <row r="181" spans="2:10" x14ac:dyDescent="0.25">
      <c r="B181" s="169">
        <f t="shared" si="5"/>
        <v>9.0488431876606615E-2</v>
      </c>
      <c r="C181">
        <v>4804</v>
      </c>
      <c r="E181">
        <v>10</v>
      </c>
      <c r="F181">
        <v>5</v>
      </c>
      <c r="G181" s="15">
        <v>0.5</v>
      </c>
      <c r="H181" s="167">
        <f t="shared" si="4"/>
        <v>5.1413881748071976E-4</v>
      </c>
      <c r="I181" s="167"/>
      <c r="J181" s="167"/>
    </row>
    <row r="182" spans="2:10" x14ac:dyDescent="0.25">
      <c r="B182" s="169">
        <f t="shared" si="5"/>
        <v>9.1002570694087334E-2</v>
      </c>
      <c r="C182">
        <v>4821</v>
      </c>
      <c r="E182">
        <v>10</v>
      </c>
      <c r="F182">
        <v>5</v>
      </c>
      <c r="G182" s="15">
        <v>0.5</v>
      </c>
      <c r="H182" s="167">
        <f t="shared" si="4"/>
        <v>5.1413881748071976E-4</v>
      </c>
      <c r="I182" s="167"/>
      <c r="J182" s="167"/>
    </row>
    <row r="183" spans="2:10" x14ac:dyDescent="0.25">
      <c r="B183" s="169">
        <f t="shared" si="5"/>
        <v>9.1516709511568053E-2</v>
      </c>
      <c r="C183">
        <v>4813</v>
      </c>
      <c r="E183">
        <v>10</v>
      </c>
      <c r="F183">
        <v>5</v>
      </c>
      <c r="G183" s="15">
        <v>0.5</v>
      </c>
      <c r="H183" s="167">
        <f t="shared" si="4"/>
        <v>5.1413881748071976E-4</v>
      </c>
      <c r="I183" s="167"/>
      <c r="J183" s="167"/>
    </row>
    <row r="184" spans="2:10" x14ac:dyDescent="0.25">
      <c r="B184" s="169">
        <f t="shared" si="5"/>
        <v>9.2030848329048773E-2</v>
      </c>
      <c r="C184">
        <v>4822</v>
      </c>
      <c r="E184">
        <v>10</v>
      </c>
      <c r="F184">
        <v>5</v>
      </c>
      <c r="G184" s="15">
        <v>0.5</v>
      </c>
      <c r="H184" s="167">
        <f t="shared" si="4"/>
        <v>5.1413881748071976E-4</v>
      </c>
      <c r="I184" s="167"/>
      <c r="J184" s="167"/>
    </row>
    <row r="185" spans="2:10" x14ac:dyDescent="0.25">
      <c r="B185" s="169">
        <f t="shared" si="5"/>
        <v>9.2544987146529492E-2</v>
      </c>
      <c r="C185">
        <v>5750</v>
      </c>
      <c r="E185">
        <v>4</v>
      </c>
      <c r="F185">
        <v>2</v>
      </c>
      <c r="G185" s="15">
        <v>0.5</v>
      </c>
      <c r="H185" s="167">
        <f t="shared" si="4"/>
        <v>5.1413881748071976E-4</v>
      </c>
      <c r="I185" s="167"/>
      <c r="J185" s="167"/>
    </row>
    <row r="186" spans="2:10" x14ac:dyDescent="0.25">
      <c r="B186" s="169">
        <f t="shared" si="5"/>
        <v>9.3059125964010211E-2</v>
      </c>
      <c r="C186">
        <v>3326</v>
      </c>
      <c r="E186">
        <v>4</v>
      </c>
      <c r="F186">
        <v>2</v>
      </c>
      <c r="G186" s="15">
        <v>0.5</v>
      </c>
      <c r="H186" s="167">
        <f t="shared" si="4"/>
        <v>5.1413881748071976E-4</v>
      </c>
      <c r="I186" s="167"/>
      <c r="J186" s="167"/>
    </row>
    <row r="187" spans="2:10" x14ac:dyDescent="0.25">
      <c r="B187" s="169">
        <f t="shared" si="5"/>
        <v>9.3573264781490931E-2</v>
      </c>
      <c r="C187">
        <v>3329</v>
      </c>
      <c r="E187">
        <v>4</v>
      </c>
      <c r="F187">
        <v>2</v>
      </c>
      <c r="G187" s="15">
        <v>0.5</v>
      </c>
      <c r="H187" s="167">
        <f t="shared" si="4"/>
        <v>5.1413881748071976E-4</v>
      </c>
      <c r="I187" s="167"/>
      <c r="J187" s="167"/>
    </row>
    <row r="188" spans="2:10" x14ac:dyDescent="0.25">
      <c r="B188" s="169">
        <f t="shared" si="5"/>
        <v>9.408740359897165E-2</v>
      </c>
      <c r="C188">
        <v>3330</v>
      </c>
      <c r="E188">
        <v>4</v>
      </c>
      <c r="F188">
        <v>2</v>
      </c>
      <c r="G188" s="15">
        <v>0.5</v>
      </c>
      <c r="H188" s="167">
        <f t="shared" si="4"/>
        <v>5.1413881748071976E-4</v>
      </c>
      <c r="I188" s="167"/>
      <c r="J188" s="167"/>
    </row>
    <row r="189" spans="2:10" x14ac:dyDescent="0.25">
      <c r="B189" s="169">
        <f t="shared" si="5"/>
        <v>9.4601542416452369E-2</v>
      </c>
      <c r="C189">
        <v>3933</v>
      </c>
      <c r="E189">
        <v>10</v>
      </c>
      <c r="F189">
        <v>5</v>
      </c>
      <c r="G189" s="15">
        <v>0.5</v>
      </c>
      <c r="H189" s="167">
        <f t="shared" si="4"/>
        <v>5.1413881748071976E-4</v>
      </c>
      <c r="I189" s="167"/>
      <c r="J189" s="167"/>
    </row>
    <row r="190" spans="2:10" x14ac:dyDescent="0.25">
      <c r="B190" s="169">
        <f t="shared" si="5"/>
        <v>9.5115681233933089E-2</v>
      </c>
      <c r="C190">
        <v>6049</v>
      </c>
      <c r="E190">
        <v>2</v>
      </c>
      <c r="F190">
        <v>1</v>
      </c>
      <c r="G190" s="15">
        <v>0.5</v>
      </c>
      <c r="H190" s="167">
        <f t="shared" si="4"/>
        <v>5.1413881748071976E-4</v>
      </c>
      <c r="I190" s="167"/>
      <c r="J190" s="167"/>
    </row>
    <row r="191" spans="2:10" x14ac:dyDescent="0.25">
      <c r="B191" s="169">
        <f t="shared" si="5"/>
        <v>9.5629820051413808E-2</v>
      </c>
      <c r="C191">
        <v>6387</v>
      </c>
      <c r="E191">
        <v>4</v>
      </c>
      <c r="F191">
        <v>2</v>
      </c>
      <c r="G191" s="15">
        <v>0.5</v>
      </c>
      <c r="H191" s="167">
        <f t="shared" si="4"/>
        <v>5.1413881748071976E-4</v>
      </c>
      <c r="I191" s="167"/>
      <c r="J191" s="167"/>
    </row>
    <row r="192" spans="2:10" x14ac:dyDescent="0.25">
      <c r="B192" s="169">
        <f t="shared" si="5"/>
        <v>9.6143958868894527E-2</v>
      </c>
      <c r="C192">
        <v>5758</v>
      </c>
      <c r="E192">
        <v>4</v>
      </c>
      <c r="F192">
        <v>2</v>
      </c>
      <c r="G192" s="15">
        <v>0.5</v>
      </c>
      <c r="H192" s="167">
        <f t="shared" si="4"/>
        <v>5.1413881748071976E-4</v>
      </c>
      <c r="I192" s="167"/>
      <c r="J192" s="167"/>
    </row>
    <row r="193" spans="2:10" x14ac:dyDescent="0.25">
      <c r="B193" s="169">
        <f t="shared" si="5"/>
        <v>9.6658097686375247E-2</v>
      </c>
      <c r="C193">
        <v>5915</v>
      </c>
      <c r="E193">
        <v>2</v>
      </c>
      <c r="F193">
        <v>1</v>
      </c>
      <c r="G193" s="15">
        <v>0.5</v>
      </c>
      <c r="H193" s="167">
        <f t="shared" si="4"/>
        <v>5.1413881748071976E-4</v>
      </c>
      <c r="I193" s="167"/>
      <c r="J193" s="167"/>
    </row>
    <row r="194" spans="2:10" x14ac:dyDescent="0.25">
      <c r="B194" s="169">
        <f t="shared" si="5"/>
        <v>9.7172236503855966E-2</v>
      </c>
      <c r="C194">
        <v>1878</v>
      </c>
      <c r="E194">
        <v>140</v>
      </c>
      <c r="F194">
        <v>70</v>
      </c>
      <c r="G194" s="15">
        <v>0.5</v>
      </c>
      <c r="H194" s="167">
        <f t="shared" si="4"/>
        <v>5.1413881748071976E-4</v>
      </c>
      <c r="I194" s="167"/>
      <c r="J194" s="167"/>
    </row>
    <row r="195" spans="2:10" x14ac:dyDescent="0.25">
      <c r="B195" s="169">
        <f t="shared" si="5"/>
        <v>9.7686375321336685E-2</v>
      </c>
      <c r="C195">
        <v>5752</v>
      </c>
      <c r="E195">
        <v>6</v>
      </c>
      <c r="F195">
        <v>3</v>
      </c>
      <c r="G195" s="15">
        <v>0.5</v>
      </c>
      <c r="H195" s="167">
        <f t="shared" si="4"/>
        <v>5.1413881748071976E-4</v>
      </c>
      <c r="I195" s="167"/>
      <c r="J195" s="167"/>
    </row>
    <row r="196" spans="2:10" x14ac:dyDescent="0.25">
      <c r="B196" s="169">
        <f t="shared" si="5"/>
        <v>9.8200514138817405E-2</v>
      </c>
      <c r="C196">
        <v>6443</v>
      </c>
      <c r="E196">
        <v>10</v>
      </c>
      <c r="F196">
        <v>5</v>
      </c>
      <c r="G196" s="15">
        <v>0.5</v>
      </c>
      <c r="H196" s="167">
        <f t="shared" si="4"/>
        <v>5.1413881748071976E-4</v>
      </c>
      <c r="I196" s="167"/>
      <c r="J196" s="167"/>
    </row>
    <row r="197" spans="2:10" x14ac:dyDescent="0.25">
      <c r="B197" s="169">
        <f t="shared" si="5"/>
        <v>9.8714652956298124E-2</v>
      </c>
      <c r="C197">
        <v>4099</v>
      </c>
      <c r="E197">
        <v>2</v>
      </c>
      <c r="F197">
        <v>1</v>
      </c>
      <c r="G197" s="15">
        <v>0.5</v>
      </c>
      <c r="H197" s="167">
        <f t="shared" si="4"/>
        <v>5.1413881748071976E-4</v>
      </c>
      <c r="I197" s="167"/>
      <c r="J197" s="167"/>
    </row>
    <row r="198" spans="2:10" x14ac:dyDescent="0.25">
      <c r="B198" s="169">
        <f t="shared" si="5"/>
        <v>9.9228791773778843E-2</v>
      </c>
      <c r="C198">
        <v>4109</v>
      </c>
      <c r="E198">
        <v>4</v>
      </c>
      <c r="F198">
        <v>2</v>
      </c>
      <c r="G198" s="15">
        <v>0.5</v>
      </c>
      <c r="H198" s="167">
        <f t="shared" ref="H198:H261" si="6">1/$L$6</f>
        <v>5.1413881748071976E-4</v>
      </c>
      <c r="I198" s="167"/>
      <c r="J198" s="167"/>
    </row>
    <row r="199" spans="2:10" x14ac:dyDescent="0.25">
      <c r="B199" s="169">
        <f t="shared" ref="B199:B262" si="7">B198+H199</f>
        <v>9.9742930591259563E-2</v>
      </c>
      <c r="C199">
        <v>3605</v>
      </c>
      <c r="E199">
        <v>4</v>
      </c>
      <c r="F199">
        <v>2</v>
      </c>
      <c r="G199" s="15">
        <v>0.5</v>
      </c>
      <c r="H199" s="167">
        <f t="shared" si="6"/>
        <v>5.1413881748071976E-4</v>
      </c>
      <c r="I199" s="167"/>
      <c r="J199" s="167"/>
    </row>
    <row r="200" spans="2:10" x14ac:dyDescent="0.25">
      <c r="B200" s="169">
        <f t="shared" si="7"/>
        <v>0.10025706940874028</v>
      </c>
      <c r="C200">
        <v>5500</v>
      </c>
      <c r="E200">
        <v>2</v>
      </c>
      <c r="F200">
        <v>1</v>
      </c>
      <c r="G200" s="15">
        <v>0.5</v>
      </c>
      <c r="H200" s="167">
        <f t="shared" si="6"/>
        <v>5.1413881748071976E-4</v>
      </c>
      <c r="I200" s="167"/>
      <c r="J200" s="167"/>
    </row>
    <row r="201" spans="2:10" x14ac:dyDescent="0.25">
      <c r="B201" s="169">
        <f t="shared" si="7"/>
        <v>0.100771208226221</v>
      </c>
      <c r="C201">
        <v>4141</v>
      </c>
      <c r="E201">
        <v>12</v>
      </c>
      <c r="F201">
        <v>6</v>
      </c>
      <c r="G201" s="15">
        <v>0.5</v>
      </c>
      <c r="H201" s="167">
        <f t="shared" si="6"/>
        <v>5.1413881748071976E-4</v>
      </c>
      <c r="I201" s="167"/>
      <c r="J201" s="167"/>
    </row>
    <row r="202" spans="2:10" x14ac:dyDescent="0.25">
      <c r="B202" s="169">
        <f t="shared" si="7"/>
        <v>0.10128534704370172</v>
      </c>
      <c r="C202">
        <v>6670</v>
      </c>
      <c r="E202">
        <v>4</v>
      </c>
      <c r="F202">
        <v>2</v>
      </c>
      <c r="G202" s="15">
        <v>0.5</v>
      </c>
      <c r="H202" s="167">
        <f t="shared" si="6"/>
        <v>5.1413881748071976E-4</v>
      </c>
      <c r="I202" s="167"/>
      <c r="J202" s="167"/>
    </row>
    <row r="203" spans="2:10" x14ac:dyDescent="0.25">
      <c r="B203" s="169">
        <f t="shared" si="7"/>
        <v>0.10179948586118244</v>
      </c>
      <c r="C203">
        <v>5813</v>
      </c>
      <c r="E203">
        <v>4</v>
      </c>
      <c r="F203">
        <v>2</v>
      </c>
      <c r="G203" s="15">
        <v>0.5</v>
      </c>
      <c r="H203" s="167">
        <f t="shared" si="6"/>
        <v>5.1413881748071976E-4</v>
      </c>
      <c r="I203" s="167"/>
      <c r="J203" s="167"/>
    </row>
    <row r="204" spans="2:10" x14ac:dyDescent="0.25">
      <c r="B204" s="169">
        <f t="shared" si="7"/>
        <v>0.10231362467866316</v>
      </c>
      <c r="C204">
        <v>4152</v>
      </c>
      <c r="E204">
        <v>2</v>
      </c>
      <c r="F204">
        <v>1</v>
      </c>
      <c r="G204" s="15">
        <v>0.5</v>
      </c>
      <c r="H204" s="167">
        <f t="shared" si="6"/>
        <v>5.1413881748071976E-4</v>
      </c>
      <c r="I204" s="167"/>
      <c r="J204" s="167"/>
    </row>
    <row r="205" spans="2:10" x14ac:dyDescent="0.25">
      <c r="B205" s="169">
        <f t="shared" si="7"/>
        <v>0.10282776349614388</v>
      </c>
      <c r="C205">
        <v>7073</v>
      </c>
      <c r="E205">
        <v>20</v>
      </c>
      <c r="F205">
        <v>10</v>
      </c>
      <c r="G205" s="15">
        <v>0.5</v>
      </c>
      <c r="H205" s="167">
        <f t="shared" si="6"/>
        <v>5.1413881748071976E-4</v>
      </c>
      <c r="I205" s="167"/>
      <c r="J205" s="167"/>
    </row>
    <row r="206" spans="2:10" x14ac:dyDescent="0.25">
      <c r="B206" s="169">
        <f t="shared" si="7"/>
        <v>0.1033419023136246</v>
      </c>
      <c r="C206">
        <v>6949</v>
      </c>
      <c r="E206">
        <v>2</v>
      </c>
      <c r="F206">
        <v>1</v>
      </c>
      <c r="G206" s="15">
        <v>0.5</v>
      </c>
      <c r="H206" s="167">
        <f t="shared" si="6"/>
        <v>5.1413881748071976E-4</v>
      </c>
      <c r="I206" s="167"/>
      <c r="J206" s="167"/>
    </row>
    <row r="207" spans="2:10" x14ac:dyDescent="0.25">
      <c r="B207" s="169">
        <f t="shared" si="7"/>
        <v>0.10385604113110532</v>
      </c>
      <c r="C207">
        <v>6948</v>
      </c>
      <c r="E207">
        <v>2</v>
      </c>
      <c r="F207">
        <v>1</v>
      </c>
      <c r="G207" s="15">
        <v>0.5</v>
      </c>
      <c r="H207" s="167">
        <f t="shared" si="6"/>
        <v>5.1413881748071976E-4</v>
      </c>
      <c r="I207" s="167"/>
      <c r="J207" s="167"/>
    </row>
    <row r="208" spans="2:10" x14ac:dyDescent="0.25">
      <c r="B208" s="169">
        <f t="shared" si="7"/>
        <v>0.10437017994858604</v>
      </c>
      <c r="C208">
        <v>6947</v>
      </c>
      <c r="E208">
        <v>2</v>
      </c>
      <c r="F208">
        <v>1</v>
      </c>
      <c r="G208" s="15">
        <v>0.5</v>
      </c>
      <c r="H208" s="167">
        <f t="shared" si="6"/>
        <v>5.1413881748071976E-4</v>
      </c>
      <c r="I208" s="167"/>
      <c r="J208" s="167"/>
    </row>
    <row r="209" spans="2:10" x14ac:dyDescent="0.25">
      <c r="B209" s="169">
        <f t="shared" si="7"/>
        <v>0.10488431876606676</v>
      </c>
      <c r="C209">
        <v>4193</v>
      </c>
      <c r="E209">
        <v>4</v>
      </c>
      <c r="F209">
        <v>2</v>
      </c>
      <c r="G209" s="15">
        <v>0.5</v>
      </c>
      <c r="H209" s="167">
        <f t="shared" si="6"/>
        <v>5.1413881748071976E-4</v>
      </c>
      <c r="I209" s="167"/>
      <c r="J209" s="167"/>
    </row>
    <row r="210" spans="2:10" x14ac:dyDescent="0.25">
      <c r="B210" s="169">
        <f t="shared" si="7"/>
        <v>0.10539845758354748</v>
      </c>
      <c r="C210">
        <v>6946</v>
      </c>
      <c r="E210">
        <v>2</v>
      </c>
      <c r="F210">
        <v>1</v>
      </c>
      <c r="G210" s="15">
        <v>0.5</v>
      </c>
      <c r="H210" s="167">
        <f t="shared" si="6"/>
        <v>5.1413881748071976E-4</v>
      </c>
      <c r="I210" s="167"/>
      <c r="J210" s="167"/>
    </row>
    <row r="211" spans="2:10" x14ac:dyDescent="0.25">
      <c r="B211" s="169">
        <f t="shared" si="7"/>
        <v>0.10591259640102819</v>
      </c>
      <c r="C211">
        <v>6920</v>
      </c>
      <c r="E211">
        <v>2</v>
      </c>
      <c r="F211">
        <v>1</v>
      </c>
      <c r="G211" s="15">
        <v>0.5</v>
      </c>
      <c r="H211" s="167">
        <f t="shared" si="6"/>
        <v>5.1413881748071976E-4</v>
      </c>
      <c r="I211" s="167"/>
      <c r="J211" s="167"/>
    </row>
    <row r="212" spans="2:10" x14ac:dyDescent="0.25">
      <c r="B212" s="169">
        <f t="shared" si="7"/>
        <v>0.10642673521850891</v>
      </c>
      <c r="C212">
        <v>5667</v>
      </c>
      <c r="E212">
        <v>2</v>
      </c>
      <c r="F212">
        <v>1</v>
      </c>
      <c r="G212" s="15">
        <v>0.5</v>
      </c>
      <c r="H212" s="167">
        <f t="shared" si="6"/>
        <v>5.1413881748071976E-4</v>
      </c>
      <c r="I212" s="167"/>
      <c r="J212" s="167"/>
    </row>
    <row r="213" spans="2:10" x14ac:dyDescent="0.25">
      <c r="B213" s="169">
        <f t="shared" si="7"/>
        <v>0.10694087403598963</v>
      </c>
      <c r="C213">
        <v>4878</v>
      </c>
      <c r="E213">
        <v>40</v>
      </c>
      <c r="F213">
        <v>21</v>
      </c>
      <c r="G213" s="15">
        <v>0.52500000000000002</v>
      </c>
      <c r="H213" s="167">
        <f t="shared" si="6"/>
        <v>5.1413881748071976E-4</v>
      </c>
      <c r="I213" s="167"/>
      <c r="J213" s="167"/>
    </row>
    <row r="214" spans="2:10" x14ac:dyDescent="0.25">
      <c r="B214" s="169">
        <f t="shared" si="7"/>
        <v>0.10745501285347035</v>
      </c>
      <c r="C214">
        <v>4883</v>
      </c>
      <c r="E214">
        <v>40</v>
      </c>
      <c r="F214">
        <v>21</v>
      </c>
      <c r="G214" s="15">
        <v>0.52500000000000002</v>
      </c>
      <c r="H214" s="167">
        <f t="shared" si="6"/>
        <v>5.1413881748071976E-4</v>
      </c>
      <c r="I214" s="167"/>
      <c r="J214" s="167"/>
    </row>
    <row r="215" spans="2:10" x14ac:dyDescent="0.25">
      <c r="B215" s="169">
        <f t="shared" si="7"/>
        <v>0.10796915167095107</v>
      </c>
      <c r="C215">
        <v>4087</v>
      </c>
      <c r="E215">
        <v>120</v>
      </c>
      <c r="F215">
        <v>63</v>
      </c>
      <c r="G215" s="15">
        <v>0.52500000000000002</v>
      </c>
      <c r="H215" s="167">
        <f t="shared" si="6"/>
        <v>5.1413881748071976E-4</v>
      </c>
      <c r="I215" s="167"/>
      <c r="J215" s="167"/>
    </row>
    <row r="216" spans="2:10" x14ac:dyDescent="0.25">
      <c r="B216" s="169">
        <f t="shared" si="7"/>
        <v>0.10848329048843179</v>
      </c>
      <c r="C216">
        <v>4865</v>
      </c>
      <c r="E216">
        <v>15</v>
      </c>
      <c r="F216">
        <v>8</v>
      </c>
      <c r="G216" s="15">
        <v>0.53333333333333299</v>
      </c>
      <c r="H216" s="167">
        <f t="shared" si="6"/>
        <v>5.1413881748071976E-4</v>
      </c>
      <c r="I216" s="167"/>
      <c r="J216" s="167"/>
    </row>
    <row r="217" spans="2:10" x14ac:dyDescent="0.25">
      <c r="B217" s="169">
        <f t="shared" si="7"/>
        <v>0.10899742930591251</v>
      </c>
      <c r="C217">
        <v>2659</v>
      </c>
      <c r="E217">
        <v>15</v>
      </c>
      <c r="F217">
        <v>8</v>
      </c>
      <c r="G217" s="15">
        <v>0.53333333333333299</v>
      </c>
      <c r="H217" s="167">
        <f t="shared" si="6"/>
        <v>5.1413881748071976E-4</v>
      </c>
      <c r="I217" s="167"/>
      <c r="J217" s="167"/>
    </row>
    <row r="218" spans="2:10" x14ac:dyDescent="0.25">
      <c r="B218" s="169">
        <f t="shared" si="7"/>
        <v>0.10951156812339323</v>
      </c>
      <c r="C218">
        <v>2660</v>
      </c>
      <c r="E218">
        <v>15</v>
      </c>
      <c r="F218">
        <v>8</v>
      </c>
      <c r="G218" s="15">
        <v>0.53333333333333299</v>
      </c>
      <c r="H218" s="167">
        <f t="shared" si="6"/>
        <v>5.1413881748071976E-4</v>
      </c>
      <c r="I218" s="167"/>
      <c r="J218" s="167"/>
    </row>
    <row r="219" spans="2:10" x14ac:dyDescent="0.25">
      <c r="B219" s="169">
        <f t="shared" si="7"/>
        <v>0.11002570694087395</v>
      </c>
      <c r="C219">
        <v>5708</v>
      </c>
      <c r="E219">
        <v>15</v>
      </c>
      <c r="F219">
        <v>8</v>
      </c>
      <c r="G219" s="15">
        <v>0.53333333333333299</v>
      </c>
      <c r="H219" s="167">
        <f t="shared" si="6"/>
        <v>5.1413881748071976E-4</v>
      </c>
      <c r="I219" s="167"/>
      <c r="J219" s="167"/>
    </row>
    <row r="220" spans="2:10" x14ac:dyDescent="0.25">
      <c r="B220" s="169">
        <f t="shared" si="7"/>
        <v>0.11053984575835467</v>
      </c>
      <c r="C220">
        <v>5671</v>
      </c>
      <c r="E220">
        <v>13</v>
      </c>
      <c r="F220">
        <v>7</v>
      </c>
      <c r="G220" s="15">
        <v>0.53846153846153799</v>
      </c>
      <c r="H220" s="167">
        <f t="shared" si="6"/>
        <v>5.1413881748071976E-4</v>
      </c>
      <c r="I220" s="167"/>
      <c r="J220" s="167"/>
    </row>
    <row r="221" spans="2:10" x14ac:dyDescent="0.25">
      <c r="B221" s="169">
        <f t="shared" si="7"/>
        <v>0.11105398457583539</v>
      </c>
      <c r="C221">
        <v>3854</v>
      </c>
      <c r="E221">
        <v>50</v>
      </c>
      <c r="F221">
        <v>27</v>
      </c>
      <c r="G221" s="15">
        <v>0.54</v>
      </c>
      <c r="H221" s="167">
        <f t="shared" si="6"/>
        <v>5.1413881748071976E-4</v>
      </c>
      <c r="I221" s="167"/>
      <c r="J221" s="167"/>
    </row>
    <row r="222" spans="2:10" x14ac:dyDescent="0.25">
      <c r="B222" s="169">
        <f t="shared" si="7"/>
        <v>0.11156812339331611</v>
      </c>
      <c r="C222">
        <v>4824</v>
      </c>
      <c r="E222">
        <v>9</v>
      </c>
      <c r="F222">
        <v>5</v>
      </c>
      <c r="G222" s="15">
        <v>0.55555555555555602</v>
      </c>
      <c r="H222" s="167">
        <f t="shared" si="6"/>
        <v>5.1413881748071976E-4</v>
      </c>
      <c r="I222" s="167"/>
      <c r="J222" s="167"/>
    </row>
    <row r="223" spans="2:10" x14ac:dyDescent="0.25">
      <c r="B223" s="169">
        <f t="shared" si="7"/>
        <v>0.11208226221079683</v>
      </c>
      <c r="C223">
        <v>4112</v>
      </c>
      <c r="E223">
        <v>18</v>
      </c>
      <c r="F223">
        <v>10</v>
      </c>
      <c r="G223" s="15">
        <v>0.55555555555555602</v>
      </c>
      <c r="H223" s="167">
        <f t="shared" si="6"/>
        <v>5.1413881748071976E-4</v>
      </c>
      <c r="I223" s="167"/>
      <c r="J223" s="167"/>
    </row>
    <row r="224" spans="2:10" x14ac:dyDescent="0.25">
      <c r="B224" s="169">
        <f t="shared" si="7"/>
        <v>0.11259640102827755</v>
      </c>
      <c r="C224">
        <v>580</v>
      </c>
      <c r="E224">
        <v>60</v>
      </c>
      <c r="F224">
        <v>34</v>
      </c>
      <c r="G224" s="15">
        <v>0.56666666666666698</v>
      </c>
      <c r="H224" s="167">
        <f t="shared" si="6"/>
        <v>5.1413881748071976E-4</v>
      </c>
      <c r="I224" s="167"/>
      <c r="J224" s="167"/>
    </row>
    <row r="225" spans="2:10" x14ac:dyDescent="0.25">
      <c r="B225" s="169">
        <f t="shared" si="7"/>
        <v>0.11311053984575827</v>
      </c>
      <c r="C225">
        <v>3652</v>
      </c>
      <c r="E225">
        <v>290</v>
      </c>
      <c r="F225">
        <v>170</v>
      </c>
      <c r="G225" s="15">
        <v>0.58620689655172398</v>
      </c>
      <c r="H225" s="167">
        <f t="shared" si="6"/>
        <v>5.1413881748071976E-4</v>
      </c>
      <c r="I225" s="167"/>
      <c r="J225" s="167"/>
    </row>
    <row r="226" spans="2:10" x14ac:dyDescent="0.25">
      <c r="B226" s="169">
        <f t="shared" si="7"/>
        <v>0.11362467866323898</v>
      </c>
      <c r="C226">
        <v>6505</v>
      </c>
      <c r="E226">
        <v>85</v>
      </c>
      <c r="F226">
        <v>50</v>
      </c>
      <c r="G226" s="15">
        <v>0.58823529411764697</v>
      </c>
      <c r="H226" s="167">
        <f t="shared" si="6"/>
        <v>5.1413881748071976E-4</v>
      </c>
      <c r="I226" s="167"/>
      <c r="J226" s="167"/>
    </row>
    <row r="227" spans="2:10" x14ac:dyDescent="0.25">
      <c r="B227" s="169">
        <f t="shared" si="7"/>
        <v>0.1141388174807197</v>
      </c>
      <c r="C227">
        <v>2360</v>
      </c>
      <c r="E227">
        <v>5</v>
      </c>
      <c r="F227">
        <v>3</v>
      </c>
      <c r="G227" s="15">
        <v>0.6</v>
      </c>
      <c r="H227" s="167">
        <f t="shared" si="6"/>
        <v>5.1413881748071976E-4</v>
      </c>
      <c r="I227" s="167"/>
      <c r="J227" s="167"/>
    </row>
    <row r="228" spans="2:10" x14ac:dyDescent="0.25">
      <c r="B228" s="169">
        <f t="shared" si="7"/>
        <v>0.11465295629820042</v>
      </c>
      <c r="C228">
        <v>4253</v>
      </c>
      <c r="E228">
        <v>5</v>
      </c>
      <c r="F228">
        <v>3</v>
      </c>
      <c r="G228" s="15">
        <v>0.6</v>
      </c>
      <c r="H228" s="167">
        <f t="shared" si="6"/>
        <v>5.1413881748071976E-4</v>
      </c>
      <c r="I228" s="167"/>
      <c r="J228" s="167"/>
    </row>
    <row r="229" spans="2:10" x14ac:dyDescent="0.25">
      <c r="B229" s="169">
        <f t="shared" si="7"/>
        <v>0.11516709511568114</v>
      </c>
      <c r="C229">
        <v>4816</v>
      </c>
      <c r="E229">
        <v>10</v>
      </c>
      <c r="F229">
        <v>6</v>
      </c>
      <c r="G229" s="15">
        <v>0.6</v>
      </c>
      <c r="H229" s="167">
        <f t="shared" si="6"/>
        <v>5.1413881748071976E-4</v>
      </c>
      <c r="I229" s="167"/>
      <c r="J229" s="167"/>
    </row>
    <row r="230" spans="2:10" x14ac:dyDescent="0.25">
      <c r="B230" s="169">
        <f t="shared" si="7"/>
        <v>0.11568123393316186</v>
      </c>
      <c r="C230">
        <v>3897</v>
      </c>
      <c r="E230">
        <v>40</v>
      </c>
      <c r="F230">
        <v>24</v>
      </c>
      <c r="G230" s="15">
        <v>0.6</v>
      </c>
      <c r="H230" s="167">
        <f t="shared" si="6"/>
        <v>5.1413881748071976E-4</v>
      </c>
      <c r="I230" s="167"/>
      <c r="J230" s="167"/>
    </row>
    <row r="231" spans="2:10" x14ac:dyDescent="0.25">
      <c r="B231" s="169">
        <f t="shared" si="7"/>
        <v>0.11619537275064258</v>
      </c>
      <c r="C231">
        <v>5544</v>
      </c>
      <c r="E231">
        <v>20</v>
      </c>
      <c r="F231">
        <v>12</v>
      </c>
      <c r="G231" s="15">
        <v>0.6</v>
      </c>
      <c r="H231" s="167">
        <f t="shared" si="6"/>
        <v>5.1413881748071976E-4</v>
      </c>
      <c r="I231" s="167"/>
      <c r="J231" s="167"/>
    </row>
    <row r="232" spans="2:10" x14ac:dyDescent="0.25">
      <c r="B232" s="169">
        <f t="shared" si="7"/>
        <v>0.1167095115681233</v>
      </c>
      <c r="C232">
        <v>4823</v>
      </c>
      <c r="E232">
        <v>10</v>
      </c>
      <c r="F232">
        <v>6</v>
      </c>
      <c r="G232" s="15">
        <v>0.6</v>
      </c>
      <c r="H232" s="167">
        <f t="shared" si="6"/>
        <v>5.1413881748071976E-4</v>
      </c>
      <c r="I232" s="167"/>
      <c r="J232" s="167"/>
    </row>
    <row r="233" spans="2:10" x14ac:dyDescent="0.25">
      <c r="B233" s="169">
        <f t="shared" si="7"/>
        <v>0.11722365038560402</v>
      </c>
      <c r="C233">
        <v>3965</v>
      </c>
      <c r="E233">
        <v>5</v>
      </c>
      <c r="F233">
        <v>3</v>
      </c>
      <c r="G233" s="15">
        <v>0.6</v>
      </c>
      <c r="H233" s="167">
        <f t="shared" si="6"/>
        <v>5.1413881748071976E-4</v>
      </c>
      <c r="I233" s="167"/>
      <c r="J233" s="167"/>
    </row>
    <row r="234" spans="2:10" x14ac:dyDescent="0.25">
      <c r="B234" s="169">
        <f t="shared" si="7"/>
        <v>0.11773778920308474</v>
      </c>
      <c r="C234">
        <v>3974</v>
      </c>
      <c r="E234">
        <v>5</v>
      </c>
      <c r="F234">
        <v>3</v>
      </c>
      <c r="G234" s="15">
        <v>0.6</v>
      </c>
      <c r="H234" s="167">
        <f t="shared" si="6"/>
        <v>5.1413881748071976E-4</v>
      </c>
      <c r="I234" s="167"/>
      <c r="J234" s="167"/>
    </row>
    <row r="235" spans="2:10" x14ac:dyDescent="0.25">
      <c r="B235" s="169">
        <f t="shared" si="7"/>
        <v>0.11825192802056546</v>
      </c>
      <c r="C235">
        <v>6143</v>
      </c>
      <c r="E235">
        <v>10</v>
      </c>
      <c r="F235">
        <v>6</v>
      </c>
      <c r="G235" s="15">
        <v>0.6</v>
      </c>
      <c r="H235" s="167">
        <f t="shared" si="6"/>
        <v>5.1413881748071976E-4</v>
      </c>
      <c r="I235" s="167"/>
      <c r="J235" s="167"/>
    </row>
    <row r="236" spans="2:10" x14ac:dyDescent="0.25">
      <c r="B236" s="169">
        <f t="shared" si="7"/>
        <v>0.11876606683804618</v>
      </c>
      <c r="C236">
        <v>1924</v>
      </c>
      <c r="E236">
        <v>5</v>
      </c>
      <c r="F236">
        <v>3</v>
      </c>
      <c r="G236" s="15">
        <v>0.6</v>
      </c>
      <c r="H236" s="167">
        <f t="shared" si="6"/>
        <v>5.1413881748071976E-4</v>
      </c>
      <c r="I236" s="167"/>
      <c r="J236" s="167"/>
    </row>
    <row r="237" spans="2:10" x14ac:dyDescent="0.25">
      <c r="B237" s="169">
        <f t="shared" si="7"/>
        <v>0.1192802056555269</v>
      </c>
      <c r="C237">
        <v>1933</v>
      </c>
      <c r="E237">
        <v>5</v>
      </c>
      <c r="F237">
        <v>3</v>
      </c>
      <c r="G237" s="15">
        <v>0.6</v>
      </c>
      <c r="H237" s="167">
        <f t="shared" si="6"/>
        <v>5.1413881748071976E-4</v>
      </c>
      <c r="I237" s="167"/>
      <c r="J237" s="167"/>
    </row>
    <row r="238" spans="2:10" x14ac:dyDescent="0.25">
      <c r="B238" s="169">
        <f t="shared" si="7"/>
        <v>0.11979434447300762</v>
      </c>
      <c r="C238">
        <v>1942</v>
      </c>
      <c r="E238">
        <v>5</v>
      </c>
      <c r="F238">
        <v>3</v>
      </c>
      <c r="G238" s="15">
        <v>0.6</v>
      </c>
      <c r="H238" s="167">
        <f t="shared" si="6"/>
        <v>5.1413881748071976E-4</v>
      </c>
      <c r="I238" s="167"/>
      <c r="J238" s="167"/>
    </row>
    <row r="239" spans="2:10" x14ac:dyDescent="0.25">
      <c r="B239" s="169">
        <f t="shared" si="7"/>
        <v>0.12030848329048834</v>
      </c>
      <c r="C239">
        <v>1951</v>
      </c>
      <c r="E239">
        <v>5</v>
      </c>
      <c r="F239">
        <v>3</v>
      </c>
      <c r="G239" s="15">
        <v>0.6</v>
      </c>
      <c r="H239" s="167">
        <f t="shared" si="6"/>
        <v>5.1413881748071976E-4</v>
      </c>
      <c r="I239" s="167"/>
      <c r="J239" s="167"/>
    </row>
    <row r="240" spans="2:10" x14ac:dyDescent="0.25">
      <c r="B240" s="169">
        <f t="shared" si="7"/>
        <v>0.12082262210796905</v>
      </c>
      <c r="C240">
        <v>4984</v>
      </c>
      <c r="E240">
        <v>5</v>
      </c>
      <c r="F240">
        <v>3</v>
      </c>
      <c r="G240" s="15">
        <v>0.6</v>
      </c>
      <c r="H240" s="167">
        <f t="shared" si="6"/>
        <v>5.1413881748071976E-4</v>
      </c>
      <c r="I240" s="167"/>
      <c r="J240" s="167"/>
    </row>
    <row r="241" spans="2:10" x14ac:dyDescent="0.25">
      <c r="B241" s="169">
        <f t="shared" si="7"/>
        <v>0.12133676092544977</v>
      </c>
      <c r="C241">
        <v>2342</v>
      </c>
      <c r="E241">
        <v>5</v>
      </c>
      <c r="F241">
        <v>3</v>
      </c>
      <c r="G241" s="15">
        <v>0.6</v>
      </c>
      <c r="H241" s="167">
        <f t="shared" si="6"/>
        <v>5.1413881748071976E-4</v>
      </c>
      <c r="I241" s="167"/>
      <c r="J241" s="167"/>
    </row>
    <row r="242" spans="2:10" x14ac:dyDescent="0.25">
      <c r="B242" s="169">
        <f t="shared" si="7"/>
        <v>0.12185089974293049</v>
      </c>
      <c r="C242">
        <v>6675</v>
      </c>
      <c r="E242">
        <v>20</v>
      </c>
      <c r="F242">
        <v>12</v>
      </c>
      <c r="G242" s="15">
        <v>0.6</v>
      </c>
      <c r="H242" s="167">
        <f t="shared" si="6"/>
        <v>5.1413881748071976E-4</v>
      </c>
      <c r="I242" s="167"/>
      <c r="J242" s="167"/>
    </row>
    <row r="243" spans="2:10" x14ac:dyDescent="0.25">
      <c r="B243" s="169">
        <f t="shared" si="7"/>
        <v>0.12236503856041121</v>
      </c>
      <c r="C243">
        <v>2374</v>
      </c>
      <c r="E243">
        <v>15</v>
      </c>
      <c r="F243">
        <v>9</v>
      </c>
      <c r="G243" s="15">
        <v>0.6</v>
      </c>
      <c r="H243" s="167">
        <f t="shared" si="6"/>
        <v>5.1413881748071976E-4</v>
      </c>
      <c r="I243" s="167"/>
      <c r="J243" s="167"/>
    </row>
    <row r="244" spans="2:10" x14ac:dyDescent="0.25">
      <c r="B244" s="169">
        <f t="shared" si="7"/>
        <v>0.12287917737789193</v>
      </c>
      <c r="C244">
        <v>2661</v>
      </c>
      <c r="E244">
        <v>5</v>
      </c>
      <c r="F244">
        <v>3</v>
      </c>
      <c r="G244" s="15">
        <v>0.6</v>
      </c>
      <c r="H244" s="167">
        <f t="shared" si="6"/>
        <v>5.1413881748071976E-4</v>
      </c>
      <c r="I244" s="167"/>
      <c r="J244" s="167"/>
    </row>
    <row r="245" spans="2:10" x14ac:dyDescent="0.25">
      <c r="B245" s="169">
        <f t="shared" si="7"/>
        <v>0.12339331619537265</v>
      </c>
      <c r="C245">
        <v>1875</v>
      </c>
      <c r="E245">
        <v>5</v>
      </c>
      <c r="F245">
        <v>3</v>
      </c>
      <c r="G245" s="15">
        <v>0.6</v>
      </c>
      <c r="H245" s="167">
        <f t="shared" si="6"/>
        <v>5.1413881748071976E-4</v>
      </c>
      <c r="I245" s="167"/>
      <c r="J245" s="167"/>
    </row>
    <row r="246" spans="2:10" x14ac:dyDescent="0.25">
      <c r="B246" s="169">
        <f t="shared" si="7"/>
        <v>0.12390745501285337</v>
      </c>
      <c r="C246">
        <v>2378</v>
      </c>
      <c r="E246">
        <v>5</v>
      </c>
      <c r="F246">
        <v>3</v>
      </c>
      <c r="G246" s="15">
        <v>0.6</v>
      </c>
      <c r="H246" s="167">
        <f t="shared" si="6"/>
        <v>5.1413881748071976E-4</v>
      </c>
      <c r="I246" s="167"/>
      <c r="J246" s="167"/>
    </row>
    <row r="247" spans="2:10" x14ac:dyDescent="0.25">
      <c r="B247" s="169">
        <f t="shared" si="7"/>
        <v>0.12442159383033409</v>
      </c>
      <c r="C247">
        <v>5465</v>
      </c>
      <c r="E247">
        <v>5</v>
      </c>
      <c r="F247">
        <v>3</v>
      </c>
      <c r="G247" s="15">
        <v>0.6</v>
      </c>
      <c r="H247" s="167">
        <f t="shared" si="6"/>
        <v>5.1413881748071976E-4</v>
      </c>
      <c r="I247" s="167"/>
      <c r="J247" s="167"/>
    </row>
    <row r="248" spans="2:10" x14ac:dyDescent="0.25">
      <c r="B248" s="169">
        <f t="shared" si="7"/>
        <v>0.12493573264781481</v>
      </c>
      <c r="C248">
        <v>2333</v>
      </c>
      <c r="E248">
        <v>5</v>
      </c>
      <c r="F248">
        <v>3</v>
      </c>
      <c r="G248" s="15">
        <v>0.6</v>
      </c>
      <c r="H248" s="167">
        <f t="shared" si="6"/>
        <v>5.1413881748071976E-4</v>
      </c>
      <c r="I248" s="167"/>
      <c r="J248" s="167"/>
    </row>
    <row r="249" spans="2:10" x14ac:dyDescent="0.25">
      <c r="B249" s="169">
        <f t="shared" si="7"/>
        <v>0.12544987146529554</v>
      </c>
      <c r="C249">
        <v>2409</v>
      </c>
      <c r="E249">
        <v>23</v>
      </c>
      <c r="F249">
        <v>14</v>
      </c>
      <c r="G249" s="15">
        <v>0.60869565217391297</v>
      </c>
      <c r="H249" s="167">
        <f t="shared" si="6"/>
        <v>5.1413881748071976E-4</v>
      </c>
      <c r="I249" s="167"/>
      <c r="J249" s="167"/>
    </row>
    <row r="250" spans="2:10" x14ac:dyDescent="0.25">
      <c r="B250" s="169">
        <f t="shared" si="7"/>
        <v>0.12596401028277626</v>
      </c>
      <c r="C250">
        <v>6470</v>
      </c>
      <c r="E250">
        <v>162</v>
      </c>
      <c r="F250">
        <v>100</v>
      </c>
      <c r="G250" s="15">
        <v>0.61728395061728403</v>
      </c>
      <c r="H250" s="167">
        <f t="shared" si="6"/>
        <v>5.1413881748071976E-4</v>
      </c>
      <c r="I250" s="167"/>
      <c r="J250" s="167"/>
    </row>
    <row r="251" spans="2:10" x14ac:dyDescent="0.25">
      <c r="B251" s="169">
        <f t="shared" si="7"/>
        <v>0.12647814910025698</v>
      </c>
      <c r="C251">
        <v>6720</v>
      </c>
      <c r="E251">
        <v>21</v>
      </c>
      <c r="F251">
        <v>13</v>
      </c>
      <c r="G251" s="15">
        <v>0.61904761904761896</v>
      </c>
      <c r="H251" s="167">
        <f t="shared" si="6"/>
        <v>5.1413881748071976E-4</v>
      </c>
      <c r="I251" s="167"/>
      <c r="J251" s="167"/>
    </row>
    <row r="252" spans="2:10" x14ac:dyDescent="0.25">
      <c r="B252" s="169">
        <f t="shared" si="7"/>
        <v>0.1269922879177377</v>
      </c>
      <c r="C252">
        <v>2423</v>
      </c>
      <c r="E252">
        <v>58</v>
      </c>
      <c r="F252">
        <v>36</v>
      </c>
      <c r="G252" s="15">
        <v>0.62068965517241403</v>
      </c>
      <c r="H252" s="167">
        <f t="shared" si="6"/>
        <v>5.1413881748071976E-4</v>
      </c>
      <c r="I252" s="167"/>
      <c r="J252" s="167"/>
    </row>
    <row r="253" spans="2:10" x14ac:dyDescent="0.25">
      <c r="B253" s="169">
        <f t="shared" si="7"/>
        <v>0.12750642673521842</v>
      </c>
      <c r="C253">
        <v>4414</v>
      </c>
      <c r="E253">
        <v>8</v>
      </c>
      <c r="F253">
        <v>5</v>
      </c>
      <c r="G253" s="15">
        <v>0.625</v>
      </c>
      <c r="H253" s="167">
        <f t="shared" si="6"/>
        <v>5.1413881748071976E-4</v>
      </c>
      <c r="I253" s="167"/>
      <c r="J253" s="167"/>
    </row>
    <row r="254" spans="2:10" x14ac:dyDescent="0.25">
      <c r="B254" s="169">
        <f t="shared" si="7"/>
        <v>0.12802056555269914</v>
      </c>
      <c r="C254">
        <v>4897</v>
      </c>
      <c r="E254">
        <v>40</v>
      </c>
      <c r="F254">
        <v>25</v>
      </c>
      <c r="G254" s="15">
        <v>0.625</v>
      </c>
      <c r="H254" s="167">
        <f t="shared" si="6"/>
        <v>5.1413881748071976E-4</v>
      </c>
      <c r="I254" s="167"/>
      <c r="J254" s="167"/>
    </row>
    <row r="255" spans="2:10" x14ac:dyDescent="0.25">
      <c r="B255" s="169">
        <f t="shared" si="7"/>
        <v>0.12853470437017986</v>
      </c>
      <c r="C255">
        <v>4898</v>
      </c>
      <c r="E255">
        <v>40</v>
      </c>
      <c r="F255">
        <v>25</v>
      </c>
      <c r="G255" s="15">
        <v>0.625</v>
      </c>
      <c r="H255" s="167">
        <f t="shared" si="6"/>
        <v>5.1413881748071976E-4</v>
      </c>
      <c r="I255" s="167"/>
      <c r="J255" s="167"/>
    </row>
    <row r="256" spans="2:10" x14ac:dyDescent="0.25">
      <c r="B256" s="169">
        <f t="shared" si="7"/>
        <v>0.12904884318766058</v>
      </c>
      <c r="C256">
        <v>5498</v>
      </c>
      <c r="E256">
        <v>16</v>
      </c>
      <c r="F256">
        <v>10</v>
      </c>
      <c r="G256" s="15">
        <v>0.625</v>
      </c>
      <c r="H256" s="167">
        <f t="shared" si="6"/>
        <v>5.1413881748071976E-4</v>
      </c>
      <c r="I256" s="167"/>
      <c r="J256" s="167"/>
    </row>
    <row r="257" spans="2:10" x14ac:dyDescent="0.25">
      <c r="B257" s="169">
        <f t="shared" si="7"/>
        <v>0.1295629820051413</v>
      </c>
      <c r="C257">
        <v>2332</v>
      </c>
      <c r="E257">
        <v>16</v>
      </c>
      <c r="F257">
        <v>10</v>
      </c>
      <c r="G257" s="15">
        <v>0.625</v>
      </c>
      <c r="H257" s="167">
        <f t="shared" si="6"/>
        <v>5.1413881748071976E-4</v>
      </c>
      <c r="I257" s="167"/>
      <c r="J257" s="167"/>
    </row>
    <row r="258" spans="2:10" x14ac:dyDescent="0.25">
      <c r="B258" s="169">
        <f t="shared" si="7"/>
        <v>0.13007712082262202</v>
      </c>
      <c r="C258">
        <v>4180</v>
      </c>
      <c r="E258">
        <v>8</v>
      </c>
      <c r="F258">
        <v>5</v>
      </c>
      <c r="G258" s="15">
        <v>0.625</v>
      </c>
      <c r="H258" s="167">
        <f t="shared" si="6"/>
        <v>5.1413881748071976E-4</v>
      </c>
      <c r="I258" s="167"/>
      <c r="J258" s="167"/>
    </row>
    <row r="259" spans="2:10" x14ac:dyDescent="0.25">
      <c r="B259" s="169">
        <f t="shared" si="7"/>
        <v>0.13059125964010274</v>
      </c>
      <c r="C259">
        <v>6037</v>
      </c>
      <c r="E259">
        <v>140</v>
      </c>
      <c r="F259">
        <v>88</v>
      </c>
      <c r="G259" s="15">
        <v>0.628571428571429</v>
      </c>
      <c r="H259" s="167">
        <f t="shared" si="6"/>
        <v>5.1413881748071976E-4</v>
      </c>
      <c r="I259" s="167"/>
      <c r="J259" s="167"/>
    </row>
    <row r="260" spans="2:10" x14ac:dyDescent="0.25">
      <c r="B260" s="169">
        <f t="shared" si="7"/>
        <v>0.13110539845758346</v>
      </c>
      <c r="C260">
        <v>2595</v>
      </c>
      <c r="E260">
        <v>14</v>
      </c>
      <c r="F260">
        <v>9</v>
      </c>
      <c r="G260" s="15">
        <v>0.64285714285714302</v>
      </c>
      <c r="H260" s="167">
        <f t="shared" si="6"/>
        <v>5.1413881748071976E-4</v>
      </c>
      <c r="I260" s="167"/>
      <c r="J260" s="167"/>
    </row>
    <row r="261" spans="2:10" x14ac:dyDescent="0.25">
      <c r="B261" s="169">
        <f t="shared" si="7"/>
        <v>0.13161953727506417</v>
      </c>
      <c r="C261">
        <v>2442</v>
      </c>
      <c r="E261">
        <v>88</v>
      </c>
      <c r="F261">
        <v>57</v>
      </c>
      <c r="G261" s="15">
        <v>0.64772727272727304</v>
      </c>
      <c r="H261" s="167">
        <f t="shared" si="6"/>
        <v>5.1413881748071976E-4</v>
      </c>
      <c r="I261" s="167"/>
      <c r="J261" s="167"/>
    </row>
    <row r="262" spans="2:10" x14ac:dyDescent="0.25">
      <c r="B262" s="169">
        <f t="shared" si="7"/>
        <v>0.13213367609254489</v>
      </c>
      <c r="C262">
        <v>3747</v>
      </c>
      <c r="E262">
        <v>3</v>
      </c>
      <c r="F262">
        <v>2</v>
      </c>
      <c r="G262" s="15">
        <v>0.66666666666666696</v>
      </c>
      <c r="H262" s="167">
        <f t="shared" ref="H262:H325" si="8">1/$L$6</f>
        <v>5.1413881748071976E-4</v>
      </c>
      <c r="I262" s="167"/>
      <c r="J262" s="167"/>
    </row>
    <row r="263" spans="2:10" x14ac:dyDescent="0.25">
      <c r="B263" s="169">
        <f t="shared" ref="B263:B326" si="9">B262+H263</f>
        <v>0.13264781491002561</v>
      </c>
      <c r="C263">
        <v>3918</v>
      </c>
      <c r="E263">
        <v>75</v>
      </c>
      <c r="F263">
        <v>50</v>
      </c>
      <c r="G263" s="15">
        <v>0.66666666666666696</v>
      </c>
      <c r="H263" s="167">
        <f t="shared" si="8"/>
        <v>5.1413881748071976E-4</v>
      </c>
      <c r="I263" s="167"/>
      <c r="J263" s="167"/>
    </row>
    <row r="264" spans="2:10" x14ac:dyDescent="0.25">
      <c r="B264" s="169">
        <f t="shared" si="9"/>
        <v>0.13316195372750633</v>
      </c>
      <c r="C264">
        <v>5680</v>
      </c>
      <c r="E264">
        <v>3</v>
      </c>
      <c r="F264">
        <v>2</v>
      </c>
      <c r="G264" s="15">
        <v>0.66666666666666696</v>
      </c>
      <c r="H264" s="167">
        <f t="shared" si="8"/>
        <v>5.1413881748071976E-4</v>
      </c>
      <c r="I264" s="167"/>
      <c r="J264" s="167"/>
    </row>
    <row r="265" spans="2:10" x14ac:dyDescent="0.25">
      <c r="B265" s="169">
        <f t="shared" si="9"/>
        <v>0.13367609254498705</v>
      </c>
      <c r="C265">
        <v>5531</v>
      </c>
      <c r="E265">
        <v>15</v>
      </c>
      <c r="F265">
        <v>10</v>
      </c>
      <c r="G265" s="15">
        <v>0.66666666666666696</v>
      </c>
      <c r="H265" s="167">
        <f t="shared" si="8"/>
        <v>5.1413881748071976E-4</v>
      </c>
      <c r="I265" s="167"/>
      <c r="J265" s="167"/>
    </row>
    <row r="266" spans="2:10" x14ac:dyDescent="0.25">
      <c r="B266" s="169">
        <f t="shared" si="9"/>
        <v>0.13419023136246777</v>
      </c>
      <c r="C266">
        <v>1970</v>
      </c>
      <c r="E266">
        <v>3</v>
      </c>
      <c r="F266">
        <v>2</v>
      </c>
      <c r="G266" s="15">
        <v>0.66666666666666696</v>
      </c>
      <c r="H266" s="167">
        <f t="shared" si="8"/>
        <v>5.1413881748071976E-4</v>
      </c>
      <c r="I266" s="167"/>
      <c r="J266" s="167"/>
    </row>
    <row r="267" spans="2:10" x14ac:dyDescent="0.25">
      <c r="B267" s="169">
        <f t="shared" si="9"/>
        <v>0.13470437017994849</v>
      </c>
      <c r="C267">
        <v>4131</v>
      </c>
      <c r="E267">
        <v>6</v>
      </c>
      <c r="F267">
        <v>4</v>
      </c>
      <c r="G267" s="15">
        <v>0.66666666666666696</v>
      </c>
      <c r="H267" s="167">
        <f t="shared" si="8"/>
        <v>5.1413881748071976E-4</v>
      </c>
      <c r="I267" s="167"/>
      <c r="J267" s="167"/>
    </row>
    <row r="268" spans="2:10" x14ac:dyDescent="0.25">
      <c r="B268" s="169">
        <f t="shared" si="9"/>
        <v>0.13521850899742921</v>
      </c>
      <c r="C268">
        <v>4120</v>
      </c>
      <c r="E268">
        <v>6</v>
      </c>
      <c r="F268">
        <v>4</v>
      </c>
      <c r="G268" s="15">
        <v>0.66666666666666696</v>
      </c>
      <c r="H268" s="167">
        <f t="shared" si="8"/>
        <v>5.1413881748071976E-4</v>
      </c>
      <c r="I268" s="167"/>
      <c r="J268" s="167"/>
    </row>
    <row r="269" spans="2:10" x14ac:dyDescent="0.25">
      <c r="B269" s="169">
        <f t="shared" si="9"/>
        <v>0.13573264781490993</v>
      </c>
      <c r="C269">
        <v>2347</v>
      </c>
      <c r="E269">
        <v>15</v>
      </c>
      <c r="F269">
        <v>10</v>
      </c>
      <c r="G269" s="15">
        <v>0.66666666666666696</v>
      </c>
      <c r="H269" s="167">
        <f t="shared" si="8"/>
        <v>5.1413881748071976E-4</v>
      </c>
      <c r="I269" s="167"/>
      <c r="J269" s="167"/>
    </row>
    <row r="270" spans="2:10" x14ac:dyDescent="0.25">
      <c r="B270" s="169">
        <f t="shared" si="9"/>
        <v>0.13624678663239065</v>
      </c>
      <c r="C270">
        <v>5705</v>
      </c>
      <c r="E270">
        <v>15</v>
      </c>
      <c r="F270">
        <v>10</v>
      </c>
      <c r="G270" s="15">
        <v>0.66666666666666696</v>
      </c>
      <c r="H270" s="167">
        <f t="shared" si="8"/>
        <v>5.1413881748071976E-4</v>
      </c>
      <c r="I270" s="167"/>
      <c r="J270" s="167"/>
    </row>
    <row r="271" spans="2:10" x14ac:dyDescent="0.25">
      <c r="B271" s="169">
        <f t="shared" si="9"/>
        <v>0.13676092544987137</v>
      </c>
      <c r="C271">
        <v>2261</v>
      </c>
      <c r="E271">
        <v>3</v>
      </c>
      <c r="F271">
        <v>2</v>
      </c>
      <c r="G271" s="15">
        <v>0.66666666666666696</v>
      </c>
      <c r="H271" s="167">
        <f t="shared" si="8"/>
        <v>5.1413881748071976E-4</v>
      </c>
      <c r="I271" s="167"/>
      <c r="J271" s="167"/>
    </row>
    <row r="272" spans="2:10" x14ac:dyDescent="0.25">
      <c r="B272" s="169">
        <f t="shared" si="9"/>
        <v>0.13727506426735209</v>
      </c>
      <c r="C272">
        <v>2262</v>
      </c>
      <c r="E272">
        <v>3</v>
      </c>
      <c r="F272">
        <v>2</v>
      </c>
      <c r="G272" s="15">
        <v>0.66666666666666696</v>
      </c>
      <c r="H272" s="167">
        <f t="shared" si="8"/>
        <v>5.1413881748071976E-4</v>
      </c>
      <c r="I272" s="167"/>
      <c r="J272" s="167"/>
    </row>
    <row r="273" spans="2:10" x14ac:dyDescent="0.25">
      <c r="B273" s="169">
        <f t="shared" si="9"/>
        <v>0.13778920308483281</v>
      </c>
      <c r="C273">
        <v>2677</v>
      </c>
      <c r="E273">
        <v>37</v>
      </c>
      <c r="F273">
        <v>25</v>
      </c>
      <c r="G273" s="15">
        <v>0.67567567567567599</v>
      </c>
      <c r="H273" s="167">
        <f t="shared" si="8"/>
        <v>5.1413881748071976E-4</v>
      </c>
      <c r="I273" s="167"/>
      <c r="J273" s="167"/>
    </row>
    <row r="274" spans="2:10" x14ac:dyDescent="0.25">
      <c r="B274" s="169">
        <f t="shared" si="9"/>
        <v>0.13830334190231353</v>
      </c>
      <c r="C274">
        <v>2678</v>
      </c>
      <c r="E274">
        <v>37</v>
      </c>
      <c r="F274">
        <v>25</v>
      </c>
      <c r="G274" s="15">
        <v>0.67567567567567599</v>
      </c>
      <c r="H274" s="167">
        <f t="shared" si="8"/>
        <v>5.1413881748071976E-4</v>
      </c>
      <c r="I274" s="167"/>
      <c r="J274" s="167"/>
    </row>
    <row r="275" spans="2:10" x14ac:dyDescent="0.25">
      <c r="B275" s="169">
        <f t="shared" si="9"/>
        <v>0.13881748071979425</v>
      </c>
      <c r="C275">
        <v>2679</v>
      </c>
      <c r="E275">
        <v>37</v>
      </c>
      <c r="F275">
        <v>25</v>
      </c>
      <c r="G275" s="15">
        <v>0.67567567567567599</v>
      </c>
      <c r="H275" s="167">
        <f t="shared" si="8"/>
        <v>5.1413881748071976E-4</v>
      </c>
      <c r="I275" s="167"/>
      <c r="J275" s="167"/>
    </row>
    <row r="276" spans="2:10" x14ac:dyDescent="0.25">
      <c r="B276" s="169">
        <f t="shared" si="9"/>
        <v>0.13933161953727496</v>
      </c>
      <c r="C276">
        <v>2680</v>
      </c>
      <c r="E276">
        <v>37</v>
      </c>
      <c r="F276">
        <v>25</v>
      </c>
      <c r="G276" s="15">
        <v>0.67567567567567599</v>
      </c>
      <c r="H276" s="167">
        <f t="shared" si="8"/>
        <v>5.1413881748071976E-4</v>
      </c>
      <c r="I276" s="167"/>
      <c r="J276" s="167"/>
    </row>
    <row r="277" spans="2:10" x14ac:dyDescent="0.25">
      <c r="B277" s="169">
        <f t="shared" si="9"/>
        <v>0.13984575835475568</v>
      </c>
      <c r="C277">
        <v>2670</v>
      </c>
      <c r="E277">
        <v>28</v>
      </c>
      <c r="F277">
        <v>19</v>
      </c>
      <c r="G277" s="15">
        <v>0.67857142857142905</v>
      </c>
      <c r="H277" s="167">
        <f t="shared" si="8"/>
        <v>5.1413881748071976E-4</v>
      </c>
      <c r="I277" s="167"/>
      <c r="J277" s="167"/>
    </row>
    <row r="278" spans="2:10" x14ac:dyDescent="0.25">
      <c r="B278" s="169">
        <f t="shared" si="9"/>
        <v>0.1403598971722364</v>
      </c>
      <c r="C278">
        <v>2671</v>
      </c>
      <c r="E278">
        <v>28</v>
      </c>
      <c r="F278">
        <v>19</v>
      </c>
      <c r="G278" s="15">
        <v>0.67857142857142905</v>
      </c>
      <c r="H278" s="167">
        <f t="shared" si="8"/>
        <v>5.1413881748071976E-4</v>
      </c>
      <c r="I278" s="167"/>
      <c r="J278" s="167"/>
    </row>
    <row r="279" spans="2:10" x14ac:dyDescent="0.25">
      <c r="B279" s="169">
        <f t="shared" si="9"/>
        <v>0.14087403598971712</v>
      </c>
      <c r="C279">
        <v>6105</v>
      </c>
      <c r="E279">
        <v>35</v>
      </c>
      <c r="F279">
        <v>24</v>
      </c>
      <c r="G279" s="15">
        <v>0.68571428571428605</v>
      </c>
      <c r="H279" s="167">
        <f t="shared" si="8"/>
        <v>5.1413881748071976E-4</v>
      </c>
      <c r="I279" s="167"/>
      <c r="J279" s="167"/>
    </row>
    <row r="280" spans="2:10" x14ac:dyDescent="0.25">
      <c r="B280" s="169">
        <f t="shared" si="9"/>
        <v>0.14138817480719784</v>
      </c>
      <c r="C280">
        <v>2444</v>
      </c>
      <c r="E280">
        <v>87</v>
      </c>
      <c r="F280">
        <v>60</v>
      </c>
      <c r="G280" s="15">
        <v>0.68965517241379304</v>
      </c>
      <c r="H280" s="167">
        <f t="shared" si="8"/>
        <v>5.1413881748071976E-4</v>
      </c>
      <c r="I280" s="167"/>
      <c r="J280" s="167"/>
    </row>
    <row r="281" spans="2:10" x14ac:dyDescent="0.25">
      <c r="B281" s="169">
        <f t="shared" si="9"/>
        <v>0.14190231362467856</v>
      </c>
      <c r="C281">
        <v>4315</v>
      </c>
      <c r="E281">
        <v>10</v>
      </c>
      <c r="F281">
        <v>7</v>
      </c>
      <c r="G281" s="15">
        <v>0.7</v>
      </c>
      <c r="H281" s="167">
        <f t="shared" si="8"/>
        <v>5.1413881748071976E-4</v>
      </c>
      <c r="I281" s="167"/>
      <c r="J281" s="167"/>
    </row>
    <row r="282" spans="2:10" x14ac:dyDescent="0.25">
      <c r="B282" s="169">
        <f t="shared" si="9"/>
        <v>0.14241645244215928</v>
      </c>
      <c r="C282">
        <v>4321</v>
      </c>
      <c r="E282">
        <v>10</v>
      </c>
      <c r="F282">
        <v>7</v>
      </c>
      <c r="G282" s="15">
        <v>0.7</v>
      </c>
      <c r="H282" s="167">
        <f t="shared" si="8"/>
        <v>5.1413881748071976E-4</v>
      </c>
      <c r="I282" s="167"/>
      <c r="J282" s="167"/>
    </row>
    <row r="283" spans="2:10" x14ac:dyDescent="0.25">
      <c r="B283" s="169">
        <f t="shared" si="9"/>
        <v>0.14293059125964</v>
      </c>
      <c r="C283">
        <v>3924</v>
      </c>
      <c r="E283">
        <v>20</v>
      </c>
      <c r="F283">
        <v>14</v>
      </c>
      <c r="G283" s="15">
        <v>0.7</v>
      </c>
      <c r="H283" s="167">
        <f t="shared" si="8"/>
        <v>5.1413881748071976E-4</v>
      </c>
      <c r="I283" s="167"/>
      <c r="J283" s="167"/>
    </row>
    <row r="284" spans="2:10" x14ac:dyDescent="0.25">
      <c r="B284" s="169">
        <f t="shared" si="9"/>
        <v>0.14344473007712072</v>
      </c>
      <c r="C284">
        <v>3936</v>
      </c>
      <c r="E284">
        <v>20</v>
      </c>
      <c r="F284">
        <v>14</v>
      </c>
      <c r="G284" s="15">
        <v>0.7</v>
      </c>
      <c r="H284" s="167">
        <f t="shared" si="8"/>
        <v>5.1413881748071976E-4</v>
      </c>
      <c r="I284" s="167"/>
      <c r="J284" s="167"/>
    </row>
    <row r="285" spans="2:10" x14ac:dyDescent="0.25">
      <c r="B285" s="169">
        <f t="shared" si="9"/>
        <v>0.14395886889460144</v>
      </c>
      <c r="C285">
        <v>5765</v>
      </c>
      <c r="E285">
        <v>30</v>
      </c>
      <c r="F285">
        <v>21</v>
      </c>
      <c r="G285" s="15">
        <v>0.7</v>
      </c>
      <c r="H285" s="167">
        <f t="shared" si="8"/>
        <v>5.1413881748071976E-4</v>
      </c>
      <c r="I285" s="167"/>
      <c r="J285" s="167"/>
    </row>
    <row r="286" spans="2:10" x14ac:dyDescent="0.25">
      <c r="B286" s="169">
        <f t="shared" si="9"/>
        <v>0.14447300771208216</v>
      </c>
      <c r="C286">
        <v>4138</v>
      </c>
      <c r="E286">
        <v>10</v>
      </c>
      <c r="F286">
        <v>7</v>
      </c>
      <c r="G286" s="15">
        <v>0.7</v>
      </c>
      <c r="H286" s="167">
        <f t="shared" si="8"/>
        <v>5.1413881748071976E-4</v>
      </c>
      <c r="I286" s="167"/>
      <c r="J286" s="167"/>
    </row>
    <row r="287" spans="2:10" x14ac:dyDescent="0.25">
      <c r="B287" s="169">
        <f t="shared" si="9"/>
        <v>0.14498714652956288</v>
      </c>
      <c r="C287">
        <v>6082</v>
      </c>
      <c r="E287">
        <v>14</v>
      </c>
      <c r="F287">
        <v>10</v>
      </c>
      <c r="G287" s="15">
        <v>0.71428571428571397</v>
      </c>
      <c r="H287" s="167">
        <f t="shared" si="8"/>
        <v>5.1413881748071976E-4</v>
      </c>
      <c r="I287" s="167"/>
      <c r="J287" s="167"/>
    </row>
    <row r="288" spans="2:10" x14ac:dyDescent="0.25">
      <c r="B288" s="169">
        <f t="shared" si="9"/>
        <v>0.1455012853470436</v>
      </c>
      <c r="C288">
        <v>3923</v>
      </c>
      <c r="E288">
        <v>30</v>
      </c>
      <c r="F288">
        <v>22</v>
      </c>
      <c r="G288" s="15">
        <v>0.73333333333333295</v>
      </c>
      <c r="H288" s="167">
        <f t="shared" si="8"/>
        <v>5.1413881748071976E-4</v>
      </c>
      <c r="I288" s="167"/>
      <c r="J288" s="167"/>
    </row>
    <row r="289" spans="2:10" x14ac:dyDescent="0.25">
      <c r="B289" s="169">
        <f t="shared" si="9"/>
        <v>0.14601542416452432</v>
      </c>
      <c r="C289">
        <v>6079</v>
      </c>
      <c r="E289">
        <v>15</v>
      </c>
      <c r="F289">
        <v>11</v>
      </c>
      <c r="G289" s="15">
        <v>0.73333333333333295</v>
      </c>
      <c r="H289" s="167">
        <f t="shared" si="8"/>
        <v>5.1413881748071976E-4</v>
      </c>
      <c r="I289" s="167"/>
      <c r="J289" s="167"/>
    </row>
    <row r="290" spans="2:10" x14ac:dyDescent="0.25">
      <c r="B290" s="169">
        <f t="shared" si="9"/>
        <v>0.14652956298200503</v>
      </c>
      <c r="C290">
        <v>2320</v>
      </c>
      <c r="E290">
        <v>15</v>
      </c>
      <c r="F290">
        <v>11</v>
      </c>
      <c r="G290" s="15">
        <v>0.73333333333333295</v>
      </c>
      <c r="H290" s="167">
        <f t="shared" si="8"/>
        <v>5.1413881748071976E-4</v>
      </c>
      <c r="I290" s="167"/>
      <c r="J290" s="167"/>
    </row>
    <row r="291" spans="2:10" x14ac:dyDescent="0.25">
      <c r="B291" s="169">
        <f t="shared" si="9"/>
        <v>0.14704370179948575</v>
      </c>
      <c r="C291">
        <v>6464</v>
      </c>
      <c r="E291">
        <v>81</v>
      </c>
      <c r="F291">
        <v>60</v>
      </c>
      <c r="G291" s="15">
        <v>0.74074074074074103</v>
      </c>
      <c r="H291" s="167">
        <f t="shared" si="8"/>
        <v>5.1413881748071976E-4</v>
      </c>
      <c r="I291" s="167"/>
      <c r="J291" s="167"/>
    </row>
    <row r="292" spans="2:10" x14ac:dyDescent="0.25">
      <c r="B292" s="169">
        <f t="shared" si="9"/>
        <v>0.14755784061696647</v>
      </c>
      <c r="C292">
        <v>3853</v>
      </c>
      <c r="E292">
        <v>28</v>
      </c>
      <c r="F292">
        <v>21</v>
      </c>
      <c r="G292" s="15">
        <v>0.75</v>
      </c>
      <c r="H292" s="167">
        <f t="shared" si="8"/>
        <v>5.1413881748071976E-4</v>
      </c>
      <c r="I292" s="167"/>
      <c r="J292" s="167"/>
    </row>
    <row r="293" spans="2:10" x14ac:dyDescent="0.25">
      <c r="B293" s="169">
        <f t="shared" si="9"/>
        <v>0.14807197943444719</v>
      </c>
      <c r="C293">
        <v>4780</v>
      </c>
      <c r="E293">
        <v>36</v>
      </c>
      <c r="F293">
        <v>27</v>
      </c>
      <c r="G293" s="15">
        <v>0.75</v>
      </c>
      <c r="H293" s="167">
        <f t="shared" si="8"/>
        <v>5.1413881748071976E-4</v>
      </c>
      <c r="I293" s="167"/>
      <c r="J293" s="167"/>
    </row>
    <row r="294" spans="2:10" x14ac:dyDescent="0.25">
      <c r="B294" s="169">
        <f t="shared" si="9"/>
        <v>0.14858611825192791</v>
      </c>
      <c r="C294">
        <v>4782</v>
      </c>
      <c r="E294">
        <v>36</v>
      </c>
      <c r="F294">
        <v>27</v>
      </c>
      <c r="G294" s="15">
        <v>0.75</v>
      </c>
      <c r="H294" s="167">
        <f t="shared" si="8"/>
        <v>5.1413881748071976E-4</v>
      </c>
      <c r="I294" s="167"/>
      <c r="J294" s="167"/>
    </row>
    <row r="295" spans="2:10" x14ac:dyDescent="0.25">
      <c r="B295" s="169">
        <f t="shared" si="9"/>
        <v>0.14910025706940863</v>
      </c>
      <c r="C295">
        <v>4063</v>
      </c>
      <c r="E295">
        <v>4</v>
      </c>
      <c r="F295">
        <v>3</v>
      </c>
      <c r="G295" s="15">
        <v>0.75</v>
      </c>
      <c r="H295" s="167">
        <f t="shared" si="8"/>
        <v>5.1413881748071976E-4</v>
      </c>
      <c r="I295" s="167"/>
      <c r="J295" s="167"/>
    </row>
    <row r="296" spans="2:10" x14ac:dyDescent="0.25">
      <c r="B296" s="169">
        <f t="shared" si="9"/>
        <v>0.14961439588688935</v>
      </c>
      <c r="C296">
        <v>3874</v>
      </c>
      <c r="E296">
        <v>20</v>
      </c>
      <c r="F296">
        <v>15</v>
      </c>
      <c r="G296" s="15">
        <v>0.75</v>
      </c>
      <c r="H296" s="167">
        <f t="shared" si="8"/>
        <v>5.1413881748071976E-4</v>
      </c>
      <c r="I296" s="167"/>
      <c r="J296" s="167"/>
    </row>
    <row r="297" spans="2:10" x14ac:dyDescent="0.25">
      <c r="B297" s="169">
        <f t="shared" si="9"/>
        <v>0.15012853470437007</v>
      </c>
      <c r="C297">
        <v>5914</v>
      </c>
      <c r="E297">
        <v>20</v>
      </c>
      <c r="F297">
        <v>15</v>
      </c>
      <c r="G297" s="230">
        <v>0.75</v>
      </c>
      <c r="H297" s="167">
        <f t="shared" si="8"/>
        <v>5.1413881748071976E-4</v>
      </c>
      <c r="I297" s="167"/>
      <c r="J297" s="167"/>
    </row>
    <row r="298" spans="2:10" x14ac:dyDescent="0.25">
      <c r="B298" s="169">
        <f t="shared" si="9"/>
        <v>0.15064267352185079</v>
      </c>
      <c r="C298">
        <v>5814</v>
      </c>
      <c r="E298">
        <v>4</v>
      </c>
      <c r="F298">
        <v>3</v>
      </c>
      <c r="G298" s="15">
        <v>0.75</v>
      </c>
      <c r="H298" s="167">
        <f t="shared" si="8"/>
        <v>5.1413881748071976E-4</v>
      </c>
      <c r="I298" s="167"/>
      <c r="J298" s="167"/>
    </row>
    <row r="299" spans="2:10" x14ac:dyDescent="0.25">
      <c r="B299" s="169">
        <f t="shared" si="9"/>
        <v>0.15115681233933151</v>
      </c>
      <c r="C299">
        <v>3951</v>
      </c>
      <c r="E299">
        <v>30</v>
      </c>
      <c r="F299">
        <v>23</v>
      </c>
      <c r="G299" s="15">
        <v>0.76666666666666705</v>
      </c>
      <c r="H299" s="167">
        <f t="shared" si="8"/>
        <v>5.1413881748071976E-4</v>
      </c>
      <c r="I299" s="167"/>
      <c r="J299" s="167"/>
    </row>
    <row r="300" spans="2:10" x14ac:dyDescent="0.25">
      <c r="B300" s="169">
        <f t="shared" si="9"/>
        <v>0.15167095115681223</v>
      </c>
      <c r="C300">
        <v>4764</v>
      </c>
      <c r="E300">
        <v>35</v>
      </c>
      <c r="F300">
        <v>27</v>
      </c>
      <c r="G300" s="15">
        <v>0.77142857142857102</v>
      </c>
      <c r="H300" s="167">
        <f t="shared" si="8"/>
        <v>5.1413881748071976E-4</v>
      </c>
      <c r="I300" s="167"/>
      <c r="J300" s="167"/>
    </row>
    <row r="301" spans="2:10" x14ac:dyDescent="0.25">
      <c r="B301" s="169">
        <f t="shared" si="9"/>
        <v>0.15218508997429295</v>
      </c>
      <c r="C301">
        <v>4766</v>
      </c>
      <c r="E301">
        <v>35</v>
      </c>
      <c r="F301">
        <v>27</v>
      </c>
      <c r="G301" s="15">
        <v>0.77142857142857102</v>
      </c>
      <c r="H301" s="167">
        <f t="shared" si="8"/>
        <v>5.1413881748071976E-4</v>
      </c>
      <c r="I301" s="167"/>
      <c r="J301" s="167"/>
    </row>
    <row r="302" spans="2:10" x14ac:dyDescent="0.25">
      <c r="B302" s="169">
        <f t="shared" si="9"/>
        <v>0.15269922879177367</v>
      </c>
      <c r="C302">
        <v>2411</v>
      </c>
      <c r="E302">
        <v>18</v>
      </c>
      <c r="F302">
        <v>14</v>
      </c>
      <c r="G302" s="15">
        <v>0.77777777777777801</v>
      </c>
      <c r="H302" s="167">
        <f t="shared" si="8"/>
        <v>5.1413881748071976E-4</v>
      </c>
      <c r="I302" s="167"/>
      <c r="J302" s="167"/>
    </row>
    <row r="303" spans="2:10" x14ac:dyDescent="0.25">
      <c r="B303" s="169">
        <f t="shared" si="9"/>
        <v>0.15321336760925439</v>
      </c>
      <c r="C303">
        <v>2643</v>
      </c>
      <c r="E303">
        <v>18</v>
      </c>
      <c r="F303">
        <v>14</v>
      </c>
      <c r="G303" s="15">
        <v>0.77777777777777801</v>
      </c>
      <c r="H303" s="167">
        <f t="shared" si="8"/>
        <v>5.1413881748071976E-4</v>
      </c>
      <c r="I303" s="167"/>
      <c r="J303" s="167"/>
    </row>
    <row r="304" spans="2:10" x14ac:dyDescent="0.25">
      <c r="B304" s="169">
        <f t="shared" si="9"/>
        <v>0.15372750642673511</v>
      </c>
      <c r="C304">
        <v>6094</v>
      </c>
      <c r="E304">
        <v>14</v>
      </c>
      <c r="F304">
        <v>11</v>
      </c>
      <c r="G304" s="15">
        <v>0.78571428571428603</v>
      </c>
      <c r="H304" s="167">
        <f t="shared" si="8"/>
        <v>5.1413881748071976E-4</v>
      </c>
      <c r="I304" s="167"/>
      <c r="J304" s="167"/>
    </row>
    <row r="305" spans="2:10" x14ac:dyDescent="0.25">
      <c r="B305" s="169">
        <f t="shared" si="9"/>
        <v>0.15424164524421582</v>
      </c>
      <c r="C305">
        <v>3648</v>
      </c>
      <c r="E305">
        <v>250</v>
      </c>
      <c r="F305">
        <v>200</v>
      </c>
      <c r="G305" s="15">
        <v>0.8</v>
      </c>
      <c r="H305" s="167">
        <f t="shared" si="8"/>
        <v>5.1413881748071976E-4</v>
      </c>
      <c r="I305" s="167"/>
      <c r="J305" s="167"/>
    </row>
    <row r="306" spans="2:10" x14ac:dyDescent="0.25">
      <c r="B306" s="169">
        <f t="shared" si="9"/>
        <v>0.15475578406169654</v>
      </c>
      <c r="C306">
        <v>4322</v>
      </c>
      <c r="E306">
        <v>5</v>
      </c>
      <c r="F306">
        <v>4</v>
      </c>
      <c r="G306" s="15">
        <v>0.8</v>
      </c>
      <c r="H306" s="167">
        <f t="shared" si="8"/>
        <v>5.1413881748071976E-4</v>
      </c>
      <c r="I306" s="167"/>
      <c r="J306" s="167"/>
    </row>
    <row r="307" spans="2:10" x14ac:dyDescent="0.25">
      <c r="B307" s="169">
        <f t="shared" si="9"/>
        <v>0.15526992287917726</v>
      </c>
      <c r="C307">
        <v>4858</v>
      </c>
      <c r="E307">
        <v>20</v>
      </c>
      <c r="F307">
        <v>16</v>
      </c>
      <c r="G307" s="15">
        <v>0.8</v>
      </c>
      <c r="H307" s="167">
        <f t="shared" si="8"/>
        <v>5.1413881748071976E-4</v>
      </c>
      <c r="I307" s="167"/>
      <c r="J307" s="167"/>
    </row>
    <row r="308" spans="2:10" x14ac:dyDescent="0.25">
      <c r="B308" s="169">
        <f t="shared" si="9"/>
        <v>0.15578406169665798</v>
      </c>
      <c r="C308">
        <v>3863</v>
      </c>
      <c r="E308">
        <v>5</v>
      </c>
      <c r="F308">
        <v>4</v>
      </c>
      <c r="G308" s="15">
        <v>0.8</v>
      </c>
      <c r="H308" s="167">
        <f t="shared" si="8"/>
        <v>5.1413881748071976E-4</v>
      </c>
      <c r="I308" s="167"/>
      <c r="J308" s="167"/>
    </row>
    <row r="309" spans="2:10" x14ac:dyDescent="0.25">
      <c r="B309" s="169">
        <f t="shared" si="9"/>
        <v>0.1562982005141387</v>
      </c>
      <c r="C309">
        <v>5682</v>
      </c>
      <c r="E309">
        <v>10</v>
      </c>
      <c r="F309">
        <v>8</v>
      </c>
      <c r="G309" s="15">
        <v>0.8</v>
      </c>
      <c r="H309" s="167">
        <f t="shared" si="8"/>
        <v>5.1413881748071976E-4</v>
      </c>
      <c r="I309" s="167"/>
      <c r="J309" s="167"/>
    </row>
    <row r="310" spans="2:10" x14ac:dyDescent="0.25">
      <c r="B310" s="169">
        <f t="shared" si="9"/>
        <v>0.15681233933161942</v>
      </c>
      <c r="C310">
        <v>5898</v>
      </c>
      <c r="E310">
        <v>5</v>
      </c>
      <c r="F310">
        <v>4</v>
      </c>
      <c r="G310" s="15">
        <v>0.8</v>
      </c>
      <c r="H310" s="167">
        <f t="shared" si="8"/>
        <v>5.1413881748071976E-4</v>
      </c>
      <c r="I310" s="167"/>
      <c r="J310" s="167"/>
    </row>
    <row r="311" spans="2:10" x14ac:dyDescent="0.25">
      <c r="B311" s="169">
        <f t="shared" si="9"/>
        <v>0.15732647814910014</v>
      </c>
      <c r="C311">
        <v>6041</v>
      </c>
      <c r="E311">
        <v>15</v>
      </c>
      <c r="F311">
        <v>12</v>
      </c>
      <c r="G311" s="15">
        <v>0.8</v>
      </c>
      <c r="H311" s="167">
        <f t="shared" si="8"/>
        <v>5.1413881748071976E-4</v>
      </c>
      <c r="I311" s="167"/>
      <c r="J311" s="167"/>
    </row>
    <row r="312" spans="2:10" x14ac:dyDescent="0.25">
      <c r="B312" s="169">
        <f t="shared" si="9"/>
        <v>0.15784061696658086</v>
      </c>
      <c r="C312">
        <v>6440</v>
      </c>
      <c r="E312">
        <v>10</v>
      </c>
      <c r="F312">
        <v>8</v>
      </c>
      <c r="G312" s="15">
        <v>0.8</v>
      </c>
      <c r="H312" s="167">
        <f t="shared" si="8"/>
        <v>5.1413881748071976E-4</v>
      </c>
      <c r="I312" s="167"/>
      <c r="J312" s="167"/>
    </row>
    <row r="313" spans="2:10" x14ac:dyDescent="0.25">
      <c r="B313" s="169">
        <f t="shared" si="9"/>
        <v>0.15835475578406158</v>
      </c>
      <c r="C313">
        <v>6412</v>
      </c>
      <c r="E313">
        <v>5</v>
      </c>
      <c r="F313">
        <v>4</v>
      </c>
      <c r="G313" s="15">
        <v>0.8</v>
      </c>
      <c r="H313" s="167">
        <f t="shared" si="8"/>
        <v>5.1413881748071976E-4</v>
      </c>
      <c r="I313" s="167"/>
      <c r="J313" s="167"/>
    </row>
    <row r="314" spans="2:10" x14ac:dyDescent="0.25">
      <c r="B314" s="169">
        <f t="shared" si="9"/>
        <v>0.1588688946015423</v>
      </c>
      <c r="C314">
        <v>5910</v>
      </c>
      <c r="E314">
        <v>5</v>
      </c>
      <c r="F314">
        <v>4</v>
      </c>
      <c r="G314" s="15">
        <v>0.8</v>
      </c>
      <c r="H314" s="167">
        <f t="shared" si="8"/>
        <v>5.1413881748071976E-4</v>
      </c>
      <c r="I314" s="167"/>
      <c r="J314" s="167"/>
    </row>
    <row r="315" spans="2:10" x14ac:dyDescent="0.25">
      <c r="B315" s="169">
        <f t="shared" si="9"/>
        <v>0.15938303341902302</v>
      </c>
      <c r="C315">
        <v>5911</v>
      </c>
      <c r="E315">
        <v>5</v>
      </c>
      <c r="F315">
        <v>4</v>
      </c>
      <c r="G315" s="15">
        <v>0.8</v>
      </c>
      <c r="H315" s="167">
        <f t="shared" si="8"/>
        <v>5.1413881748071976E-4</v>
      </c>
      <c r="I315" s="167"/>
      <c r="J315" s="167"/>
    </row>
    <row r="316" spans="2:10" x14ac:dyDescent="0.25">
      <c r="B316" s="169">
        <f t="shared" si="9"/>
        <v>0.15989717223650374</v>
      </c>
      <c r="C316">
        <v>5464</v>
      </c>
      <c r="E316">
        <v>15</v>
      </c>
      <c r="F316">
        <v>12</v>
      </c>
      <c r="G316" s="15">
        <v>0.8</v>
      </c>
      <c r="H316" s="167">
        <f t="shared" si="8"/>
        <v>5.1413881748071976E-4</v>
      </c>
      <c r="I316" s="167"/>
      <c r="J316" s="167"/>
    </row>
    <row r="317" spans="2:10" x14ac:dyDescent="0.25">
      <c r="B317" s="169">
        <f t="shared" si="9"/>
        <v>0.16041131105398446</v>
      </c>
      <c r="C317">
        <v>4178</v>
      </c>
      <c r="E317">
        <v>5</v>
      </c>
      <c r="F317">
        <v>4</v>
      </c>
      <c r="G317" s="15">
        <v>0.8</v>
      </c>
      <c r="H317" s="167">
        <f t="shared" si="8"/>
        <v>5.1413881748071976E-4</v>
      </c>
      <c r="I317" s="167"/>
      <c r="J317" s="167"/>
    </row>
    <row r="318" spans="2:10" x14ac:dyDescent="0.25">
      <c r="B318" s="169">
        <f t="shared" si="9"/>
        <v>0.16092544987146518</v>
      </c>
      <c r="C318">
        <v>6981</v>
      </c>
      <c r="E318">
        <v>5</v>
      </c>
      <c r="F318">
        <v>4</v>
      </c>
      <c r="G318" s="15">
        <v>0.8</v>
      </c>
      <c r="H318" s="167">
        <f t="shared" si="8"/>
        <v>5.1413881748071976E-4</v>
      </c>
      <c r="I318" s="167"/>
      <c r="J318" s="167"/>
    </row>
    <row r="319" spans="2:10" x14ac:dyDescent="0.25">
      <c r="B319" s="169">
        <f t="shared" si="9"/>
        <v>0.1614395886889459</v>
      </c>
      <c r="C319">
        <v>5674</v>
      </c>
      <c r="E319">
        <v>12</v>
      </c>
      <c r="F319">
        <v>10</v>
      </c>
      <c r="G319" s="15">
        <v>0.83333333333333304</v>
      </c>
      <c r="H319" s="167">
        <f t="shared" si="8"/>
        <v>5.1413881748071976E-4</v>
      </c>
      <c r="I319" s="167"/>
      <c r="J319" s="167"/>
    </row>
    <row r="320" spans="2:10" x14ac:dyDescent="0.25">
      <c r="B320" s="169">
        <f t="shared" si="9"/>
        <v>0.16195372750642661</v>
      </c>
      <c r="C320">
        <v>3846</v>
      </c>
      <c r="E320">
        <v>6</v>
      </c>
      <c r="F320">
        <v>5</v>
      </c>
      <c r="G320" s="15">
        <v>0.83333333333333304</v>
      </c>
      <c r="H320" s="167">
        <f t="shared" si="8"/>
        <v>5.1413881748071976E-4</v>
      </c>
      <c r="I320" s="167"/>
      <c r="J320" s="167"/>
    </row>
    <row r="321" spans="2:10" x14ac:dyDescent="0.25">
      <c r="B321" s="169">
        <f t="shared" si="9"/>
        <v>0.16246786632390733</v>
      </c>
      <c r="C321">
        <v>5716</v>
      </c>
      <c r="E321">
        <v>12</v>
      </c>
      <c r="F321">
        <v>10</v>
      </c>
      <c r="G321" s="15">
        <v>0.83333333333333304</v>
      </c>
      <c r="H321" s="167">
        <f t="shared" si="8"/>
        <v>5.1413881748071976E-4</v>
      </c>
      <c r="I321" s="167"/>
      <c r="J321" s="167"/>
    </row>
    <row r="322" spans="2:10" x14ac:dyDescent="0.25">
      <c r="B322" s="169">
        <f t="shared" si="9"/>
        <v>0.16298200514138805</v>
      </c>
      <c r="C322">
        <v>3895</v>
      </c>
      <c r="E322">
        <v>50</v>
      </c>
      <c r="F322">
        <v>42</v>
      </c>
      <c r="G322" s="15">
        <v>0.84</v>
      </c>
      <c r="H322" s="167">
        <f t="shared" si="8"/>
        <v>5.1413881748071976E-4</v>
      </c>
      <c r="I322" s="167"/>
      <c r="J322" s="167"/>
    </row>
    <row r="323" spans="2:10" x14ac:dyDescent="0.25">
      <c r="B323" s="169">
        <f t="shared" si="9"/>
        <v>0.16349614395886877</v>
      </c>
      <c r="C323">
        <v>6103</v>
      </c>
      <c r="E323">
        <v>163</v>
      </c>
      <c r="F323">
        <v>137</v>
      </c>
      <c r="G323" s="15">
        <v>0.84049079754601197</v>
      </c>
      <c r="H323" s="167">
        <f t="shared" si="8"/>
        <v>5.1413881748071976E-4</v>
      </c>
      <c r="I323" s="167"/>
      <c r="J323" s="167"/>
    </row>
    <row r="324" spans="2:10" x14ac:dyDescent="0.25">
      <c r="B324" s="169">
        <f t="shared" si="9"/>
        <v>0.16401028277634949</v>
      </c>
      <c r="C324">
        <v>4449</v>
      </c>
      <c r="E324">
        <v>20</v>
      </c>
      <c r="F324">
        <v>17</v>
      </c>
      <c r="G324" s="15">
        <v>0.85</v>
      </c>
      <c r="H324" s="167">
        <f t="shared" si="8"/>
        <v>5.1413881748071976E-4</v>
      </c>
      <c r="I324" s="167"/>
      <c r="J324" s="167"/>
    </row>
    <row r="325" spans="2:10" x14ac:dyDescent="0.25">
      <c r="B325" s="169">
        <f t="shared" si="9"/>
        <v>0.16452442159383021</v>
      </c>
      <c r="C325">
        <v>4851</v>
      </c>
      <c r="E325">
        <v>21</v>
      </c>
      <c r="F325">
        <v>18</v>
      </c>
      <c r="G325" s="15">
        <v>0.85714285714285698</v>
      </c>
      <c r="H325" s="167">
        <f t="shared" si="8"/>
        <v>5.1413881748071976E-4</v>
      </c>
      <c r="I325" s="167"/>
      <c r="J325" s="167"/>
    </row>
    <row r="326" spans="2:10" x14ac:dyDescent="0.25">
      <c r="B326" s="169">
        <f t="shared" si="9"/>
        <v>0.16503856041131093</v>
      </c>
      <c r="C326">
        <v>4011</v>
      </c>
      <c r="E326">
        <v>15</v>
      </c>
      <c r="F326">
        <v>13</v>
      </c>
      <c r="G326" s="15">
        <v>0.86666666666666703</v>
      </c>
      <c r="H326" s="167">
        <f t="shared" ref="H326:H389" si="10">1/$L$6</f>
        <v>5.1413881748071976E-4</v>
      </c>
      <c r="I326" s="167"/>
      <c r="J326" s="167"/>
    </row>
    <row r="327" spans="2:10" x14ac:dyDescent="0.25">
      <c r="B327" s="169">
        <f t="shared" ref="B327:B390" si="11">B326+H327</f>
        <v>0.16555269922879165</v>
      </c>
      <c r="C327">
        <v>1920</v>
      </c>
      <c r="E327">
        <v>15</v>
      </c>
      <c r="F327">
        <v>13</v>
      </c>
      <c r="G327" s="15">
        <v>0.86666666666666703</v>
      </c>
      <c r="H327" s="167">
        <f t="shared" si="10"/>
        <v>5.1413881748071976E-4</v>
      </c>
      <c r="I327" s="167"/>
      <c r="J327" s="167"/>
    </row>
    <row r="328" spans="2:10" x14ac:dyDescent="0.25">
      <c r="B328" s="169">
        <f t="shared" si="11"/>
        <v>0.16606683804627237</v>
      </c>
      <c r="C328">
        <v>1929</v>
      </c>
      <c r="E328">
        <v>15</v>
      </c>
      <c r="F328">
        <v>13</v>
      </c>
      <c r="G328" s="15">
        <v>0.86666666666666703</v>
      </c>
      <c r="H328" s="167">
        <f t="shared" si="10"/>
        <v>5.1413881748071976E-4</v>
      </c>
      <c r="I328" s="167"/>
      <c r="J328" s="167"/>
    </row>
    <row r="329" spans="2:10" x14ac:dyDescent="0.25">
      <c r="B329" s="169">
        <f t="shared" si="11"/>
        <v>0.16658097686375309</v>
      </c>
      <c r="C329">
        <v>1938</v>
      </c>
      <c r="E329">
        <v>15</v>
      </c>
      <c r="F329">
        <v>13</v>
      </c>
      <c r="G329" s="15">
        <v>0.86666666666666703</v>
      </c>
      <c r="H329" s="167">
        <f t="shared" si="10"/>
        <v>5.1413881748071976E-4</v>
      </c>
      <c r="I329" s="167"/>
      <c r="J329" s="167"/>
    </row>
    <row r="330" spans="2:10" x14ac:dyDescent="0.25">
      <c r="B330" s="169">
        <f t="shared" si="11"/>
        <v>0.16709511568123381</v>
      </c>
      <c r="C330">
        <v>1947</v>
      </c>
      <c r="E330">
        <v>15</v>
      </c>
      <c r="F330">
        <v>13</v>
      </c>
      <c r="G330" s="15">
        <v>0.86666666666666703</v>
      </c>
      <c r="H330" s="167">
        <f t="shared" si="10"/>
        <v>5.1413881748071976E-4</v>
      </c>
      <c r="I330" s="167"/>
      <c r="J330" s="167"/>
    </row>
    <row r="331" spans="2:10" x14ac:dyDescent="0.25">
      <c r="B331" s="169">
        <f t="shared" si="11"/>
        <v>0.16760925449871453</v>
      </c>
      <c r="C331">
        <v>4991</v>
      </c>
      <c r="E331">
        <v>15</v>
      </c>
      <c r="F331">
        <v>13</v>
      </c>
      <c r="G331" s="15">
        <v>0.86666666666666703</v>
      </c>
      <c r="H331" s="167">
        <f t="shared" si="10"/>
        <v>5.1413881748071976E-4</v>
      </c>
      <c r="I331" s="167"/>
      <c r="J331" s="167"/>
    </row>
    <row r="332" spans="2:10" x14ac:dyDescent="0.25">
      <c r="B332" s="169">
        <f t="shared" si="11"/>
        <v>0.16812339331619525</v>
      </c>
      <c r="C332">
        <v>2337</v>
      </c>
      <c r="E332">
        <v>15</v>
      </c>
      <c r="F332">
        <v>13</v>
      </c>
      <c r="G332" s="15">
        <v>0.86666666666666703</v>
      </c>
      <c r="H332" s="167">
        <f t="shared" si="10"/>
        <v>5.1413881748071976E-4</v>
      </c>
      <c r="I332" s="167"/>
      <c r="J332" s="167"/>
    </row>
    <row r="333" spans="2:10" x14ac:dyDescent="0.25">
      <c r="B333" s="169">
        <f t="shared" si="11"/>
        <v>0.16863753213367597</v>
      </c>
      <c r="C333">
        <v>5947</v>
      </c>
      <c r="E333">
        <v>260</v>
      </c>
      <c r="F333">
        <v>227</v>
      </c>
      <c r="G333" s="15">
        <v>0.87307692307692297</v>
      </c>
      <c r="H333" s="167">
        <f t="shared" si="10"/>
        <v>5.1413881748071976E-4</v>
      </c>
      <c r="I333" s="167"/>
      <c r="J333" s="167"/>
    </row>
    <row r="334" spans="2:10" x14ac:dyDescent="0.25">
      <c r="B334" s="169">
        <f t="shared" si="11"/>
        <v>0.16915167095115669</v>
      </c>
      <c r="C334">
        <v>4337</v>
      </c>
      <c r="E334">
        <v>8</v>
      </c>
      <c r="F334">
        <v>7</v>
      </c>
      <c r="G334" s="15">
        <v>0.875</v>
      </c>
      <c r="H334" s="167">
        <f t="shared" si="10"/>
        <v>5.1413881748071976E-4</v>
      </c>
      <c r="I334" s="167"/>
      <c r="J334" s="167"/>
    </row>
    <row r="335" spans="2:10" x14ac:dyDescent="0.25">
      <c r="B335" s="169">
        <f t="shared" si="11"/>
        <v>0.1696658097686374</v>
      </c>
      <c r="C335">
        <v>3862</v>
      </c>
      <c r="E335">
        <v>8</v>
      </c>
      <c r="F335">
        <v>7</v>
      </c>
      <c r="G335" s="15">
        <v>0.875</v>
      </c>
      <c r="H335" s="167">
        <f t="shared" si="10"/>
        <v>5.1413881748071976E-4</v>
      </c>
      <c r="I335" s="167"/>
      <c r="J335" s="167"/>
    </row>
    <row r="336" spans="2:10" x14ac:dyDescent="0.25">
      <c r="B336" s="169">
        <f t="shared" si="11"/>
        <v>0.17017994858611812</v>
      </c>
      <c r="C336">
        <v>3784</v>
      </c>
      <c r="E336">
        <v>8</v>
      </c>
      <c r="F336">
        <v>7</v>
      </c>
      <c r="G336" s="15">
        <v>0.875</v>
      </c>
      <c r="H336" s="167">
        <f t="shared" si="10"/>
        <v>5.1413881748071976E-4</v>
      </c>
      <c r="I336" s="167"/>
      <c r="J336" s="167"/>
    </row>
    <row r="337" spans="2:10" x14ac:dyDescent="0.25">
      <c r="B337" s="169">
        <f t="shared" si="11"/>
        <v>0.17069408740359884</v>
      </c>
      <c r="C337">
        <v>3682</v>
      </c>
      <c r="E337">
        <v>20</v>
      </c>
      <c r="F337">
        <v>18</v>
      </c>
      <c r="G337" s="15">
        <v>0.9</v>
      </c>
      <c r="H337" s="167">
        <f t="shared" si="10"/>
        <v>5.1413881748071976E-4</v>
      </c>
      <c r="I337" s="167"/>
      <c r="J337" s="167"/>
    </row>
    <row r="338" spans="2:10" x14ac:dyDescent="0.25">
      <c r="B338" s="169">
        <f t="shared" si="11"/>
        <v>0.17120822622107956</v>
      </c>
      <c r="C338">
        <v>4806</v>
      </c>
      <c r="E338">
        <v>10</v>
      </c>
      <c r="F338">
        <v>9</v>
      </c>
      <c r="G338" s="15">
        <v>0.9</v>
      </c>
      <c r="H338" s="167">
        <f t="shared" si="10"/>
        <v>5.1413881748071976E-4</v>
      </c>
      <c r="I338" s="167"/>
      <c r="J338" s="167"/>
    </row>
    <row r="339" spans="2:10" x14ac:dyDescent="0.25">
      <c r="B339" s="169">
        <f t="shared" si="11"/>
        <v>0.17172236503856028</v>
      </c>
      <c r="C339">
        <v>3798</v>
      </c>
      <c r="E339">
        <v>10</v>
      </c>
      <c r="F339">
        <v>9</v>
      </c>
      <c r="G339" s="15">
        <v>0.9</v>
      </c>
      <c r="H339" s="167">
        <f t="shared" si="10"/>
        <v>5.1413881748071976E-4</v>
      </c>
      <c r="I339" s="167"/>
      <c r="J339" s="167"/>
    </row>
    <row r="340" spans="2:10" x14ac:dyDescent="0.25">
      <c r="B340" s="169">
        <f t="shared" si="11"/>
        <v>0.172236503856041</v>
      </c>
      <c r="C340">
        <v>4807</v>
      </c>
      <c r="E340">
        <v>10</v>
      </c>
      <c r="F340">
        <v>9</v>
      </c>
      <c r="G340" s="15">
        <v>0.9</v>
      </c>
      <c r="H340" s="167">
        <f t="shared" si="10"/>
        <v>5.1413881748071976E-4</v>
      </c>
      <c r="I340" s="167"/>
      <c r="J340" s="167"/>
    </row>
    <row r="341" spans="2:10" x14ac:dyDescent="0.25">
      <c r="B341" s="169">
        <f t="shared" si="11"/>
        <v>0.17275064267352172</v>
      </c>
      <c r="C341">
        <v>4808</v>
      </c>
      <c r="E341">
        <v>10</v>
      </c>
      <c r="F341">
        <v>9</v>
      </c>
      <c r="G341" s="15">
        <v>0.9</v>
      </c>
      <c r="H341" s="167">
        <f t="shared" si="10"/>
        <v>5.1413881748071976E-4</v>
      </c>
      <c r="I341" s="167"/>
      <c r="J341" s="167"/>
    </row>
    <row r="342" spans="2:10" x14ac:dyDescent="0.25">
      <c r="B342" s="169">
        <f t="shared" si="11"/>
        <v>0.17326478149100244</v>
      </c>
      <c r="C342">
        <v>6422</v>
      </c>
      <c r="E342">
        <v>20</v>
      </c>
      <c r="F342">
        <v>18</v>
      </c>
      <c r="G342" s="15">
        <v>0.9</v>
      </c>
      <c r="H342" s="167">
        <f t="shared" si="10"/>
        <v>5.1413881748071976E-4</v>
      </c>
      <c r="I342" s="167"/>
      <c r="J342" s="167"/>
    </row>
    <row r="343" spans="2:10" x14ac:dyDescent="0.25">
      <c r="B343" s="169">
        <f t="shared" si="11"/>
        <v>0.17377892030848316</v>
      </c>
      <c r="C343">
        <v>3518</v>
      </c>
      <c r="E343">
        <v>22</v>
      </c>
      <c r="F343">
        <v>20</v>
      </c>
      <c r="G343" s="15">
        <v>0.90909090909090895</v>
      </c>
      <c r="H343" s="167">
        <f t="shared" si="10"/>
        <v>5.1413881748071976E-4</v>
      </c>
      <c r="I343" s="167"/>
      <c r="J343" s="167"/>
    </row>
    <row r="344" spans="2:10" x14ac:dyDescent="0.25">
      <c r="B344" s="169">
        <f t="shared" si="11"/>
        <v>0.17429305912596388</v>
      </c>
      <c r="C344">
        <v>4796</v>
      </c>
      <c r="E344">
        <v>11</v>
      </c>
      <c r="F344">
        <v>10</v>
      </c>
      <c r="G344" s="15">
        <v>0.90909090909090895</v>
      </c>
      <c r="H344" s="167">
        <f t="shared" si="10"/>
        <v>5.1413881748071976E-4</v>
      </c>
      <c r="I344" s="167"/>
      <c r="J344" s="167"/>
    </row>
    <row r="345" spans="2:10" x14ac:dyDescent="0.25">
      <c r="B345" s="169">
        <f t="shared" si="11"/>
        <v>0.1748071979434446</v>
      </c>
      <c r="C345">
        <v>4797</v>
      </c>
      <c r="E345">
        <v>11</v>
      </c>
      <c r="F345">
        <v>10</v>
      </c>
      <c r="G345" s="15">
        <v>0.90909090909090895</v>
      </c>
      <c r="H345" s="167">
        <f t="shared" si="10"/>
        <v>5.1413881748071976E-4</v>
      </c>
      <c r="I345" s="167"/>
      <c r="J345" s="167"/>
    </row>
    <row r="346" spans="2:10" x14ac:dyDescent="0.25">
      <c r="B346" s="169">
        <f t="shared" si="11"/>
        <v>0.17532133676092532</v>
      </c>
      <c r="C346">
        <v>4798</v>
      </c>
      <c r="E346">
        <v>11</v>
      </c>
      <c r="F346">
        <v>10</v>
      </c>
      <c r="G346" s="15">
        <v>0.90909090909090895</v>
      </c>
      <c r="H346" s="167">
        <f t="shared" si="10"/>
        <v>5.1413881748071976E-4</v>
      </c>
      <c r="I346" s="167"/>
      <c r="J346" s="167"/>
    </row>
    <row r="347" spans="2:10" x14ac:dyDescent="0.25">
      <c r="B347" s="169">
        <f t="shared" si="11"/>
        <v>0.17583547557840604</v>
      </c>
      <c r="C347">
        <v>3860</v>
      </c>
      <c r="E347">
        <v>25</v>
      </c>
      <c r="F347">
        <v>23</v>
      </c>
      <c r="G347" s="15">
        <v>0.92</v>
      </c>
      <c r="H347" s="167">
        <f t="shared" si="10"/>
        <v>5.1413881748071976E-4</v>
      </c>
      <c r="I347" s="167"/>
      <c r="J347" s="167"/>
    </row>
    <row r="348" spans="2:10" x14ac:dyDescent="0.25">
      <c r="B348" s="169">
        <f t="shared" si="11"/>
        <v>0.17634961439588676</v>
      </c>
      <c r="C348">
        <v>3944</v>
      </c>
      <c r="E348">
        <v>15</v>
      </c>
      <c r="F348">
        <v>14</v>
      </c>
      <c r="G348" s="15">
        <v>0.93333333333333302</v>
      </c>
      <c r="H348" s="167">
        <f t="shared" si="10"/>
        <v>5.1413881748071976E-4</v>
      </c>
      <c r="I348" s="167"/>
      <c r="J348" s="167"/>
    </row>
    <row r="349" spans="2:10" x14ac:dyDescent="0.25">
      <c r="B349" s="169">
        <f t="shared" si="11"/>
        <v>0.17686375321336748</v>
      </c>
      <c r="C349">
        <v>525</v>
      </c>
      <c r="E349">
        <v>15</v>
      </c>
      <c r="F349">
        <v>14</v>
      </c>
      <c r="G349" s="15">
        <v>0.93333333333333302</v>
      </c>
      <c r="H349" s="167">
        <f t="shared" si="10"/>
        <v>5.1413881748071976E-4</v>
      </c>
      <c r="I349" s="167"/>
      <c r="J349" s="167"/>
    </row>
    <row r="350" spans="2:10" x14ac:dyDescent="0.25">
      <c r="B350" s="169">
        <f t="shared" si="11"/>
        <v>0.17737789203084819</v>
      </c>
      <c r="C350">
        <v>1919</v>
      </c>
      <c r="E350">
        <v>15</v>
      </c>
      <c r="F350">
        <v>14</v>
      </c>
      <c r="G350" s="15">
        <v>0.93333333333333302</v>
      </c>
      <c r="H350" s="167">
        <f t="shared" si="10"/>
        <v>5.1413881748071976E-4</v>
      </c>
      <c r="I350" s="167"/>
      <c r="J350" s="167"/>
    </row>
    <row r="351" spans="2:10" x14ac:dyDescent="0.25">
      <c r="B351" s="169">
        <f t="shared" si="11"/>
        <v>0.17789203084832891</v>
      </c>
      <c r="C351">
        <v>1928</v>
      </c>
      <c r="E351">
        <v>15</v>
      </c>
      <c r="F351">
        <v>14</v>
      </c>
      <c r="G351" s="15">
        <v>0.93333333333333302</v>
      </c>
      <c r="H351" s="167">
        <f t="shared" si="10"/>
        <v>5.1413881748071976E-4</v>
      </c>
      <c r="I351" s="167"/>
      <c r="J351" s="167"/>
    </row>
    <row r="352" spans="2:10" x14ac:dyDescent="0.25">
      <c r="B352" s="169">
        <f t="shared" si="11"/>
        <v>0.17840616966580963</v>
      </c>
      <c r="C352">
        <v>1937</v>
      </c>
      <c r="E352">
        <v>15</v>
      </c>
      <c r="F352">
        <v>14</v>
      </c>
      <c r="G352" s="15">
        <v>0.93333333333333302</v>
      </c>
      <c r="H352" s="167">
        <f t="shared" si="10"/>
        <v>5.1413881748071976E-4</v>
      </c>
      <c r="I352" s="167"/>
      <c r="J352" s="167"/>
    </row>
    <row r="353" spans="2:10" x14ac:dyDescent="0.25">
      <c r="B353" s="169">
        <f t="shared" si="11"/>
        <v>0.17892030848329035</v>
      </c>
      <c r="C353">
        <v>1946</v>
      </c>
      <c r="E353">
        <v>15</v>
      </c>
      <c r="F353">
        <v>14</v>
      </c>
      <c r="G353" s="15">
        <v>0.93333333333333302</v>
      </c>
      <c r="H353" s="167">
        <f t="shared" si="10"/>
        <v>5.1413881748071976E-4</v>
      </c>
      <c r="I353" s="167"/>
      <c r="J353" s="167"/>
    </row>
    <row r="354" spans="2:10" x14ac:dyDescent="0.25">
      <c r="B354" s="169">
        <f t="shared" si="11"/>
        <v>0.17943444730077107</v>
      </c>
      <c r="C354">
        <v>4989</v>
      </c>
      <c r="E354">
        <v>15</v>
      </c>
      <c r="F354">
        <v>14</v>
      </c>
      <c r="G354" s="15">
        <v>0.93333333333333302</v>
      </c>
      <c r="H354" s="167">
        <f t="shared" si="10"/>
        <v>5.1413881748071976E-4</v>
      </c>
      <c r="I354" s="167"/>
      <c r="J354" s="167"/>
    </row>
    <row r="355" spans="2:10" x14ac:dyDescent="0.25">
      <c r="B355" s="169">
        <f t="shared" si="11"/>
        <v>0.17994858611825179</v>
      </c>
      <c r="C355">
        <v>2358</v>
      </c>
      <c r="E355">
        <v>16</v>
      </c>
      <c r="F355">
        <v>15</v>
      </c>
      <c r="G355" s="15">
        <v>0.9375</v>
      </c>
      <c r="H355" s="167">
        <f t="shared" si="10"/>
        <v>5.1413881748071976E-4</v>
      </c>
      <c r="I355" s="167"/>
      <c r="J355" s="167"/>
    </row>
    <row r="356" spans="2:10" x14ac:dyDescent="0.25">
      <c r="B356" s="169">
        <f t="shared" si="11"/>
        <v>0.18046272493573251</v>
      </c>
      <c r="C356">
        <v>2359</v>
      </c>
      <c r="E356">
        <v>16</v>
      </c>
      <c r="F356">
        <v>15</v>
      </c>
      <c r="G356" s="15">
        <v>0.9375</v>
      </c>
      <c r="H356" s="167">
        <f t="shared" si="10"/>
        <v>5.1413881748071976E-4</v>
      </c>
      <c r="I356" s="167"/>
      <c r="J356" s="167"/>
    </row>
    <row r="357" spans="2:10" x14ac:dyDescent="0.25">
      <c r="B357" s="169">
        <f t="shared" si="11"/>
        <v>0.18097686375321323</v>
      </c>
      <c r="C357">
        <v>1922</v>
      </c>
      <c r="E357">
        <v>16</v>
      </c>
      <c r="F357">
        <v>15</v>
      </c>
      <c r="G357" s="15">
        <v>0.9375</v>
      </c>
      <c r="H357" s="167">
        <f t="shared" si="10"/>
        <v>5.1413881748071976E-4</v>
      </c>
      <c r="I357" s="167"/>
      <c r="J357" s="167"/>
    </row>
    <row r="358" spans="2:10" x14ac:dyDescent="0.25">
      <c r="B358" s="169">
        <f t="shared" si="11"/>
        <v>0.18149100257069395</v>
      </c>
      <c r="C358">
        <v>1923</v>
      </c>
      <c r="E358">
        <v>16</v>
      </c>
      <c r="F358">
        <v>15</v>
      </c>
      <c r="G358" s="15">
        <v>0.9375</v>
      </c>
      <c r="H358" s="167">
        <f t="shared" si="10"/>
        <v>5.1413881748071976E-4</v>
      </c>
      <c r="I358" s="167"/>
      <c r="J358" s="167"/>
    </row>
    <row r="359" spans="2:10" x14ac:dyDescent="0.25">
      <c r="B359" s="169">
        <f t="shared" si="11"/>
        <v>0.18200514138817467</v>
      </c>
      <c r="C359">
        <v>1931</v>
      </c>
      <c r="E359">
        <v>16</v>
      </c>
      <c r="F359">
        <v>15</v>
      </c>
      <c r="G359" s="15">
        <v>0.9375</v>
      </c>
      <c r="H359" s="167">
        <f t="shared" si="10"/>
        <v>5.1413881748071976E-4</v>
      </c>
      <c r="I359" s="167"/>
      <c r="J359" s="167"/>
    </row>
    <row r="360" spans="2:10" x14ac:dyDescent="0.25">
      <c r="B360" s="169">
        <f t="shared" si="11"/>
        <v>0.18251928020565539</v>
      </c>
      <c r="C360">
        <v>1940</v>
      </c>
      <c r="E360">
        <v>16</v>
      </c>
      <c r="F360">
        <v>15</v>
      </c>
      <c r="G360" s="15">
        <v>0.9375</v>
      </c>
      <c r="H360" s="167">
        <f t="shared" si="10"/>
        <v>5.1413881748071976E-4</v>
      </c>
      <c r="I360" s="167"/>
      <c r="J360" s="167"/>
    </row>
    <row r="361" spans="2:10" x14ac:dyDescent="0.25">
      <c r="B361" s="169">
        <f t="shared" si="11"/>
        <v>0.18303341902313611</v>
      </c>
      <c r="C361">
        <v>1949</v>
      </c>
      <c r="E361">
        <v>16</v>
      </c>
      <c r="F361">
        <v>15</v>
      </c>
      <c r="G361" s="15">
        <v>0.9375</v>
      </c>
      <c r="H361" s="167">
        <f t="shared" si="10"/>
        <v>5.1413881748071976E-4</v>
      </c>
      <c r="I361" s="167"/>
      <c r="J361" s="167"/>
    </row>
    <row r="362" spans="2:10" x14ac:dyDescent="0.25">
      <c r="B362" s="169">
        <f t="shared" si="11"/>
        <v>0.18354755784061683</v>
      </c>
      <c r="C362">
        <v>1932</v>
      </c>
      <c r="E362">
        <v>16</v>
      </c>
      <c r="F362">
        <v>15</v>
      </c>
      <c r="G362" s="15">
        <v>0.9375</v>
      </c>
      <c r="H362" s="167">
        <f t="shared" si="10"/>
        <v>5.1413881748071976E-4</v>
      </c>
      <c r="I362" s="167"/>
      <c r="J362" s="167"/>
    </row>
    <row r="363" spans="2:10" x14ac:dyDescent="0.25">
      <c r="B363" s="169">
        <f t="shared" si="11"/>
        <v>0.18406169665809755</v>
      </c>
      <c r="C363">
        <v>1941</v>
      </c>
      <c r="E363">
        <v>16</v>
      </c>
      <c r="F363">
        <v>15</v>
      </c>
      <c r="G363" s="15">
        <v>0.9375</v>
      </c>
      <c r="H363" s="167">
        <f t="shared" si="10"/>
        <v>5.1413881748071976E-4</v>
      </c>
      <c r="I363" s="167"/>
      <c r="J363" s="167"/>
    </row>
    <row r="364" spans="2:10" x14ac:dyDescent="0.25">
      <c r="B364" s="169">
        <f t="shared" si="11"/>
        <v>0.18457583547557826</v>
      </c>
      <c r="C364">
        <v>1950</v>
      </c>
      <c r="E364">
        <v>16</v>
      </c>
      <c r="F364">
        <v>15</v>
      </c>
      <c r="G364" s="15">
        <v>0.9375</v>
      </c>
      <c r="H364" s="167">
        <f t="shared" si="10"/>
        <v>5.1413881748071976E-4</v>
      </c>
      <c r="I364" s="167"/>
      <c r="J364" s="167"/>
    </row>
    <row r="365" spans="2:10" x14ac:dyDescent="0.25">
      <c r="B365" s="169">
        <f t="shared" si="11"/>
        <v>0.18508997429305898</v>
      </c>
      <c r="C365">
        <v>4985</v>
      </c>
      <c r="E365">
        <v>16</v>
      </c>
      <c r="F365">
        <v>15</v>
      </c>
      <c r="G365" s="15">
        <v>0.9375</v>
      </c>
      <c r="H365" s="167">
        <f t="shared" si="10"/>
        <v>5.1413881748071976E-4</v>
      </c>
      <c r="I365" s="167"/>
      <c r="J365" s="167"/>
    </row>
    <row r="366" spans="2:10" x14ac:dyDescent="0.25">
      <c r="B366" s="169">
        <f t="shared" si="11"/>
        <v>0.1856041131105397</v>
      </c>
      <c r="C366">
        <v>4986</v>
      </c>
      <c r="E366">
        <v>16</v>
      </c>
      <c r="F366">
        <v>15</v>
      </c>
      <c r="G366" s="15">
        <v>0.9375</v>
      </c>
      <c r="H366" s="167">
        <f t="shared" si="10"/>
        <v>5.1413881748071976E-4</v>
      </c>
      <c r="I366" s="167"/>
      <c r="J366" s="167"/>
    </row>
    <row r="367" spans="2:10" x14ac:dyDescent="0.25">
      <c r="B367" s="169">
        <f t="shared" si="11"/>
        <v>0.18611825192802042</v>
      </c>
      <c r="C367">
        <v>2376</v>
      </c>
      <c r="E367">
        <v>16</v>
      </c>
      <c r="F367">
        <v>15</v>
      </c>
      <c r="G367" s="15">
        <v>0.9375</v>
      </c>
      <c r="H367" s="167">
        <f t="shared" si="10"/>
        <v>5.1413881748071976E-4</v>
      </c>
      <c r="I367" s="167"/>
      <c r="J367" s="167"/>
    </row>
    <row r="368" spans="2:10" x14ac:dyDescent="0.25">
      <c r="B368" s="169">
        <f t="shared" si="11"/>
        <v>0.18663239074550114</v>
      </c>
      <c r="C368">
        <v>2331</v>
      </c>
      <c r="E368">
        <v>16</v>
      </c>
      <c r="F368">
        <v>15</v>
      </c>
      <c r="G368" s="15">
        <v>0.9375</v>
      </c>
      <c r="H368" s="167">
        <f t="shared" si="10"/>
        <v>5.1413881748071976E-4</v>
      </c>
      <c r="I368" s="167"/>
      <c r="J368" s="167"/>
    </row>
    <row r="369" spans="2:10" x14ac:dyDescent="0.25">
      <c r="B369" s="169">
        <f t="shared" si="11"/>
        <v>0.18714652956298186</v>
      </c>
      <c r="C369">
        <v>2377</v>
      </c>
      <c r="E369">
        <v>16</v>
      </c>
      <c r="F369">
        <v>15</v>
      </c>
      <c r="G369" s="15">
        <v>0.9375</v>
      </c>
      <c r="H369" s="167">
        <f t="shared" si="10"/>
        <v>5.1413881748071976E-4</v>
      </c>
      <c r="I369" s="167"/>
      <c r="J369" s="167"/>
    </row>
    <row r="370" spans="2:10" x14ac:dyDescent="0.25">
      <c r="B370" s="169">
        <f t="shared" si="11"/>
        <v>0.18766066838046258</v>
      </c>
      <c r="C370">
        <v>2394</v>
      </c>
      <c r="E370">
        <v>16</v>
      </c>
      <c r="F370">
        <v>15</v>
      </c>
      <c r="G370" s="15">
        <v>0.9375</v>
      </c>
      <c r="H370" s="167">
        <f t="shared" si="10"/>
        <v>5.1413881748071976E-4</v>
      </c>
      <c r="I370" s="167"/>
      <c r="J370" s="167"/>
    </row>
    <row r="371" spans="2:10" x14ac:dyDescent="0.25">
      <c r="B371" s="169">
        <f t="shared" si="11"/>
        <v>0.1881748071979433</v>
      </c>
      <c r="C371">
        <v>2395</v>
      </c>
      <c r="E371">
        <v>16</v>
      </c>
      <c r="F371">
        <v>15</v>
      </c>
      <c r="G371" s="15">
        <v>0.9375</v>
      </c>
      <c r="H371" s="167">
        <f t="shared" si="10"/>
        <v>5.1413881748071976E-4</v>
      </c>
      <c r="I371" s="167"/>
      <c r="J371" s="167"/>
    </row>
    <row r="372" spans="2:10" x14ac:dyDescent="0.25">
      <c r="B372" s="169">
        <f t="shared" si="11"/>
        <v>0.18868894601542402</v>
      </c>
      <c r="C372">
        <v>4786</v>
      </c>
      <c r="E372">
        <v>36</v>
      </c>
      <c r="F372">
        <v>34</v>
      </c>
      <c r="G372" s="15">
        <v>0.94444444444444398</v>
      </c>
      <c r="H372" s="167">
        <f t="shared" si="10"/>
        <v>5.1413881748071976E-4</v>
      </c>
      <c r="I372" s="167"/>
      <c r="J372" s="167"/>
    </row>
    <row r="373" spans="2:10" x14ac:dyDescent="0.25">
      <c r="B373" s="169">
        <f t="shared" si="11"/>
        <v>0.18920308483290474</v>
      </c>
      <c r="C373">
        <v>2477</v>
      </c>
      <c r="E373">
        <v>110</v>
      </c>
      <c r="F373">
        <v>104</v>
      </c>
      <c r="G373" s="15">
        <v>0.94545454545454499</v>
      </c>
      <c r="H373" s="167">
        <f t="shared" si="10"/>
        <v>5.1413881748071976E-4</v>
      </c>
      <c r="I373" s="167"/>
      <c r="J373" s="167"/>
    </row>
    <row r="374" spans="2:10" x14ac:dyDescent="0.25">
      <c r="B374" s="169">
        <f t="shared" si="11"/>
        <v>0.18971722365038546</v>
      </c>
      <c r="C374">
        <v>3634</v>
      </c>
      <c r="E374">
        <v>20</v>
      </c>
      <c r="F374">
        <v>19</v>
      </c>
      <c r="G374" s="15">
        <v>0.95</v>
      </c>
      <c r="H374" s="167">
        <f t="shared" si="10"/>
        <v>5.1413881748071976E-4</v>
      </c>
      <c r="I374" s="167"/>
      <c r="J374" s="167"/>
    </row>
    <row r="375" spans="2:10" x14ac:dyDescent="0.25">
      <c r="B375" s="169">
        <f t="shared" si="11"/>
        <v>0.19023136246786618</v>
      </c>
      <c r="C375">
        <v>3750</v>
      </c>
      <c r="E375">
        <v>20</v>
      </c>
      <c r="F375">
        <v>19</v>
      </c>
      <c r="G375" s="15">
        <v>0.95</v>
      </c>
      <c r="H375" s="167">
        <f t="shared" si="10"/>
        <v>5.1413881748071976E-4</v>
      </c>
      <c r="I375" s="167"/>
      <c r="J375" s="167"/>
    </row>
    <row r="376" spans="2:10" x14ac:dyDescent="0.25">
      <c r="B376" s="169">
        <f t="shared" si="11"/>
        <v>0.1907455012853469</v>
      </c>
      <c r="C376">
        <v>2521</v>
      </c>
      <c r="E376">
        <v>20</v>
      </c>
      <c r="F376">
        <v>19</v>
      </c>
      <c r="G376" s="15">
        <v>0.95</v>
      </c>
      <c r="H376" s="167">
        <f t="shared" si="10"/>
        <v>5.1413881748071976E-4</v>
      </c>
      <c r="I376" s="167"/>
      <c r="J376" s="167"/>
    </row>
    <row r="377" spans="2:10" x14ac:dyDescent="0.25">
      <c r="B377" s="169">
        <f t="shared" si="11"/>
        <v>0.19125964010282762</v>
      </c>
      <c r="C377">
        <v>2532</v>
      </c>
      <c r="E377">
        <v>20</v>
      </c>
      <c r="F377">
        <v>19</v>
      </c>
      <c r="G377" s="15">
        <v>0.95</v>
      </c>
      <c r="H377" s="167">
        <f t="shared" si="10"/>
        <v>5.1413881748071976E-4</v>
      </c>
      <c r="I377" s="167"/>
      <c r="J377" s="167"/>
    </row>
    <row r="378" spans="2:10" x14ac:dyDescent="0.25">
      <c r="B378" s="169">
        <f t="shared" si="11"/>
        <v>0.19177377892030834</v>
      </c>
      <c r="C378">
        <v>3655</v>
      </c>
      <c r="E378">
        <v>120</v>
      </c>
      <c r="F378">
        <v>115</v>
      </c>
      <c r="G378" s="15">
        <v>0.95833333333333304</v>
      </c>
      <c r="H378" s="167">
        <f t="shared" si="10"/>
        <v>5.1413881748071976E-4</v>
      </c>
      <c r="I378" s="167"/>
      <c r="J378" s="167"/>
    </row>
    <row r="379" spans="2:10" x14ac:dyDescent="0.25">
      <c r="B379" s="169">
        <f t="shared" si="11"/>
        <v>0.19228791773778905</v>
      </c>
      <c r="C379">
        <v>3656</v>
      </c>
      <c r="E379">
        <v>120</v>
      </c>
      <c r="F379">
        <v>115</v>
      </c>
      <c r="G379" s="15">
        <v>0.95833333333333304</v>
      </c>
      <c r="H379" s="167">
        <f t="shared" si="10"/>
        <v>5.1413881748071976E-4</v>
      </c>
      <c r="I379" s="167"/>
      <c r="J379" s="167"/>
    </row>
    <row r="380" spans="2:10" x14ac:dyDescent="0.25">
      <c r="B380" s="169">
        <f t="shared" si="11"/>
        <v>0.19280205655526977</v>
      </c>
      <c r="C380">
        <v>4770</v>
      </c>
      <c r="E380">
        <v>35</v>
      </c>
      <c r="F380">
        <v>34</v>
      </c>
      <c r="G380" s="15">
        <v>0.97142857142857097</v>
      </c>
      <c r="H380" s="167">
        <f t="shared" si="10"/>
        <v>5.1413881748071976E-4</v>
      </c>
      <c r="I380" s="167"/>
      <c r="J380" s="167"/>
    </row>
    <row r="381" spans="2:10" x14ac:dyDescent="0.25">
      <c r="B381" s="169">
        <f t="shared" si="11"/>
        <v>0.19331619537275049</v>
      </c>
      <c r="C381">
        <v>4788</v>
      </c>
      <c r="E381">
        <v>36</v>
      </c>
      <c r="F381">
        <v>35</v>
      </c>
      <c r="G381" s="15">
        <v>0.97222222222222199</v>
      </c>
      <c r="H381" s="167">
        <f t="shared" si="10"/>
        <v>5.1413881748071976E-4</v>
      </c>
      <c r="I381" s="167"/>
      <c r="J381" s="167"/>
    </row>
    <row r="382" spans="2:10" x14ac:dyDescent="0.25">
      <c r="B382" s="169">
        <f t="shared" si="11"/>
        <v>0.19383033419023121</v>
      </c>
      <c r="C382">
        <v>1915</v>
      </c>
      <c r="E382">
        <v>72</v>
      </c>
      <c r="F382">
        <v>70</v>
      </c>
      <c r="G382" s="15">
        <v>0.97222222222222199</v>
      </c>
      <c r="H382" s="167">
        <f t="shared" si="10"/>
        <v>5.1413881748071976E-4</v>
      </c>
      <c r="I382" s="167"/>
      <c r="J382" s="167"/>
    </row>
    <row r="383" spans="2:10" x14ac:dyDescent="0.25">
      <c r="B383" s="169">
        <f t="shared" si="11"/>
        <v>0.19434447300771193</v>
      </c>
      <c r="C383">
        <v>3922</v>
      </c>
      <c r="E383">
        <v>40</v>
      </c>
      <c r="F383">
        <v>39</v>
      </c>
      <c r="G383" s="15">
        <v>0.97499999999999998</v>
      </c>
      <c r="H383" s="167">
        <f t="shared" si="10"/>
        <v>5.1413881748071976E-4</v>
      </c>
      <c r="I383" s="167"/>
      <c r="J383" s="167"/>
    </row>
    <row r="384" spans="2:10" x14ac:dyDescent="0.25">
      <c r="B384" s="169">
        <f t="shared" si="11"/>
        <v>0.19485861182519265</v>
      </c>
      <c r="C384">
        <v>5612</v>
      </c>
      <c r="E384">
        <v>44</v>
      </c>
      <c r="F384">
        <v>43</v>
      </c>
      <c r="G384" s="15">
        <v>0.97727272727272696</v>
      </c>
      <c r="H384" s="167">
        <f t="shared" si="10"/>
        <v>5.1413881748071976E-4</v>
      </c>
      <c r="I384" s="167"/>
      <c r="J384" s="167"/>
    </row>
    <row r="385" spans="2:10" x14ac:dyDescent="0.25">
      <c r="B385" s="169">
        <f t="shared" si="11"/>
        <v>0.19537275064267337</v>
      </c>
      <c r="C385">
        <v>6106</v>
      </c>
      <c r="E385">
        <v>177</v>
      </c>
      <c r="F385">
        <v>173</v>
      </c>
      <c r="G385" s="15">
        <v>0.97740112994350303</v>
      </c>
      <c r="H385" s="167">
        <f t="shared" si="10"/>
        <v>5.1413881748071976E-4</v>
      </c>
      <c r="I385" s="167"/>
      <c r="J385" s="167"/>
    </row>
    <row r="386" spans="2:10" x14ac:dyDescent="0.25">
      <c r="B386" s="169">
        <f t="shared" si="11"/>
        <v>0.19588688946015409</v>
      </c>
      <c r="C386">
        <v>6482</v>
      </c>
      <c r="E386">
        <v>78</v>
      </c>
      <c r="F386">
        <v>77</v>
      </c>
      <c r="G386" s="15">
        <v>0.987179487179487</v>
      </c>
      <c r="H386" s="167">
        <f t="shared" si="10"/>
        <v>5.1413881748071976E-4</v>
      </c>
      <c r="I386" s="167"/>
      <c r="J386" s="167"/>
    </row>
    <row r="387" spans="2:10" x14ac:dyDescent="0.25">
      <c r="B387" s="169">
        <f t="shared" si="11"/>
        <v>0.19640102827763481</v>
      </c>
      <c r="C387">
        <v>6483</v>
      </c>
      <c r="E387">
        <v>81</v>
      </c>
      <c r="F387">
        <v>80</v>
      </c>
      <c r="G387" s="15">
        <v>0.98765432098765404</v>
      </c>
      <c r="H387" s="167">
        <f t="shared" si="10"/>
        <v>5.1413881748071976E-4</v>
      </c>
      <c r="I387" s="167"/>
      <c r="J387" s="167"/>
    </row>
    <row r="388" spans="2:10" x14ac:dyDescent="0.25">
      <c r="B388" s="169">
        <f t="shared" si="11"/>
        <v>0.19691516709511553</v>
      </c>
      <c r="C388">
        <v>6115</v>
      </c>
      <c r="E388">
        <v>89</v>
      </c>
      <c r="F388">
        <v>88</v>
      </c>
      <c r="G388" s="15">
        <v>0.98876404494381998</v>
      </c>
      <c r="H388" s="167">
        <f t="shared" si="10"/>
        <v>5.1413881748071976E-4</v>
      </c>
      <c r="I388" s="167"/>
      <c r="J388" s="167"/>
    </row>
    <row r="389" spans="2:10" x14ac:dyDescent="0.25">
      <c r="B389" s="169">
        <f t="shared" si="11"/>
        <v>0.19742930591259625</v>
      </c>
      <c r="C389">
        <v>6471</v>
      </c>
      <c r="E389">
        <v>30</v>
      </c>
      <c r="F389">
        <v>30</v>
      </c>
      <c r="G389" s="15">
        <v>1</v>
      </c>
      <c r="H389" s="167">
        <f t="shared" si="10"/>
        <v>5.1413881748071976E-4</v>
      </c>
      <c r="I389" s="167"/>
      <c r="J389" s="167"/>
    </row>
    <row r="390" spans="2:10" x14ac:dyDescent="0.25">
      <c r="B390" s="169">
        <f t="shared" si="11"/>
        <v>0.19794344473007697</v>
      </c>
      <c r="C390">
        <v>6847</v>
      </c>
      <c r="E390">
        <v>18</v>
      </c>
      <c r="F390">
        <v>18</v>
      </c>
      <c r="G390" s="15">
        <v>1</v>
      </c>
      <c r="H390" s="167">
        <f t="shared" ref="H390:H453" si="12">1/$L$6</f>
        <v>5.1413881748071976E-4</v>
      </c>
      <c r="I390" s="167"/>
      <c r="J390" s="167"/>
    </row>
    <row r="391" spans="2:10" x14ac:dyDescent="0.25">
      <c r="B391" s="169">
        <f t="shared" ref="B391:B454" si="13">B390+H391</f>
        <v>0.19845758354755769</v>
      </c>
      <c r="C391">
        <v>5445</v>
      </c>
      <c r="E391">
        <v>1</v>
      </c>
      <c r="F391">
        <v>1</v>
      </c>
      <c r="G391" s="15">
        <v>1</v>
      </c>
      <c r="H391" s="167">
        <f t="shared" si="12"/>
        <v>5.1413881748071976E-4</v>
      </c>
      <c r="I391" s="167"/>
      <c r="J391" s="167"/>
    </row>
    <row r="392" spans="2:10" x14ac:dyDescent="0.25">
      <c r="B392" s="169">
        <f t="shared" si="13"/>
        <v>0.19897172236503841</v>
      </c>
      <c r="C392">
        <v>2088</v>
      </c>
      <c r="E392">
        <v>15</v>
      </c>
      <c r="F392">
        <v>15</v>
      </c>
      <c r="G392" s="15">
        <v>1</v>
      </c>
      <c r="H392" s="167">
        <f t="shared" si="12"/>
        <v>5.1413881748071976E-4</v>
      </c>
      <c r="I392" s="167"/>
      <c r="J392" s="167"/>
    </row>
    <row r="393" spans="2:10" x14ac:dyDescent="0.25">
      <c r="B393" s="169">
        <f t="shared" si="13"/>
        <v>0.19948586118251913</v>
      </c>
      <c r="C393">
        <v>2089</v>
      </c>
      <c r="E393">
        <v>30</v>
      </c>
      <c r="F393">
        <v>30</v>
      </c>
      <c r="G393" s="15">
        <v>1</v>
      </c>
      <c r="H393" s="167">
        <f t="shared" si="12"/>
        <v>5.1413881748071976E-4</v>
      </c>
      <c r="I393" s="167"/>
      <c r="J393" s="167"/>
    </row>
    <row r="394" spans="2:10" x14ac:dyDescent="0.25">
      <c r="B394" s="169">
        <f t="shared" si="13"/>
        <v>0.19999999999999984</v>
      </c>
      <c r="C394">
        <v>2090</v>
      </c>
      <c r="E394">
        <v>200</v>
      </c>
      <c r="F394">
        <v>200</v>
      </c>
      <c r="G394" s="15">
        <v>1</v>
      </c>
      <c r="H394" s="167">
        <f t="shared" si="12"/>
        <v>5.1413881748071976E-4</v>
      </c>
      <c r="I394" s="167"/>
      <c r="J394" s="167"/>
    </row>
    <row r="395" spans="2:10" x14ac:dyDescent="0.25">
      <c r="B395" s="169">
        <f t="shared" si="13"/>
        <v>0.20051413881748056</v>
      </c>
      <c r="C395">
        <v>756</v>
      </c>
      <c r="E395">
        <v>4</v>
      </c>
      <c r="F395">
        <v>4</v>
      </c>
      <c r="G395" s="15">
        <v>1</v>
      </c>
      <c r="H395" s="167">
        <f t="shared" si="12"/>
        <v>5.1413881748071976E-4</v>
      </c>
      <c r="I395" s="167"/>
      <c r="J395" s="167"/>
    </row>
    <row r="396" spans="2:10" x14ac:dyDescent="0.25">
      <c r="B396" s="169">
        <f t="shared" si="13"/>
        <v>0.20102827763496128</v>
      </c>
      <c r="C396">
        <v>757</v>
      </c>
      <c r="E396">
        <v>21</v>
      </c>
      <c r="F396">
        <v>21</v>
      </c>
      <c r="G396" s="15">
        <v>1</v>
      </c>
      <c r="H396" s="167">
        <f t="shared" si="12"/>
        <v>5.1413881748071976E-4</v>
      </c>
      <c r="I396" s="167"/>
      <c r="J396" s="167"/>
    </row>
    <row r="397" spans="2:10" x14ac:dyDescent="0.25">
      <c r="B397" s="169">
        <f t="shared" si="13"/>
        <v>0.201542416452442</v>
      </c>
      <c r="C397">
        <v>774</v>
      </c>
      <c r="E397">
        <v>4</v>
      </c>
      <c r="F397">
        <v>4</v>
      </c>
      <c r="G397" s="15">
        <v>1</v>
      </c>
      <c r="H397" s="167">
        <f t="shared" si="12"/>
        <v>5.1413881748071976E-4</v>
      </c>
      <c r="I397" s="167"/>
      <c r="J397" s="167"/>
    </row>
    <row r="398" spans="2:10" x14ac:dyDescent="0.25">
      <c r="B398" s="169">
        <f t="shared" si="13"/>
        <v>0.20205655526992272</v>
      </c>
      <c r="C398">
        <v>775</v>
      </c>
      <c r="E398">
        <v>12</v>
      </c>
      <c r="F398">
        <v>12</v>
      </c>
      <c r="G398" s="15">
        <v>1</v>
      </c>
      <c r="H398" s="167">
        <f t="shared" si="12"/>
        <v>5.1413881748071976E-4</v>
      </c>
      <c r="I398" s="167"/>
      <c r="J398" s="167"/>
    </row>
    <row r="399" spans="2:10" x14ac:dyDescent="0.25">
      <c r="B399" s="169">
        <f t="shared" si="13"/>
        <v>0.20257069408740344</v>
      </c>
      <c r="C399">
        <v>776</v>
      </c>
      <c r="E399">
        <v>4</v>
      </c>
      <c r="F399">
        <v>4</v>
      </c>
      <c r="G399" s="15">
        <v>1</v>
      </c>
      <c r="H399" s="167">
        <f t="shared" si="12"/>
        <v>5.1413881748071976E-4</v>
      </c>
      <c r="I399" s="167"/>
      <c r="J399" s="167"/>
    </row>
    <row r="400" spans="2:10" x14ac:dyDescent="0.25">
      <c r="B400" s="169">
        <f t="shared" si="13"/>
        <v>0.20308483290488416</v>
      </c>
      <c r="C400">
        <v>780</v>
      </c>
      <c r="E400">
        <v>34</v>
      </c>
      <c r="F400">
        <v>34</v>
      </c>
      <c r="G400" s="15">
        <v>1</v>
      </c>
      <c r="H400" s="167">
        <f t="shared" si="12"/>
        <v>5.1413881748071976E-4</v>
      </c>
      <c r="I400" s="167"/>
      <c r="J400" s="167"/>
    </row>
    <row r="401" spans="2:10" x14ac:dyDescent="0.25">
      <c r="B401" s="169">
        <f t="shared" si="13"/>
        <v>0.20359897172236488</v>
      </c>
      <c r="C401">
        <v>936</v>
      </c>
      <c r="E401">
        <v>2</v>
      </c>
      <c r="F401">
        <v>2</v>
      </c>
      <c r="G401" s="15">
        <v>1</v>
      </c>
      <c r="H401" s="167">
        <f t="shared" si="12"/>
        <v>5.1413881748071976E-4</v>
      </c>
      <c r="I401" s="167"/>
      <c r="J401" s="167"/>
    </row>
    <row r="402" spans="2:10" x14ac:dyDescent="0.25">
      <c r="B402" s="169">
        <f t="shared" si="13"/>
        <v>0.2041131105398456</v>
      </c>
      <c r="C402">
        <v>781</v>
      </c>
      <c r="E402">
        <v>7</v>
      </c>
      <c r="F402">
        <v>7</v>
      </c>
      <c r="G402" s="15">
        <v>1</v>
      </c>
      <c r="H402" s="167">
        <f t="shared" si="12"/>
        <v>5.1413881748071976E-4</v>
      </c>
      <c r="I402" s="167"/>
      <c r="J402" s="167"/>
    </row>
    <row r="403" spans="2:10" x14ac:dyDescent="0.25">
      <c r="B403" s="169">
        <f t="shared" si="13"/>
        <v>0.20462724935732632</v>
      </c>
      <c r="C403">
        <v>785</v>
      </c>
      <c r="E403">
        <v>22</v>
      </c>
      <c r="F403">
        <v>22</v>
      </c>
      <c r="G403" s="15">
        <v>1</v>
      </c>
      <c r="H403" s="167">
        <f t="shared" si="12"/>
        <v>5.1413881748071976E-4</v>
      </c>
      <c r="I403" s="167"/>
      <c r="J403" s="167"/>
    </row>
    <row r="404" spans="2:10" x14ac:dyDescent="0.25">
      <c r="B404" s="169">
        <f t="shared" si="13"/>
        <v>0.20514138817480704</v>
      </c>
      <c r="C404">
        <v>2126</v>
      </c>
      <c r="E404">
        <v>1</v>
      </c>
      <c r="F404">
        <v>1</v>
      </c>
      <c r="G404" s="15">
        <v>1</v>
      </c>
      <c r="H404" s="167">
        <f t="shared" si="12"/>
        <v>5.1413881748071976E-4</v>
      </c>
      <c r="I404" s="167"/>
      <c r="J404" s="167"/>
    </row>
    <row r="405" spans="2:10" x14ac:dyDescent="0.25">
      <c r="B405" s="169">
        <f t="shared" si="13"/>
        <v>0.20565552699228776</v>
      </c>
      <c r="C405">
        <v>2127</v>
      </c>
      <c r="E405">
        <v>230</v>
      </c>
      <c r="F405">
        <v>230</v>
      </c>
      <c r="G405" s="15">
        <v>1</v>
      </c>
      <c r="H405" s="167">
        <f t="shared" si="12"/>
        <v>5.1413881748071976E-4</v>
      </c>
      <c r="I405" s="167"/>
      <c r="J405" s="167"/>
    </row>
    <row r="406" spans="2:10" x14ac:dyDescent="0.25">
      <c r="B406" s="169">
        <f t="shared" si="13"/>
        <v>0.20616966580976848</v>
      </c>
      <c r="C406">
        <v>2129</v>
      </c>
      <c r="E406">
        <v>121</v>
      </c>
      <c r="F406">
        <v>121</v>
      </c>
      <c r="G406" s="15">
        <v>1</v>
      </c>
      <c r="H406" s="167">
        <f t="shared" si="12"/>
        <v>5.1413881748071976E-4</v>
      </c>
      <c r="I406" s="167"/>
      <c r="J406" s="167"/>
    </row>
    <row r="407" spans="2:10" x14ac:dyDescent="0.25">
      <c r="B407" s="169">
        <f t="shared" si="13"/>
        <v>0.2066838046272492</v>
      </c>
      <c r="C407">
        <v>786</v>
      </c>
      <c r="E407">
        <v>12</v>
      </c>
      <c r="F407">
        <v>12</v>
      </c>
      <c r="G407" s="15">
        <v>1</v>
      </c>
      <c r="H407" s="167">
        <f t="shared" si="12"/>
        <v>5.1413881748071976E-4</v>
      </c>
      <c r="I407" s="167"/>
      <c r="J407" s="167"/>
    </row>
    <row r="408" spans="2:10" x14ac:dyDescent="0.25">
      <c r="B408" s="169">
        <f t="shared" si="13"/>
        <v>0.20719794344472992</v>
      </c>
      <c r="C408">
        <v>2075</v>
      </c>
      <c r="E408">
        <v>135</v>
      </c>
      <c r="F408">
        <v>135</v>
      </c>
      <c r="G408" s="15">
        <v>1</v>
      </c>
      <c r="H408" s="167">
        <f t="shared" si="12"/>
        <v>5.1413881748071976E-4</v>
      </c>
      <c r="I408" s="167"/>
      <c r="J408" s="167"/>
    </row>
    <row r="409" spans="2:10" x14ac:dyDescent="0.25">
      <c r="B409" s="169">
        <f t="shared" si="13"/>
        <v>0.20771208226221063</v>
      </c>
      <c r="C409">
        <v>787</v>
      </c>
      <c r="E409">
        <v>1</v>
      </c>
      <c r="F409">
        <v>1</v>
      </c>
      <c r="G409" s="15">
        <v>1</v>
      </c>
      <c r="H409" s="167">
        <f t="shared" si="12"/>
        <v>5.1413881748071976E-4</v>
      </c>
      <c r="I409" s="167"/>
      <c r="J409" s="167"/>
    </row>
    <row r="410" spans="2:10" x14ac:dyDescent="0.25">
      <c r="B410" s="169">
        <f t="shared" si="13"/>
        <v>0.20822622107969135</v>
      </c>
      <c r="C410">
        <v>790</v>
      </c>
      <c r="E410">
        <v>14</v>
      </c>
      <c r="F410">
        <v>14</v>
      </c>
      <c r="G410" s="15">
        <v>1</v>
      </c>
      <c r="H410" s="167">
        <f t="shared" si="12"/>
        <v>5.1413881748071976E-4</v>
      </c>
      <c r="I410" s="167"/>
      <c r="J410" s="167"/>
    </row>
    <row r="411" spans="2:10" x14ac:dyDescent="0.25">
      <c r="B411" s="169">
        <f t="shared" si="13"/>
        <v>0.20874035989717207</v>
      </c>
      <c r="C411">
        <v>791</v>
      </c>
      <c r="E411">
        <v>5</v>
      </c>
      <c r="F411">
        <v>5</v>
      </c>
      <c r="G411" s="15">
        <v>1</v>
      </c>
      <c r="H411" s="167">
        <f t="shared" si="12"/>
        <v>5.1413881748071976E-4</v>
      </c>
      <c r="I411" s="167"/>
      <c r="J411" s="167"/>
    </row>
    <row r="412" spans="2:10" x14ac:dyDescent="0.25">
      <c r="B412" s="169">
        <f t="shared" si="13"/>
        <v>0.20925449871465279</v>
      </c>
      <c r="C412">
        <v>2059</v>
      </c>
      <c r="E412">
        <v>3</v>
      </c>
      <c r="F412">
        <v>3</v>
      </c>
      <c r="G412" s="15">
        <v>1</v>
      </c>
      <c r="H412" s="167">
        <f t="shared" si="12"/>
        <v>5.1413881748071976E-4</v>
      </c>
      <c r="I412" s="167"/>
      <c r="J412" s="167"/>
    </row>
    <row r="413" spans="2:10" x14ac:dyDescent="0.25">
      <c r="B413" s="169">
        <f t="shared" si="13"/>
        <v>0.20976863753213351</v>
      </c>
      <c r="C413">
        <v>2060</v>
      </c>
      <c r="E413">
        <v>20</v>
      </c>
      <c r="F413">
        <v>20</v>
      </c>
      <c r="G413" s="15">
        <v>1</v>
      </c>
      <c r="H413" s="167">
        <f t="shared" si="12"/>
        <v>5.1413881748071976E-4</v>
      </c>
      <c r="I413" s="167"/>
      <c r="J413" s="167"/>
    </row>
    <row r="414" spans="2:10" x14ac:dyDescent="0.25">
      <c r="B414" s="169">
        <f t="shared" si="13"/>
        <v>0.21028277634961423</v>
      </c>
      <c r="C414">
        <v>792</v>
      </c>
      <c r="E414">
        <v>1</v>
      </c>
      <c r="F414">
        <v>1</v>
      </c>
      <c r="G414" s="15">
        <v>1</v>
      </c>
      <c r="H414" s="167">
        <f t="shared" si="12"/>
        <v>5.1413881748071976E-4</v>
      </c>
      <c r="I414" s="167"/>
      <c r="J414" s="167"/>
    </row>
    <row r="415" spans="2:10" x14ac:dyDescent="0.25">
      <c r="B415" s="169">
        <f t="shared" si="13"/>
        <v>0.21079691516709495</v>
      </c>
      <c r="C415">
        <v>2091</v>
      </c>
      <c r="E415">
        <v>5</v>
      </c>
      <c r="F415">
        <v>5</v>
      </c>
      <c r="G415" s="15">
        <v>1</v>
      </c>
      <c r="H415" s="167">
        <f t="shared" si="12"/>
        <v>5.1413881748071976E-4</v>
      </c>
      <c r="I415" s="167"/>
      <c r="J415" s="167"/>
    </row>
    <row r="416" spans="2:10" x14ac:dyDescent="0.25">
      <c r="B416" s="169">
        <f t="shared" si="13"/>
        <v>0.21131105398457567</v>
      </c>
      <c r="C416">
        <v>795</v>
      </c>
      <c r="E416">
        <v>25</v>
      </c>
      <c r="F416">
        <v>25</v>
      </c>
      <c r="G416" s="15">
        <v>1</v>
      </c>
      <c r="H416" s="167">
        <f t="shared" si="12"/>
        <v>5.1413881748071976E-4</v>
      </c>
      <c r="I416" s="167"/>
      <c r="J416" s="167"/>
    </row>
    <row r="417" spans="2:10" x14ac:dyDescent="0.25">
      <c r="B417" s="169">
        <f t="shared" si="13"/>
        <v>0.21182519280205639</v>
      </c>
      <c r="C417">
        <v>2092</v>
      </c>
      <c r="E417">
        <v>3</v>
      </c>
      <c r="F417">
        <v>3</v>
      </c>
      <c r="G417" s="15">
        <v>1</v>
      </c>
      <c r="H417" s="167">
        <f t="shared" si="12"/>
        <v>5.1413881748071976E-4</v>
      </c>
      <c r="I417" s="167"/>
      <c r="J417" s="167"/>
    </row>
    <row r="418" spans="2:10" x14ac:dyDescent="0.25">
      <c r="B418" s="169">
        <f t="shared" si="13"/>
        <v>0.21233933161953711</v>
      </c>
      <c r="C418">
        <v>493</v>
      </c>
      <c r="E418">
        <v>72</v>
      </c>
      <c r="F418">
        <v>72</v>
      </c>
      <c r="G418" s="15">
        <v>1</v>
      </c>
      <c r="H418" s="167">
        <f t="shared" si="12"/>
        <v>5.1413881748071976E-4</v>
      </c>
      <c r="I418" s="167"/>
      <c r="J418" s="167"/>
    </row>
    <row r="419" spans="2:10" x14ac:dyDescent="0.25">
      <c r="B419" s="169">
        <f t="shared" si="13"/>
        <v>0.21285347043701783</v>
      </c>
      <c r="C419">
        <v>2061</v>
      </c>
      <c r="E419">
        <v>88</v>
      </c>
      <c r="F419">
        <v>88</v>
      </c>
      <c r="G419" s="15">
        <v>1</v>
      </c>
      <c r="H419" s="167">
        <f t="shared" si="12"/>
        <v>5.1413881748071976E-4</v>
      </c>
      <c r="I419" s="167"/>
      <c r="J419" s="167"/>
    </row>
    <row r="420" spans="2:10" x14ac:dyDescent="0.25">
      <c r="B420" s="169">
        <f t="shared" si="13"/>
        <v>0.21336760925449855</v>
      </c>
      <c r="C420">
        <v>2103</v>
      </c>
      <c r="E420">
        <v>5</v>
      </c>
      <c r="F420">
        <v>5</v>
      </c>
      <c r="G420" s="15">
        <v>1</v>
      </c>
      <c r="H420" s="167">
        <f t="shared" si="12"/>
        <v>5.1413881748071976E-4</v>
      </c>
      <c r="I420" s="167"/>
      <c r="J420" s="167"/>
    </row>
    <row r="421" spans="2:10" x14ac:dyDescent="0.25">
      <c r="B421" s="169">
        <f t="shared" si="13"/>
        <v>0.21388174807197927</v>
      </c>
      <c r="C421">
        <v>2104</v>
      </c>
      <c r="E421">
        <v>20</v>
      </c>
      <c r="F421">
        <v>20</v>
      </c>
      <c r="G421" s="15">
        <v>1</v>
      </c>
      <c r="H421" s="167">
        <f t="shared" si="12"/>
        <v>5.1413881748071976E-4</v>
      </c>
      <c r="I421" s="167"/>
      <c r="J421" s="167"/>
    </row>
    <row r="422" spans="2:10" x14ac:dyDescent="0.25">
      <c r="B422" s="169">
        <f t="shared" si="13"/>
        <v>0.21439588688945999</v>
      </c>
      <c r="C422">
        <v>941</v>
      </c>
      <c r="E422">
        <v>21</v>
      </c>
      <c r="F422">
        <v>21</v>
      </c>
      <c r="G422" s="15">
        <v>1</v>
      </c>
      <c r="H422" s="167">
        <f t="shared" si="12"/>
        <v>5.1413881748071976E-4</v>
      </c>
      <c r="I422" s="167"/>
      <c r="J422" s="167"/>
    </row>
    <row r="423" spans="2:10" x14ac:dyDescent="0.25">
      <c r="B423" s="169">
        <f t="shared" si="13"/>
        <v>0.2149100257069407</v>
      </c>
      <c r="C423">
        <v>2071</v>
      </c>
      <c r="E423">
        <v>15</v>
      </c>
      <c r="F423">
        <v>15</v>
      </c>
      <c r="G423" s="15">
        <v>1</v>
      </c>
      <c r="H423" s="167">
        <f t="shared" si="12"/>
        <v>5.1413881748071976E-4</v>
      </c>
      <c r="I423" s="167"/>
      <c r="J423" s="167"/>
    </row>
    <row r="424" spans="2:10" x14ac:dyDescent="0.25">
      <c r="B424" s="169">
        <f t="shared" si="13"/>
        <v>0.21542416452442142</v>
      </c>
      <c r="C424">
        <v>2073</v>
      </c>
      <c r="E424">
        <v>10</v>
      </c>
      <c r="F424">
        <v>10</v>
      </c>
      <c r="G424" s="15">
        <v>1</v>
      </c>
      <c r="H424" s="167">
        <f t="shared" si="12"/>
        <v>5.1413881748071976E-4</v>
      </c>
      <c r="I424" s="167"/>
      <c r="J424" s="167"/>
    </row>
    <row r="425" spans="2:10" x14ac:dyDescent="0.25">
      <c r="B425" s="169">
        <f t="shared" si="13"/>
        <v>0.21593830334190214</v>
      </c>
      <c r="C425">
        <v>2077</v>
      </c>
      <c r="E425">
        <v>10</v>
      </c>
      <c r="F425">
        <v>10</v>
      </c>
      <c r="G425" s="15">
        <v>1</v>
      </c>
      <c r="H425" s="167">
        <f t="shared" si="12"/>
        <v>5.1413881748071976E-4</v>
      </c>
      <c r="I425" s="167"/>
      <c r="J425" s="167"/>
    </row>
    <row r="426" spans="2:10" x14ac:dyDescent="0.25">
      <c r="B426" s="169">
        <f t="shared" si="13"/>
        <v>0.21645244215938286</v>
      </c>
      <c r="C426">
        <v>2079</v>
      </c>
      <c r="E426">
        <v>10</v>
      </c>
      <c r="F426">
        <v>10</v>
      </c>
      <c r="G426" s="15">
        <v>1</v>
      </c>
      <c r="H426" s="167">
        <f t="shared" si="12"/>
        <v>5.1413881748071976E-4</v>
      </c>
      <c r="I426" s="167"/>
      <c r="J426" s="167"/>
    </row>
    <row r="427" spans="2:10" x14ac:dyDescent="0.25">
      <c r="B427" s="169">
        <f t="shared" si="13"/>
        <v>0.21696658097686358</v>
      </c>
      <c r="C427">
        <v>2081</v>
      </c>
      <c r="E427">
        <v>10</v>
      </c>
      <c r="F427">
        <v>10</v>
      </c>
      <c r="G427" s="15">
        <v>1</v>
      </c>
      <c r="H427" s="167">
        <f t="shared" si="12"/>
        <v>5.1413881748071976E-4</v>
      </c>
      <c r="I427" s="167"/>
      <c r="J427" s="167"/>
    </row>
    <row r="428" spans="2:10" x14ac:dyDescent="0.25">
      <c r="B428" s="169">
        <f t="shared" si="13"/>
        <v>0.2174807197943443</v>
      </c>
      <c r="C428">
        <v>2083</v>
      </c>
      <c r="E428">
        <v>10</v>
      </c>
      <c r="F428">
        <v>10</v>
      </c>
      <c r="G428" s="15">
        <v>1</v>
      </c>
      <c r="H428" s="167">
        <f t="shared" si="12"/>
        <v>5.1413881748071976E-4</v>
      </c>
      <c r="I428" s="167"/>
      <c r="J428" s="167"/>
    </row>
    <row r="429" spans="2:10" x14ac:dyDescent="0.25">
      <c r="B429" s="169">
        <f t="shared" si="13"/>
        <v>0.21799485861182502</v>
      </c>
      <c r="C429">
        <v>2085</v>
      </c>
      <c r="E429">
        <v>81</v>
      </c>
      <c r="F429">
        <v>81</v>
      </c>
      <c r="G429" s="15">
        <v>1</v>
      </c>
      <c r="H429" s="167">
        <f t="shared" si="12"/>
        <v>5.1413881748071976E-4</v>
      </c>
      <c r="I429" s="167"/>
      <c r="J429" s="167"/>
    </row>
    <row r="430" spans="2:10" x14ac:dyDescent="0.25">
      <c r="B430" s="169">
        <f t="shared" si="13"/>
        <v>0.21850899742930574</v>
      </c>
      <c r="C430">
        <v>796</v>
      </c>
      <c r="E430">
        <v>9</v>
      </c>
      <c r="F430">
        <v>9</v>
      </c>
      <c r="G430" s="15">
        <v>1</v>
      </c>
      <c r="H430" s="167">
        <f t="shared" si="12"/>
        <v>5.1413881748071976E-4</v>
      </c>
      <c r="I430" s="167"/>
      <c r="J430" s="167"/>
    </row>
    <row r="431" spans="2:10" x14ac:dyDescent="0.25">
      <c r="B431" s="169">
        <f t="shared" si="13"/>
        <v>0.21902313624678646</v>
      </c>
      <c r="C431">
        <v>2107</v>
      </c>
      <c r="E431">
        <v>2</v>
      </c>
      <c r="F431">
        <v>2</v>
      </c>
      <c r="G431" s="15">
        <v>1</v>
      </c>
      <c r="H431" s="167">
        <f t="shared" si="12"/>
        <v>5.1413881748071976E-4</v>
      </c>
      <c r="I431" s="167"/>
      <c r="J431" s="167"/>
    </row>
    <row r="432" spans="2:10" x14ac:dyDescent="0.25">
      <c r="B432" s="169">
        <f t="shared" si="13"/>
        <v>0.21953727506426718</v>
      </c>
      <c r="C432">
        <v>943</v>
      </c>
      <c r="E432">
        <v>11</v>
      </c>
      <c r="F432">
        <v>11</v>
      </c>
      <c r="G432" s="15">
        <v>1</v>
      </c>
      <c r="H432" s="167">
        <f t="shared" si="12"/>
        <v>5.1413881748071976E-4</v>
      </c>
      <c r="I432" s="167"/>
      <c r="J432" s="167"/>
    </row>
    <row r="433" spans="2:10" x14ac:dyDescent="0.25">
      <c r="B433" s="169">
        <f t="shared" si="13"/>
        <v>0.2200514138817479</v>
      </c>
      <c r="C433">
        <v>2074</v>
      </c>
      <c r="E433">
        <v>30</v>
      </c>
      <c r="F433">
        <v>30</v>
      </c>
      <c r="G433" s="15">
        <v>1</v>
      </c>
      <c r="H433" s="167">
        <f t="shared" si="12"/>
        <v>5.1413881748071976E-4</v>
      </c>
      <c r="I433" s="167"/>
      <c r="J433" s="167"/>
    </row>
    <row r="434" spans="2:10" x14ac:dyDescent="0.25">
      <c r="B434" s="169">
        <f t="shared" si="13"/>
        <v>0.22056555269922862</v>
      </c>
      <c r="C434">
        <v>2078</v>
      </c>
      <c r="E434">
        <v>90</v>
      </c>
      <c r="F434">
        <v>90</v>
      </c>
      <c r="G434" s="15">
        <v>1</v>
      </c>
      <c r="H434" s="167">
        <f t="shared" si="12"/>
        <v>5.1413881748071976E-4</v>
      </c>
      <c r="I434" s="167"/>
      <c r="J434" s="167"/>
    </row>
    <row r="435" spans="2:10" x14ac:dyDescent="0.25">
      <c r="B435" s="169">
        <f t="shared" si="13"/>
        <v>0.22107969151670934</v>
      </c>
      <c r="C435">
        <v>2080</v>
      </c>
      <c r="E435">
        <v>125</v>
      </c>
      <c r="F435">
        <v>125</v>
      </c>
      <c r="G435" s="15">
        <v>1</v>
      </c>
      <c r="H435" s="167">
        <f t="shared" si="12"/>
        <v>5.1413881748071976E-4</v>
      </c>
      <c r="I435" s="167"/>
      <c r="J435" s="167"/>
    </row>
    <row r="436" spans="2:10" x14ac:dyDescent="0.25">
      <c r="B436" s="169">
        <f t="shared" si="13"/>
        <v>0.22159383033419006</v>
      </c>
      <c r="C436">
        <v>2082</v>
      </c>
      <c r="E436">
        <v>60</v>
      </c>
      <c r="F436">
        <v>60</v>
      </c>
      <c r="G436" s="15">
        <v>1</v>
      </c>
      <c r="H436" s="167">
        <f t="shared" si="12"/>
        <v>5.1413881748071976E-4</v>
      </c>
      <c r="I436" s="167"/>
      <c r="J436" s="167"/>
    </row>
    <row r="437" spans="2:10" x14ac:dyDescent="0.25">
      <c r="B437" s="169">
        <f t="shared" si="13"/>
        <v>0.22210796915167078</v>
      </c>
      <c r="C437">
        <v>2084</v>
      </c>
      <c r="E437">
        <v>60</v>
      </c>
      <c r="F437">
        <v>60</v>
      </c>
      <c r="G437" s="15">
        <v>1</v>
      </c>
      <c r="H437" s="167">
        <f t="shared" si="12"/>
        <v>5.1413881748071976E-4</v>
      </c>
      <c r="I437" s="167"/>
      <c r="J437" s="167"/>
    </row>
    <row r="438" spans="2:10" x14ac:dyDescent="0.25">
      <c r="B438" s="169">
        <f t="shared" si="13"/>
        <v>0.22262210796915149</v>
      </c>
      <c r="C438">
        <v>2108</v>
      </c>
      <c r="E438">
        <v>3</v>
      </c>
      <c r="F438">
        <v>3</v>
      </c>
      <c r="G438" s="15">
        <v>1</v>
      </c>
      <c r="H438" s="167">
        <f t="shared" si="12"/>
        <v>5.1413881748071976E-4</v>
      </c>
      <c r="I438" s="167"/>
      <c r="J438" s="167"/>
    </row>
    <row r="439" spans="2:10" x14ac:dyDescent="0.25">
      <c r="B439" s="169">
        <f t="shared" si="13"/>
        <v>0.22313624678663221</v>
      </c>
      <c r="C439">
        <v>2109</v>
      </c>
      <c r="E439">
        <v>3</v>
      </c>
      <c r="F439">
        <v>3</v>
      </c>
      <c r="G439" s="15">
        <v>1</v>
      </c>
      <c r="H439" s="167">
        <f t="shared" si="12"/>
        <v>5.1413881748071976E-4</v>
      </c>
      <c r="I439" s="167"/>
      <c r="J439" s="167"/>
    </row>
    <row r="440" spans="2:10" x14ac:dyDescent="0.25">
      <c r="B440" s="169">
        <f t="shared" si="13"/>
        <v>0.22365038560411293</v>
      </c>
      <c r="C440">
        <v>2072</v>
      </c>
      <c r="E440">
        <v>70</v>
      </c>
      <c r="F440">
        <v>70</v>
      </c>
      <c r="G440" s="15">
        <v>1</v>
      </c>
      <c r="H440" s="167">
        <f t="shared" si="12"/>
        <v>5.1413881748071976E-4</v>
      </c>
      <c r="I440" s="167"/>
      <c r="J440" s="167"/>
    </row>
    <row r="441" spans="2:10" x14ac:dyDescent="0.25">
      <c r="B441" s="169">
        <f t="shared" si="13"/>
        <v>0.22416452442159365</v>
      </c>
      <c r="C441">
        <v>2110</v>
      </c>
      <c r="E441">
        <v>4</v>
      </c>
      <c r="F441">
        <v>4</v>
      </c>
      <c r="G441" s="15">
        <v>1</v>
      </c>
      <c r="H441" s="167">
        <f t="shared" si="12"/>
        <v>5.1413881748071976E-4</v>
      </c>
      <c r="I441" s="167"/>
      <c r="J441" s="167"/>
    </row>
    <row r="442" spans="2:10" x14ac:dyDescent="0.25">
      <c r="B442" s="169">
        <f t="shared" si="13"/>
        <v>0.22467866323907437</v>
      </c>
      <c r="C442">
        <v>1977</v>
      </c>
      <c r="E442">
        <v>5</v>
      </c>
      <c r="F442">
        <v>5</v>
      </c>
      <c r="G442" s="15">
        <v>1</v>
      </c>
      <c r="H442" s="167">
        <f t="shared" si="12"/>
        <v>5.1413881748071976E-4</v>
      </c>
      <c r="I442" s="167"/>
      <c r="J442" s="167"/>
    </row>
    <row r="443" spans="2:10" x14ac:dyDescent="0.25">
      <c r="B443" s="169">
        <f t="shared" si="13"/>
        <v>0.22519280205655509</v>
      </c>
      <c r="C443">
        <v>1982</v>
      </c>
      <c r="E443">
        <v>10</v>
      </c>
      <c r="F443">
        <v>10</v>
      </c>
      <c r="G443" s="15">
        <v>1</v>
      </c>
      <c r="H443" s="167">
        <f t="shared" si="12"/>
        <v>5.1413881748071976E-4</v>
      </c>
      <c r="I443" s="167"/>
      <c r="J443" s="167"/>
    </row>
    <row r="444" spans="2:10" x14ac:dyDescent="0.25">
      <c r="B444" s="169">
        <f t="shared" si="13"/>
        <v>0.22570694087403581</v>
      </c>
      <c r="C444">
        <v>2111</v>
      </c>
      <c r="E444">
        <v>2</v>
      </c>
      <c r="F444">
        <v>2</v>
      </c>
      <c r="G444" s="15">
        <v>1</v>
      </c>
      <c r="H444" s="167">
        <f t="shared" si="12"/>
        <v>5.1413881748071976E-4</v>
      </c>
      <c r="I444" s="167"/>
      <c r="J444" s="167"/>
    </row>
    <row r="445" spans="2:10" x14ac:dyDescent="0.25">
      <c r="B445" s="169">
        <f t="shared" si="13"/>
        <v>0.22622107969151653</v>
      </c>
      <c r="C445">
        <v>1978</v>
      </c>
      <c r="E445">
        <v>10</v>
      </c>
      <c r="F445">
        <v>10</v>
      </c>
      <c r="G445" s="15">
        <v>1</v>
      </c>
      <c r="H445" s="167">
        <f t="shared" si="12"/>
        <v>5.1413881748071976E-4</v>
      </c>
      <c r="I445" s="167"/>
      <c r="J445" s="167"/>
    </row>
    <row r="446" spans="2:10" x14ac:dyDescent="0.25">
      <c r="B446" s="169">
        <f t="shared" si="13"/>
        <v>0.22673521850899725</v>
      </c>
      <c r="C446">
        <v>797</v>
      </c>
      <c r="E446">
        <v>6</v>
      </c>
      <c r="F446">
        <v>6</v>
      </c>
      <c r="G446" s="15">
        <v>1</v>
      </c>
      <c r="H446" s="167">
        <f t="shared" si="12"/>
        <v>5.1413881748071976E-4</v>
      </c>
      <c r="I446" s="167"/>
      <c r="J446" s="167"/>
    </row>
    <row r="447" spans="2:10" x14ac:dyDescent="0.25">
      <c r="B447" s="169">
        <f t="shared" si="13"/>
        <v>0.22724935732647797</v>
      </c>
      <c r="C447">
        <v>1983</v>
      </c>
      <c r="E447">
        <v>20</v>
      </c>
      <c r="F447">
        <v>20</v>
      </c>
      <c r="G447" s="15">
        <v>1</v>
      </c>
      <c r="H447" s="167">
        <f t="shared" si="12"/>
        <v>5.1413881748071976E-4</v>
      </c>
      <c r="I447" s="167"/>
      <c r="J447" s="167"/>
    </row>
    <row r="448" spans="2:10" x14ac:dyDescent="0.25">
      <c r="B448" s="169">
        <f t="shared" si="13"/>
        <v>0.22776349614395869</v>
      </c>
      <c r="C448">
        <v>945</v>
      </c>
      <c r="E448">
        <v>10</v>
      </c>
      <c r="F448">
        <v>10</v>
      </c>
      <c r="G448" s="15">
        <v>1</v>
      </c>
      <c r="H448" s="167">
        <f t="shared" si="12"/>
        <v>5.1413881748071976E-4</v>
      </c>
      <c r="I448" s="167"/>
      <c r="J448" s="167"/>
    </row>
    <row r="449" spans="2:10" x14ac:dyDescent="0.25">
      <c r="B449" s="169">
        <f t="shared" si="13"/>
        <v>0.22827763496143941</v>
      </c>
      <c r="C449">
        <v>798</v>
      </c>
      <c r="E449">
        <v>32</v>
      </c>
      <c r="F449">
        <v>32</v>
      </c>
      <c r="G449" s="15">
        <v>1</v>
      </c>
      <c r="H449" s="167">
        <f t="shared" si="12"/>
        <v>5.1413881748071976E-4</v>
      </c>
      <c r="I449" s="167"/>
      <c r="J449" s="167"/>
    </row>
    <row r="450" spans="2:10" x14ac:dyDescent="0.25">
      <c r="B450" s="169">
        <f t="shared" si="13"/>
        <v>0.22879177377892013</v>
      </c>
      <c r="C450">
        <v>799</v>
      </c>
      <c r="E450">
        <v>173</v>
      </c>
      <c r="F450">
        <v>173</v>
      </c>
      <c r="G450" s="15">
        <v>1</v>
      </c>
      <c r="H450" s="167">
        <f t="shared" si="12"/>
        <v>5.1413881748071976E-4</v>
      </c>
      <c r="I450" s="167"/>
      <c r="J450" s="167"/>
    </row>
    <row r="451" spans="2:10" x14ac:dyDescent="0.25">
      <c r="B451" s="169">
        <f t="shared" si="13"/>
        <v>0.22930591259640085</v>
      </c>
      <c r="C451">
        <v>815</v>
      </c>
      <c r="E451">
        <v>173</v>
      </c>
      <c r="F451">
        <v>173</v>
      </c>
      <c r="G451" s="15">
        <v>1</v>
      </c>
      <c r="H451" s="167">
        <f t="shared" si="12"/>
        <v>5.1413881748071976E-4</v>
      </c>
      <c r="I451" s="167"/>
      <c r="J451" s="167"/>
    </row>
    <row r="452" spans="2:10" x14ac:dyDescent="0.25">
      <c r="B452" s="169">
        <f t="shared" si="13"/>
        <v>0.22982005141388157</v>
      </c>
      <c r="C452">
        <v>1979</v>
      </c>
      <c r="E452">
        <v>200</v>
      </c>
      <c r="F452">
        <v>200</v>
      </c>
      <c r="G452" s="15">
        <v>1</v>
      </c>
      <c r="H452" s="167">
        <f t="shared" si="12"/>
        <v>5.1413881748071976E-4</v>
      </c>
      <c r="I452" s="167"/>
      <c r="J452" s="167"/>
    </row>
    <row r="453" spans="2:10" x14ac:dyDescent="0.25">
      <c r="B453" s="169">
        <f t="shared" si="13"/>
        <v>0.23033419023136228</v>
      </c>
      <c r="C453">
        <v>2130</v>
      </c>
      <c r="E453">
        <v>10</v>
      </c>
      <c r="F453">
        <v>10</v>
      </c>
      <c r="G453" s="15">
        <v>1</v>
      </c>
      <c r="H453" s="167">
        <f t="shared" si="12"/>
        <v>5.1413881748071976E-4</v>
      </c>
      <c r="I453" s="167"/>
      <c r="J453" s="167"/>
    </row>
    <row r="454" spans="2:10" x14ac:dyDescent="0.25">
      <c r="B454" s="169">
        <f t="shared" si="13"/>
        <v>0.230848329048843</v>
      </c>
      <c r="C454">
        <v>1984</v>
      </c>
      <c r="E454">
        <v>30</v>
      </c>
      <c r="F454">
        <v>30</v>
      </c>
      <c r="G454" s="15">
        <v>1</v>
      </c>
      <c r="H454" s="167">
        <f t="shared" ref="H454:H517" si="14">1/$L$6</f>
        <v>5.1413881748071976E-4</v>
      </c>
      <c r="I454" s="167"/>
      <c r="J454" s="167"/>
    </row>
    <row r="455" spans="2:10" x14ac:dyDescent="0.25">
      <c r="B455" s="169">
        <f t="shared" ref="B455:B518" si="15">B454+H455</f>
        <v>0.23136246786632372</v>
      </c>
      <c r="C455">
        <v>494</v>
      </c>
      <c r="E455">
        <v>197</v>
      </c>
      <c r="F455">
        <v>197</v>
      </c>
      <c r="G455" s="15">
        <v>1</v>
      </c>
      <c r="H455" s="167">
        <f t="shared" si="14"/>
        <v>5.1413881748071976E-4</v>
      </c>
      <c r="I455" s="167"/>
      <c r="J455" s="167"/>
    </row>
    <row r="456" spans="2:10" x14ac:dyDescent="0.25">
      <c r="B456" s="169">
        <f t="shared" si="15"/>
        <v>0.23187660668380444</v>
      </c>
      <c r="C456">
        <v>2167</v>
      </c>
      <c r="E456">
        <v>2</v>
      </c>
      <c r="F456">
        <v>2</v>
      </c>
      <c r="G456" s="15">
        <v>1</v>
      </c>
      <c r="H456" s="167">
        <f t="shared" si="14"/>
        <v>5.1413881748071976E-4</v>
      </c>
      <c r="I456" s="167"/>
      <c r="J456" s="167"/>
    </row>
    <row r="457" spans="2:10" x14ac:dyDescent="0.25">
      <c r="B457" s="169">
        <f t="shared" si="15"/>
        <v>0.23239074550128516</v>
      </c>
      <c r="C457">
        <v>2168</v>
      </c>
      <c r="E457">
        <v>3</v>
      </c>
      <c r="F457">
        <v>3</v>
      </c>
      <c r="G457" s="15">
        <v>1</v>
      </c>
      <c r="H457" s="167">
        <f t="shared" si="14"/>
        <v>5.1413881748071976E-4</v>
      </c>
      <c r="I457" s="167"/>
      <c r="J457" s="167"/>
    </row>
    <row r="458" spans="2:10" x14ac:dyDescent="0.25">
      <c r="B458" s="169">
        <f t="shared" si="15"/>
        <v>0.23290488431876588</v>
      </c>
      <c r="C458">
        <v>2076</v>
      </c>
      <c r="E458">
        <v>79</v>
      </c>
      <c r="F458">
        <v>79</v>
      </c>
      <c r="G458" s="15">
        <v>1</v>
      </c>
      <c r="H458" s="167">
        <f t="shared" si="14"/>
        <v>5.1413881748071976E-4</v>
      </c>
      <c r="I458" s="167"/>
      <c r="J458" s="167"/>
    </row>
    <row r="459" spans="2:10" x14ac:dyDescent="0.25">
      <c r="B459" s="169">
        <f t="shared" si="15"/>
        <v>0.2334190231362466</v>
      </c>
      <c r="C459">
        <v>1985</v>
      </c>
      <c r="E459">
        <v>3</v>
      </c>
      <c r="F459">
        <v>3</v>
      </c>
      <c r="G459" s="15">
        <v>1</v>
      </c>
      <c r="H459" s="167">
        <f t="shared" si="14"/>
        <v>5.1413881748071976E-4</v>
      </c>
      <c r="I459" s="167"/>
      <c r="J459" s="167"/>
    </row>
    <row r="460" spans="2:10" x14ac:dyDescent="0.25">
      <c r="B460" s="169">
        <f t="shared" si="15"/>
        <v>0.23393316195372732</v>
      </c>
      <c r="C460">
        <v>2086</v>
      </c>
      <c r="E460">
        <v>20</v>
      </c>
      <c r="F460">
        <v>20</v>
      </c>
      <c r="G460" s="15">
        <v>1</v>
      </c>
      <c r="H460" s="167">
        <f t="shared" si="14"/>
        <v>5.1413881748071976E-4</v>
      </c>
      <c r="I460" s="167"/>
      <c r="J460" s="167"/>
    </row>
    <row r="461" spans="2:10" x14ac:dyDescent="0.25">
      <c r="B461" s="169">
        <f t="shared" si="15"/>
        <v>0.23444730077120804</v>
      </c>
      <c r="C461">
        <v>2135</v>
      </c>
      <c r="E461">
        <v>3</v>
      </c>
      <c r="F461">
        <v>3</v>
      </c>
      <c r="G461" s="15">
        <v>1</v>
      </c>
      <c r="H461" s="167">
        <f t="shared" si="14"/>
        <v>5.1413881748071976E-4</v>
      </c>
      <c r="I461" s="167"/>
      <c r="J461" s="167"/>
    </row>
    <row r="462" spans="2:10" x14ac:dyDescent="0.25">
      <c r="B462" s="169">
        <f t="shared" si="15"/>
        <v>0.23496143958868876</v>
      </c>
      <c r="C462">
        <v>2136</v>
      </c>
      <c r="E462">
        <v>3</v>
      </c>
      <c r="F462">
        <v>3</v>
      </c>
      <c r="G462" s="15">
        <v>1</v>
      </c>
      <c r="H462" s="167">
        <f t="shared" si="14"/>
        <v>5.1413881748071976E-4</v>
      </c>
      <c r="I462" s="167"/>
      <c r="J462" s="167"/>
    </row>
    <row r="463" spans="2:10" x14ac:dyDescent="0.25">
      <c r="B463" s="169">
        <f t="shared" si="15"/>
        <v>0.23547557840616948</v>
      </c>
      <c r="C463">
        <v>2128</v>
      </c>
      <c r="E463">
        <v>10</v>
      </c>
      <c r="F463">
        <v>10</v>
      </c>
      <c r="G463" s="15">
        <v>1</v>
      </c>
      <c r="H463" s="167">
        <f t="shared" si="14"/>
        <v>5.1413881748071976E-4</v>
      </c>
      <c r="I463" s="167"/>
      <c r="J463" s="167"/>
    </row>
    <row r="464" spans="2:10" x14ac:dyDescent="0.25">
      <c r="B464" s="169">
        <f t="shared" si="15"/>
        <v>0.2359897172236502</v>
      </c>
      <c r="C464">
        <v>2137</v>
      </c>
      <c r="E464">
        <v>75</v>
      </c>
      <c r="F464">
        <v>75</v>
      </c>
      <c r="G464" s="15">
        <v>1</v>
      </c>
      <c r="H464" s="167">
        <f t="shared" si="14"/>
        <v>5.1413881748071976E-4</v>
      </c>
      <c r="I464" s="167"/>
      <c r="J464" s="167"/>
    </row>
    <row r="465" spans="2:10" x14ac:dyDescent="0.25">
      <c r="B465" s="169">
        <f t="shared" si="15"/>
        <v>0.23650385604113092</v>
      </c>
      <c r="C465">
        <v>2131</v>
      </c>
      <c r="E465">
        <v>2</v>
      </c>
      <c r="F465">
        <v>2</v>
      </c>
      <c r="G465" s="15">
        <v>1</v>
      </c>
      <c r="H465" s="167">
        <f t="shared" si="14"/>
        <v>5.1413881748071976E-4</v>
      </c>
      <c r="I465" s="167"/>
      <c r="J465" s="167"/>
    </row>
    <row r="466" spans="2:10" x14ac:dyDescent="0.25">
      <c r="B466" s="169">
        <f t="shared" si="15"/>
        <v>0.23701799485861164</v>
      </c>
      <c r="C466">
        <v>2132</v>
      </c>
      <c r="E466">
        <v>15</v>
      </c>
      <c r="F466">
        <v>15</v>
      </c>
      <c r="G466" s="15">
        <v>1</v>
      </c>
      <c r="H466" s="167">
        <f t="shared" si="14"/>
        <v>5.1413881748071976E-4</v>
      </c>
      <c r="I466" s="167"/>
      <c r="J466" s="167"/>
    </row>
    <row r="467" spans="2:10" x14ac:dyDescent="0.25">
      <c r="B467" s="169">
        <f t="shared" si="15"/>
        <v>0.23753213367609236</v>
      </c>
      <c r="C467">
        <v>1992</v>
      </c>
      <c r="E467">
        <v>3</v>
      </c>
      <c r="F467">
        <v>3</v>
      </c>
      <c r="G467" s="15">
        <v>1</v>
      </c>
      <c r="H467" s="167">
        <f t="shared" si="14"/>
        <v>5.1413881748071976E-4</v>
      </c>
      <c r="I467" s="167"/>
      <c r="J467" s="167"/>
    </row>
    <row r="468" spans="2:10" x14ac:dyDescent="0.25">
      <c r="B468" s="169">
        <f t="shared" si="15"/>
        <v>0.23804627249357307</v>
      </c>
      <c r="C468">
        <v>2007</v>
      </c>
      <c r="E468">
        <v>4</v>
      </c>
      <c r="F468">
        <v>4</v>
      </c>
      <c r="G468" s="15">
        <v>1</v>
      </c>
      <c r="H468" s="167">
        <f t="shared" si="14"/>
        <v>5.1413881748071976E-4</v>
      </c>
      <c r="I468" s="167"/>
      <c r="J468" s="167"/>
    </row>
    <row r="469" spans="2:10" x14ac:dyDescent="0.25">
      <c r="B469" s="169">
        <f t="shared" si="15"/>
        <v>0.23856041131105379</v>
      </c>
      <c r="C469">
        <v>2012</v>
      </c>
      <c r="E469">
        <v>3</v>
      </c>
      <c r="F469">
        <v>3</v>
      </c>
      <c r="G469" s="15">
        <v>1</v>
      </c>
      <c r="H469" s="167">
        <f t="shared" si="14"/>
        <v>5.1413881748071976E-4</v>
      </c>
      <c r="I469" s="167"/>
      <c r="J469" s="167"/>
    </row>
    <row r="470" spans="2:10" x14ac:dyDescent="0.25">
      <c r="B470" s="169">
        <f t="shared" si="15"/>
        <v>0.23907455012853451</v>
      </c>
      <c r="C470">
        <v>2017</v>
      </c>
      <c r="E470">
        <v>3</v>
      </c>
      <c r="F470">
        <v>3</v>
      </c>
      <c r="G470" s="15">
        <v>1</v>
      </c>
      <c r="H470" s="167">
        <f t="shared" si="14"/>
        <v>5.1413881748071976E-4</v>
      </c>
      <c r="I470" s="167"/>
      <c r="J470" s="167"/>
    </row>
    <row r="471" spans="2:10" x14ac:dyDescent="0.25">
      <c r="B471" s="169">
        <f t="shared" si="15"/>
        <v>0.23958868894601523</v>
      </c>
      <c r="C471">
        <v>1993</v>
      </c>
      <c r="E471">
        <v>10</v>
      </c>
      <c r="F471">
        <v>10</v>
      </c>
      <c r="G471" s="15">
        <v>1</v>
      </c>
      <c r="H471" s="167">
        <f t="shared" si="14"/>
        <v>5.1413881748071976E-4</v>
      </c>
      <c r="I471" s="167"/>
      <c r="J471" s="167"/>
    </row>
    <row r="472" spans="2:10" x14ac:dyDescent="0.25">
      <c r="B472" s="169">
        <f t="shared" si="15"/>
        <v>0.24010282776349595</v>
      </c>
      <c r="C472">
        <v>2013</v>
      </c>
      <c r="E472">
        <v>45</v>
      </c>
      <c r="F472">
        <v>45</v>
      </c>
      <c r="G472" s="15">
        <v>1</v>
      </c>
      <c r="H472" s="167">
        <f t="shared" si="14"/>
        <v>5.1413881748071976E-4</v>
      </c>
      <c r="I472" s="167"/>
      <c r="J472" s="167"/>
    </row>
    <row r="473" spans="2:10" x14ac:dyDescent="0.25">
      <c r="B473" s="169">
        <f t="shared" si="15"/>
        <v>0.24061696658097667</v>
      </c>
      <c r="C473">
        <v>2018</v>
      </c>
      <c r="E473">
        <v>30</v>
      </c>
      <c r="F473">
        <v>30</v>
      </c>
      <c r="G473" s="15">
        <v>1</v>
      </c>
      <c r="H473" s="167">
        <f t="shared" si="14"/>
        <v>5.1413881748071976E-4</v>
      </c>
      <c r="I473" s="167"/>
      <c r="J473" s="167"/>
    </row>
    <row r="474" spans="2:10" x14ac:dyDescent="0.25">
      <c r="B474" s="169">
        <f t="shared" si="15"/>
        <v>0.24113110539845739</v>
      </c>
      <c r="C474">
        <v>2008</v>
      </c>
      <c r="E474">
        <v>10</v>
      </c>
      <c r="F474">
        <v>10</v>
      </c>
      <c r="G474" s="15">
        <v>1</v>
      </c>
      <c r="H474" s="167">
        <f t="shared" si="14"/>
        <v>5.1413881748071976E-4</v>
      </c>
      <c r="I474" s="167"/>
      <c r="J474" s="167"/>
    </row>
    <row r="475" spans="2:10" x14ac:dyDescent="0.25">
      <c r="B475" s="169">
        <f t="shared" si="15"/>
        <v>0.24164524421593811</v>
      </c>
      <c r="C475">
        <v>2133</v>
      </c>
      <c r="E475">
        <v>1</v>
      </c>
      <c r="F475">
        <v>1</v>
      </c>
      <c r="G475" s="15">
        <v>1</v>
      </c>
      <c r="H475" s="167">
        <f t="shared" si="14"/>
        <v>5.1413881748071976E-4</v>
      </c>
      <c r="I475" s="167"/>
      <c r="J475" s="167"/>
    </row>
    <row r="476" spans="2:10" x14ac:dyDescent="0.25">
      <c r="B476" s="169">
        <f t="shared" si="15"/>
        <v>0.24215938303341883</v>
      </c>
      <c r="C476">
        <v>1994</v>
      </c>
      <c r="E476">
        <v>85</v>
      </c>
      <c r="F476">
        <v>85</v>
      </c>
      <c r="G476" s="15">
        <v>1</v>
      </c>
      <c r="H476" s="167">
        <f t="shared" si="14"/>
        <v>5.1413881748071976E-4</v>
      </c>
      <c r="I476" s="167"/>
      <c r="J476" s="167"/>
    </row>
    <row r="477" spans="2:10" x14ac:dyDescent="0.25">
      <c r="B477" s="169">
        <f t="shared" si="15"/>
        <v>0.24267352185089955</v>
      </c>
      <c r="C477">
        <v>2009</v>
      </c>
      <c r="E477">
        <v>125</v>
      </c>
      <c r="F477">
        <v>125</v>
      </c>
      <c r="G477" s="15">
        <v>1</v>
      </c>
      <c r="H477" s="167">
        <f t="shared" si="14"/>
        <v>5.1413881748071976E-4</v>
      </c>
      <c r="I477" s="167"/>
      <c r="J477" s="167"/>
    </row>
    <row r="478" spans="2:10" x14ac:dyDescent="0.25">
      <c r="B478" s="169">
        <f t="shared" si="15"/>
        <v>0.24318766066838027</v>
      </c>
      <c r="C478">
        <v>949</v>
      </c>
      <c r="E478">
        <v>16</v>
      </c>
      <c r="F478">
        <v>16</v>
      </c>
      <c r="G478" s="15">
        <v>1</v>
      </c>
      <c r="H478" s="167">
        <f t="shared" si="14"/>
        <v>5.1413881748071976E-4</v>
      </c>
      <c r="I478" s="167"/>
      <c r="J478" s="167"/>
    </row>
    <row r="479" spans="2:10" x14ac:dyDescent="0.25">
      <c r="B479" s="169">
        <f t="shared" si="15"/>
        <v>0.24370179948586099</v>
      </c>
      <c r="C479">
        <v>2019</v>
      </c>
      <c r="E479">
        <v>76</v>
      </c>
      <c r="F479">
        <v>76</v>
      </c>
      <c r="G479" s="15">
        <v>1</v>
      </c>
      <c r="H479" s="167">
        <f t="shared" si="14"/>
        <v>5.1413881748071976E-4</v>
      </c>
      <c r="I479" s="167"/>
      <c r="J479" s="167"/>
    </row>
    <row r="480" spans="2:10" x14ac:dyDescent="0.25">
      <c r="B480" s="169">
        <f t="shared" si="15"/>
        <v>0.24421593830334171</v>
      </c>
      <c r="C480">
        <v>800</v>
      </c>
      <c r="E480">
        <v>5</v>
      </c>
      <c r="F480">
        <v>5</v>
      </c>
      <c r="G480" s="15">
        <v>1</v>
      </c>
      <c r="H480" s="167">
        <f t="shared" si="14"/>
        <v>5.1413881748071976E-4</v>
      </c>
      <c r="I480" s="167"/>
      <c r="J480" s="167"/>
    </row>
    <row r="481" spans="2:10" x14ac:dyDescent="0.25">
      <c r="B481" s="169">
        <f t="shared" si="15"/>
        <v>0.24473007712082243</v>
      </c>
      <c r="C481">
        <v>816</v>
      </c>
      <c r="E481">
        <v>8</v>
      </c>
      <c r="F481">
        <v>8</v>
      </c>
      <c r="G481" s="15">
        <v>1</v>
      </c>
      <c r="H481" s="167">
        <f t="shared" si="14"/>
        <v>5.1413881748071976E-4</v>
      </c>
      <c r="I481" s="167"/>
      <c r="J481" s="167"/>
    </row>
    <row r="482" spans="2:10" x14ac:dyDescent="0.25">
      <c r="B482" s="169">
        <f t="shared" si="15"/>
        <v>0.24524421593830315</v>
      </c>
      <c r="C482">
        <v>801</v>
      </c>
      <c r="E482">
        <v>3</v>
      </c>
      <c r="F482">
        <v>3</v>
      </c>
      <c r="G482" s="15">
        <v>1</v>
      </c>
      <c r="H482" s="167">
        <f t="shared" si="14"/>
        <v>5.1413881748071976E-4</v>
      </c>
      <c r="I482" s="167"/>
      <c r="J482" s="167"/>
    </row>
    <row r="483" spans="2:10" x14ac:dyDescent="0.25">
      <c r="B483" s="169">
        <f t="shared" si="15"/>
        <v>0.24575835475578386</v>
      </c>
      <c r="C483">
        <v>802</v>
      </c>
      <c r="E483">
        <v>1</v>
      </c>
      <c r="F483">
        <v>1</v>
      </c>
      <c r="G483" s="15">
        <v>1</v>
      </c>
      <c r="H483" s="167">
        <f t="shared" si="14"/>
        <v>5.1413881748071976E-4</v>
      </c>
      <c r="I483" s="167"/>
      <c r="J483" s="167"/>
    </row>
    <row r="484" spans="2:10" x14ac:dyDescent="0.25">
      <c r="B484" s="169">
        <f t="shared" si="15"/>
        <v>0.24627249357326458</v>
      </c>
      <c r="C484">
        <v>804</v>
      </c>
      <c r="E484">
        <v>10</v>
      </c>
      <c r="F484">
        <v>10</v>
      </c>
      <c r="G484" s="15">
        <v>1</v>
      </c>
      <c r="H484" s="167">
        <f t="shared" si="14"/>
        <v>5.1413881748071976E-4</v>
      </c>
      <c r="I484" s="167"/>
      <c r="J484" s="167"/>
    </row>
    <row r="485" spans="2:10" x14ac:dyDescent="0.25">
      <c r="B485" s="169">
        <f t="shared" si="15"/>
        <v>0.2467866323907453</v>
      </c>
      <c r="C485">
        <v>803</v>
      </c>
      <c r="E485">
        <v>1</v>
      </c>
      <c r="F485">
        <v>1</v>
      </c>
      <c r="G485" s="15">
        <v>1</v>
      </c>
      <c r="H485" s="167">
        <f t="shared" si="14"/>
        <v>5.1413881748071976E-4</v>
      </c>
      <c r="I485" s="167"/>
      <c r="J485" s="167"/>
    </row>
    <row r="486" spans="2:10" x14ac:dyDescent="0.25">
      <c r="B486" s="169">
        <f t="shared" si="15"/>
        <v>0.24730077120822602</v>
      </c>
      <c r="C486">
        <v>2014</v>
      </c>
      <c r="E486">
        <v>76</v>
      </c>
      <c r="F486">
        <v>76</v>
      </c>
      <c r="G486" s="15">
        <v>1</v>
      </c>
      <c r="H486" s="167">
        <f t="shared" si="14"/>
        <v>5.1413881748071976E-4</v>
      </c>
      <c r="I486" s="167"/>
      <c r="J486" s="167"/>
    </row>
    <row r="487" spans="2:10" x14ac:dyDescent="0.25">
      <c r="B487" s="169">
        <f t="shared" si="15"/>
        <v>0.24781491002570674</v>
      </c>
      <c r="C487">
        <v>4242</v>
      </c>
      <c r="E487">
        <v>1</v>
      </c>
      <c r="F487">
        <v>1</v>
      </c>
      <c r="G487" s="15">
        <v>1</v>
      </c>
      <c r="H487" s="167">
        <f t="shared" si="14"/>
        <v>5.1413881748071976E-4</v>
      </c>
      <c r="I487" s="167"/>
      <c r="J487" s="167"/>
    </row>
    <row r="488" spans="2:10" x14ac:dyDescent="0.25">
      <c r="B488" s="169">
        <f t="shared" si="15"/>
        <v>0.24832904884318746</v>
      </c>
      <c r="C488">
        <v>3134</v>
      </c>
      <c r="E488">
        <v>120</v>
      </c>
      <c r="F488">
        <v>120</v>
      </c>
      <c r="G488" s="15">
        <v>1</v>
      </c>
      <c r="H488" s="167">
        <f t="shared" si="14"/>
        <v>5.1413881748071976E-4</v>
      </c>
      <c r="I488" s="167"/>
      <c r="J488" s="167"/>
    </row>
    <row r="489" spans="2:10" x14ac:dyDescent="0.25">
      <c r="B489" s="169">
        <f t="shared" si="15"/>
        <v>0.24884318766066818</v>
      </c>
      <c r="C489">
        <v>2138</v>
      </c>
      <c r="E489">
        <v>125</v>
      </c>
      <c r="F489">
        <v>125</v>
      </c>
      <c r="G489" s="15">
        <v>1</v>
      </c>
      <c r="H489" s="167">
        <f t="shared" si="14"/>
        <v>5.1413881748071976E-4</v>
      </c>
      <c r="I489" s="167"/>
      <c r="J489" s="167"/>
    </row>
    <row r="490" spans="2:10" x14ac:dyDescent="0.25">
      <c r="B490" s="169">
        <f t="shared" si="15"/>
        <v>0.2493573264781489</v>
      </c>
      <c r="C490">
        <v>3601</v>
      </c>
      <c r="E490">
        <v>124</v>
      </c>
      <c r="F490">
        <v>124</v>
      </c>
      <c r="G490" s="15">
        <v>1</v>
      </c>
      <c r="H490" s="167">
        <f t="shared" si="14"/>
        <v>5.1413881748071976E-4</v>
      </c>
      <c r="I490" s="167"/>
      <c r="J490" s="167"/>
    </row>
    <row r="491" spans="2:10" x14ac:dyDescent="0.25">
      <c r="B491" s="169">
        <f t="shared" si="15"/>
        <v>0.24987146529562962</v>
      </c>
      <c r="C491">
        <v>1980</v>
      </c>
      <c r="E491">
        <v>3</v>
      </c>
      <c r="F491">
        <v>3</v>
      </c>
      <c r="G491" s="15">
        <v>1</v>
      </c>
      <c r="H491" s="167">
        <f t="shared" si="14"/>
        <v>5.1413881748071976E-4</v>
      </c>
      <c r="I491" s="167"/>
      <c r="J491" s="167"/>
    </row>
    <row r="492" spans="2:10" x14ac:dyDescent="0.25">
      <c r="B492" s="169">
        <f t="shared" si="15"/>
        <v>0.25038560411311034</v>
      </c>
      <c r="C492">
        <v>2122</v>
      </c>
      <c r="E492">
        <v>10</v>
      </c>
      <c r="F492">
        <v>10</v>
      </c>
      <c r="G492" s="15">
        <v>1</v>
      </c>
      <c r="H492" s="167">
        <f t="shared" si="14"/>
        <v>5.1413881748071976E-4</v>
      </c>
      <c r="I492" s="167"/>
      <c r="J492" s="167"/>
    </row>
    <row r="493" spans="2:10" x14ac:dyDescent="0.25">
      <c r="B493" s="169">
        <f t="shared" si="15"/>
        <v>0.25089974293059109</v>
      </c>
      <c r="C493">
        <v>805</v>
      </c>
      <c r="E493">
        <v>1</v>
      </c>
      <c r="F493">
        <v>1</v>
      </c>
      <c r="G493" s="15">
        <v>1</v>
      </c>
      <c r="H493" s="167">
        <f t="shared" si="14"/>
        <v>5.1413881748071976E-4</v>
      </c>
      <c r="I493" s="167"/>
      <c r="J493" s="167"/>
    </row>
    <row r="494" spans="2:10" x14ac:dyDescent="0.25">
      <c r="B494" s="169">
        <f t="shared" si="15"/>
        <v>0.25141388174807183</v>
      </c>
      <c r="C494">
        <v>2123</v>
      </c>
      <c r="E494">
        <v>2</v>
      </c>
      <c r="F494">
        <v>2</v>
      </c>
      <c r="G494" s="15">
        <v>1</v>
      </c>
      <c r="H494" s="167">
        <f t="shared" si="14"/>
        <v>5.1413881748071976E-4</v>
      </c>
      <c r="I494" s="167"/>
      <c r="J494" s="167"/>
    </row>
    <row r="495" spans="2:10" x14ac:dyDescent="0.25">
      <c r="B495" s="169">
        <f t="shared" si="15"/>
        <v>0.25192802056555258</v>
      </c>
      <c r="C495">
        <v>2124</v>
      </c>
      <c r="E495">
        <v>1</v>
      </c>
      <c r="F495">
        <v>1</v>
      </c>
      <c r="G495" s="15">
        <v>1</v>
      </c>
      <c r="H495" s="167">
        <f t="shared" si="14"/>
        <v>5.1413881748071976E-4</v>
      </c>
      <c r="I495" s="167"/>
      <c r="J495" s="167"/>
    </row>
    <row r="496" spans="2:10" x14ac:dyDescent="0.25">
      <c r="B496" s="169">
        <f t="shared" si="15"/>
        <v>0.25244215938303333</v>
      </c>
      <c r="C496">
        <v>495</v>
      </c>
      <c r="E496">
        <v>12</v>
      </c>
      <c r="F496">
        <v>12</v>
      </c>
      <c r="G496" s="15">
        <v>1</v>
      </c>
      <c r="H496" s="167">
        <f t="shared" si="14"/>
        <v>5.1413881748071976E-4</v>
      </c>
      <c r="I496" s="167"/>
      <c r="J496" s="167"/>
    </row>
    <row r="497" spans="2:10" x14ac:dyDescent="0.25">
      <c r="B497" s="169">
        <f t="shared" si="15"/>
        <v>0.25295629820051407</v>
      </c>
      <c r="C497">
        <v>509</v>
      </c>
      <c r="E497">
        <v>57</v>
      </c>
      <c r="F497">
        <v>57</v>
      </c>
      <c r="G497" s="15">
        <v>1</v>
      </c>
      <c r="H497" s="167">
        <f t="shared" si="14"/>
        <v>5.1413881748071976E-4</v>
      </c>
      <c r="I497" s="167"/>
      <c r="J497" s="167"/>
    </row>
    <row r="498" spans="2:10" x14ac:dyDescent="0.25">
      <c r="B498" s="169">
        <f t="shared" si="15"/>
        <v>0.25347043701799482</v>
      </c>
      <c r="C498">
        <v>2062</v>
      </c>
      <c r="E498">
        <v>2</v>
      </c>
      <c r="F498">
        <v>2</v>
      </c>
      <c r="G498" s="15">
        <v>1</v>
      </c>
      <c r="H498" s="167">
        <f t="shared" si="14"/>
        <v>5.1413881748071976E-4</v>
      </c>
      <c r="I498" s="167"/>
      <c r="J498" s="167"/>
    </row>
    <row r="499" spans="2:10" x14ac:dyDescent="0.25">
      <c r="B499" s="169">
        <f t="shared" si="15"/>
        <v>0.25398457583547557</v>
      </c>
      <c r="C499">
        <v>2063</v>
      </c>
      <c r="E499">
        <v>10</v>
      </c>
      <c r="F499">
        <v>10</v>
      </c>
      <c r="G499" s="15">
        <v>1</v>
      </c>
      <c r="H499" s="167">
        <f t="shared" si="14"/>
        <v>5.1413881748071976E-4</v>
      </c>
      <c r="I499" s="167"/>
      <c r="J499" s="167"/>
    </row>
    <row r="500" spans="2:10" x14ac:dyDescent="0.25">
      <c r="B500" s="169">
        <f t="shared" si="15"/>
        <v>0.25449871465295631</v>
      </c>
      <c r="C500">
        <v>501</v>
      </c>
      <c r="E500">
        <v>30</v>
      </c>
      <c r="F500">
        <v>30</v>
      </c>
      <c r="G500" s="15">
        <v>1</v>
      </c>
      <c r="H500" s="167">
        <f t="shared" si="14"/>
        <v>5.1413881748071976E-4</v>
      </c>
      <c r="I500" s="167"/>
      <c r="J500" s="167"/>
    </row>
    <row r="501" spans="2:10" x14ac:dyDescent="0.25">
      <c r="B501" s="169">
        <f t="shared" si="15"/>
        <v>0.25501285347043706</v>
      </c>
      <c r="C501">
        <v>496</v>
      </c>
      <c r="E501">
        <v>3</v>
      </c>
      <c r="F501">
        <v>3</v>
      </c>
      <c r="G501" s="15">
        <v>1</v>
      </c>
      <c r="H501" s="167">
        <f t="shared" si="14"/>
        <v>5.1413881748071976E-4</v>
      </c>
      <c r="I501" s="167"/>
      <c r="J501" s="167"/>
    </row>
    <row r="502" spans="2:10" x14ac:dyDescent="0.25">
      <c r="B502" s="169">
        <f t="shared" si="15"/>
        <v>0.25552699228791781</v>
      </c>
      <c r="C502">
        <v>497</v>
      </c>
      <c r="E502">
        <v>9</v>
      </c>
      <c r="F502">
        <v>9</v>
      </c>
      <c r="G502" s="15">
        <v>1</v>
      </c>
      <c r="H502" s="167">
        <f t="shared" si="14"/>
        <v>5.1413881748071976E-4</v>
      </c>
      <c r="I502" s="167"/>
      <c r="J502" s="167"/>
    </row>
    <row r="503" spans="2:10" x14ac:dyDescent="0.25">
      <c r="B503" s="169">
        <f t="shared" si="15"/>
        <v>0.25604113110539856</v>
      </c>
      <c r="C503">
        <v>2064</v>
      </c>
      <c r="E503">
        <v>89</v>
      </c>
      <c r="F503">
        <v>89</v>
      </c>
      <c r="G503" s="15">
        <v>1</v>
      </c>
      <c r="H503" s="167">
        <f t="shared" si="14"/>
        <v>5.1413881748071976E-4</v>
      </c>
      <c r="I503" s="167"/>
      <c r="J503" s="167"/>
    </row>
    <row r="504" spans="2:10" x14ac:dyDescent="0.25">
      <c r="B504" s="169">
        <f t="shared" si="15"/>
        <v>0.2565552699228793</v>
      </c>
      <c r="C504">
        <v>1995</v>
      </c>
      <c r="E504">
        <v>3</v>
      </c>
      <c r="F504">
        <v>3</v>
      </c>
      <c r="G504" s="15">
        <v>1</v>
      </c>
      <c r="H504" s="167">
        <f t="shared" si="14"/>
        <v>5.1413881748071976E-4</v>
      </c>
      <c r="I504" s="167"/>
      <c r="J504" s="167"/>
    </row>
    <row r="505" spans="2:10" x14ac:dyDescent="0.25">
      <c r="B505" s="169">
        <f t="shared" si="15"/>
        <v>0.25706940874036005</v>
      </c>
      <c r="C505">
        <v>806</v>
      </c>
      <c r="E505">
        <v>16</v>
      </c>
      <c r="F505">
        <v>16</v>
      </c>
      <c r="G505" s="15">
        <v>1</v>
      </c>
      <c r="H505" s="167">
        <f t="shared" si="14"/>
        <v>5.1413881748071976E-4</v>
      </c>
      <c r="I505" s="167"/>
      <c r="J505" s="167"/>
    </row>
    <row r="506" spans="2:10" x14ac:dyDescent="0.25">
      <c r="B506" s="169">
        <f t="shared" si="15"/>
        <v>0.2575835475578408</v>
      </c>
      <c r="C506">
        <v>2002</v>
      </c>
      <c r="E506">
        <v>2</v>
      </c>
      <c r="F506">
        <v>2</v>
      </c>
      <c r="G506" s="15">
        <v>1</v>
      </c>
      <c r="H506" s="167">
        <f t="shared" si="14"/>
        <v>5.1413881748071976E-4</v>
      </c>
      <c r="I506" s="167"/>
      <c r="J506" s="167"/>
    </row>
    <row r="507" spans="2:10" x14ac:dyDescent="0.25">
      <c r="B507" s="169">
        <f t="shared" si="15"/>
        <v>0.25809768637532154</v>
      </c>
      <c r="C507">
        <v>2003</v>
      </c>
      <c r="E507">
        <v>1</v>
      </c>
      <c r="F507">
        <v>1</v>
      </c>
      <c r="G507" s="15">
        <v>1</v>
      </c>
      <c r="H507" s="167">
        <f t="shared" si="14"/>
        <v>5.1413881748071976E-4</v>
      </c>
      <c r="I507" s="167"/>
      <c r="J507" s="167"/>
    </row>
    <row r="508" spans="2:10" x14ac:dyDescent="0.25">
      <c r="B508" s="169">
        <f t="shared" si="15"/>
        <v>0.25861182519280229</v>
      </c>
      <c r="C508">
        <v>2004</v>
      </c>
      <c r="E508">
        <v>66</v>
      </c>
      <c r="F508">
        <v>66</v>
      </c>
      <c r="G508" s="15">
        <v>1</v>
      </c>
      <c r="H508" s="167">
        <f t="shared" si="14"/>
        <v>5.1413881748071976E-4</v>
      </c>
      <c r="I508" s="167"/>
      <c r="J508" s="167"/>
    </row>
    <row r="509" spans="2:10" x14ac:dyDescent="0.25">
      <c r="B509" s="169">
        <f t="shared" si="15"/>
        <v>0.25912596401028304</v>
      </c>
      <c r="C509">
        <v>498</v>
      </c>
      <c r="E509">
        <v>70</v>
      </c>
      <c r="F509">
        <v>70</v>
      </c>
      <c r="G509" s="15">
        <v>1</v>
      </c>
      <c r="H509" s="167">
        <f t="shared" si="14"/>
        <v>5.1413881748071976E-4</v>
      </c>
      <c r="I509" s="167"/>
      <c r="J509" s="167"/>
    </row>
    <row r="510" spans="2:10" x14ac:dyDescent="0.25">
      <c r="B510" s="169">
        <f t="shared" si="15"/>
        <v>0.25964010282776379</v>
      </c>
      <c r="C510">
        <v>2020</v>
      </c>
      <c r="E510">
        <v>3</v>
      </c>
      <c r="F510">
        <v>3</v>
      </c>
      <c r="G510" s="15">
        <v>1</v>
      </c>
      <c r="H510" s="167">
        <f t="shared" si="14"/>
        <v>5.1413881748071976E-4</v>
      </c>
      <c r="I510" s="167"/>
      <c r="J510" s="167"/>
    </row>
    <row r="511" spans="2:10" x14ac:dyDescent="0.25">
      <c r="B511" s="169">
        <f t="shared" si="15"/>
        <v>0.26015424164524453</v>
      </c>
      <c r="C511">
        <v>4525</v>
      </c>
      <c r="E511">
        <v>31</v>
      </c>
      <c r="F511">
        <v>31</v>
      </c>
      <c r="G511" s="15">
        <v>1</v>
      </c>
      <c r="H511" s="167">
        <f t="shared" si="14"/>
        <v>5.1413881748071976E-4</v>
      </c>
      <c r="I511" s="167"/>
      <c r="J511" s="167"/>
    </row>
    <row r="512" spans="2:10" x14ac:dyDescent="0.25">
      <c r="B512" s="169">
        <f t="shared" si="15"/>
        <v>0.26066838046272528</v>
      </c>
      <c r="C512">
        <v>560</v>
      </c>
      <c r="E512">
        <v>1</v>
      </c>
      <c r="F512">
        <v>1</v>
      </c>
      <c r="G512" s="15">
        <v>1</v>
      </c>
      <c r="H512" s="167">
        <f t="shared" si="14"/>
        <v>5.1413881748071976E-4</v>
      </c>
      <c r="I512" s="167"/>
      <c r="J512" s="167"/>
    </row>
    <row r="513" spans="2:10" x14ac:dyDescent="0.25">
      <c r="B513" s="169">
        <f t="shared" si="15"/>
        <v>0.26118251928020603</v>
      </c>
      <c r="C513">
        <v>561</v>
      </c>
      <c r="E513">
        <v>122</v>
      </c>
      <c r="F513">
        <v>122</v>
      </c>
      <c r="G513" s="15">
        <v>1</v>
      </c>
      <c r="H513" s="167">
        <f t="shared" si="14"/>
        <v>5.1413881748071976E-4</v>
      </c>
      <c r="I513" s="167"/>
      <c r="J513" s="167"/>
    </row>
    <row r="514" spans="2:10" x14ac:dyDescent="0.25">
      <c r="B514" s="169">
        <f t="shared" si="15"/>
        <v>0.26169665809768677</v>
      </c>
      <c r="C514">
        <v>502</v>
      </c>
      <c r="E514">
        <v>20</v>
      </c>
      <c r="F514">
        <v>20</v>
      </c>
      <c r="G514" s="15">
        <v>1</v>
      </c>
      <c r="H514" s="167">
        <f t="shared" si="14"/>
        <v>5.1413881748071976E-4</v>
      </c>
      <c r="I514" s="167"/>
      <c r="J514" s="167"/>
    </row>
    <row r="515" spans="2:10" x14ac:dyDescent="0.25">
      <c r="B515" s="169">
        <f t="shared" si="15"/>
        <v>0.26221079691516752</v>
      </c>
      <c r="C515">
        <v>2015</v>
      </c>
      <c r="E515">
        <v>3</v>
      </c>
      <c r="F515">
        <v>3</v>
      </c>
      <c r="G515" s="15">
        <v>1</v>
      </c>
      <c r="H515" s="167">
        <f t="shared" si="14"/>
        <v>5.1413881748071976E-4</v>
      </c>
      <c r="I515" s="167"/>
      <c r="J515" s="167"/>
    </row>
    <row r="516" spans="2:10" x14ac:dyDescent="0.25">
      <c r="B516" s="169">
        <f t="shared" si="15"/>
        <v>0.26272493573264827</v>
      </c>
      <c r="C516">
        <v>961</v>
      </c>
      <c r="E516">
        <v>1</v>
      </c>
      <c r="F516">
        <v>1</v>
      </c>
      <c r="G516" s="15">
        <v>1</v>
      </c>
      <c r="H516" s="167">
        <f t="shared" si="14"/>
        <v>5.1413881748071976E-4</v>
      </c>
      <c r="I516" s="167"/>
      <c r="J516" s="167"/>
    </row>
    <row r="517" spans="2:10" x14ac:dyDescent="0.25">
      <c r="B517" s="169">
        <f t="shared" si="15"/>
        <v>0.26323907455012902</v>
      </c>
      <c r="C517">
        <v>4526</v>
      </c>
      <c r="E517">
        <v>3</v>
      </c>
      <c r="F517">
        <v>3</v>
      </c>
      <c r="G517" s="15">
        <v>1</v>
      </c>
      <c r="H517" s="167">
        <f t="shared" si="14"/>
        <v>5.1413881748071976E-4</v>
      </c>
      <c r="I517" s="167"/>
      <c r="J517" s="167"/>
    </row>
    <row r="518" spans="2:10" x14ac:dyDescent="0.25">
      <c r="B518" s="169">
        <f t="shared" si="15"/>
        <v>0.26375321336760976</v>
      </c>
      <c r="C518">
        <v>5590</v>
      </c>
      <c r="E518">
        <v>235</v>
      </c>
      <c r="F518">
        <v>235</v>
      </c>
      <c r="G518" s="15">
        <v>1</v>
      </c>
      <c r="H518" s="167">
        <f t="shared" ref="H518:H581" si="16">1/$L$6</f>
        <v>5.1413881748071976E-4</v>
      </c>
      <c r="I518" s="167"/>
      <c r="J518" s="167"/>
    </row>
    <row r="519" spans="2:10" x14ac:dyDescent="0.25">
      <c r="B519" s="169">
        <f t="shared" ref="B519:B582" si="17">B518+H519</f>
        <v>0.26426735218509051</v>
      </c>
      <c r="C519">
        <v>962</v>
      </c>
      <c r="E519">
        <v>5</v>
      </c>
      <c r="F519">
        <v>5</v>
      </c>
      <c r="G519" s="15">
        <v>1</v>
      </c>
      <c r="H519" s="167">
        <f t="shared" si="16"/>
        <v>5.1413881748071976E-4</v>
      </c>
      <c r="I519" s="167"/>
      <c r="J519" s="167"/>
    </row>
    <row r="520" spans="2:10" x14ac:dyDescent="0.25">
      <c r="B520" s="169">
        <f t="shared" si="17"/>
        <v>0.26478149100257126</v>
      </c>
      <c r="C520">
        <v>963</v>
      </c>
      <c r="E520">
        <v>5</v>
      </c>
      <c r="F520">
        <v>5</v>
      </c>
      <c r="G520" s="15">
        <v>1</v>
      </c>
      <c r="H520" s="167">
        <f t="shared" si="16"/>
        <v>5.1413881748071976E-4</v>
      </c>
      <c r="I520" s="167"/>
      <c r="J520" s="167"/>
    </row>
    <row r="521" spans="2:10" x14ac:dyDescent="0.25">
      <c r="B521" s="169">
        <f t="shared" si="17"/>
        <v>0.265295629820052</v>
      </c>
      <c r="C521">
        <v>4527</v>
      </c>
      <c r="E521">
        <v>7</v>
      </c>
      <c r="F521">
        <v>7</v>
      </c>
      <c r="G521" s="15">
        <v>1</v>
      </c>
      <c r="H521" s="167">
        <f t="shared" si="16"/>
        <v>5.1413881748071976E-4</v>
      </c>
      <c r="I521" s="167"/>
      <c r="J521" s="167"/>
    </row>
    <row r="522" spans="2:10" x14ac:dyDescent="0.25">
      <c r="B522" s="169">
        <f t="shared" si="17"/>
        <v>0.26580976863753275</v>
      </c>
      <c r="C522">
        <v>3469</v>
      </c>
      <c r="E522">
        <v>20</v>
      </c>
      <c r="F522">
        <v>20</v>
      </c>
      <c r="G522" s="15">
        <v>1</v>
      </c>
      <c r="H522" s="167">
        <f t="shared" si="16"/>
        <v>5.1413881748071976E-4</v>
      </c>
      <c r="I522" s="167"/>
      <c r="J522" s="167"/>
    </row>
    <row r="523" spans="2:10" x14ac:dyDescent="0.25">
      <c r="B523" s="169">
        <f t="shared" si="17"/>
        <v>0.2663239074550135</v>
      </c>
      <c r="C523">
        <v>4528</v>
      </c>
      <c r="E523">
        <v>100</v>
      </c>
      <c r="F523">
        <v>100</v>
      </c>
      <c r="G523" s="15">
        <v>1</v>
      </c>
      <c r="H523" s="167">
        <f t="shared" si="16"/>
        <v>5.1413881748071976E-4</v>
      </c>
      <c r="I523" s="167"/>
      <c r="J523" s="167"/>
    </row>
    <row r="524" spans="2:10" x14ac:dyDescent="0.25">
      <c r="B524" s="169">
        <f t="shared" si="17"/>
        <v>0.26683804627249424</v>
      </c>
      <c r="C524">
        <v>2010</v>
      </c>
      <c r="E524">
        <v>3</v>
      </c>
      <c r="F524">
        <v>3</v>
      </c>
      <c r="G524" s="15">
        <v>1</v>
      </c>
      <c r="H524" s="167">
        <f t="shared" si="16"/>
        <v>5.1413881748071976E-4</v>
      </c>
      <c r="I524" s="167"/>
      <c r="J524" s="167"/>
    </row>
    <row r="525" spans="2:10" x14ac:dyDescent="0.25">
      <c r="B525" s="169">
        <f t="shared" si="17"/>
        <v>0.26735218508997499</v>
      </c>
      <c r="C525">
        <v>503</v>
      </c>
      <c r="E525">
        <v>10</v>
      </c>
      <c r="F525">
        <v>10</v>
      </c>
      <c r="G525" s="15">
        <v>1</v>
      </c>
      <c r="H525" s="167">
        <f t="shared" si="16"/>
        <v>5.1413881748071976E-4</v>
      </c>
      <c r="I525" s="167"/>
      <c r="J525" s="167"/>
    </row>
    <row r="526" spans="2:10" x14ac:dyDescent="0.25">
      <c r="B526" s="169">
        <f t="shared" si="17"/>
        <v>0.26786632390745574</v>
      </c>
      <c r="C526">
        <v>510</v>
      </c>
      <c r="E526">
        <v>19</v>
      </c>
      <c r="F526">
        <v>19</v>
      </c>
      <c r="G526" s="15">
        <v>1</v>
      </c>
      <c r="H526" s="167">
        <f t="shared" si="16"/>
        <v>5.1413881748071976E-4</v>
      </c>
      <c r="I526" s="167"/>
      <c r="J526" s="167"/>
    </row>
    <row r="527" spans="2:10" x14ac:dyDescent="0.25">
      <c r="B527" s="169">
        <f t="shared" si="17"/>
        <v>0.26838046272493649</v>
      </c>
      <c r="C527">
        <v>4529</v>
      </c>
      <c r="E527">
        <v>20</v>
      </c>
      <c r="F527">
        <v>20</v>
      </c>
      <c r="G527" s="15">
        <v>1</v>
      </c>
      <c r="H527" s="167">
        <f t="shared" si="16"/>
        <v>5.1413881748071976E-4</v>
      </c>
      <c r="I527" s="167"/>
      <c r="J527" s="167"/>
    </row>
    <row r="528" spans="2:10" x14ac:dyDescent="0.25">
      <c r="B528" s="169">
        <f t="shared" si="17"/>
        <v>0.26889460154241723</v>
      </c>
      <c r="C528">
        <v>4530</v>
      </c>
      <c r="E528">
        <v>25</v>
      </c>
      <c r="F528">
        <v>25</v>
      </c>
      <c r="G528" s="15">
        <v>1</v>
      </c>
      <c r="H528" s="167">
        <f t="shared" si="16"/>
        <v>5.1413881748071976E-4</v>
      </c>
      <c r="I528" s="167"/>
      <c r="J528" s="167"/>
    </row>
    <row r="529" spans="2:10" x14ac:dyDescent="0.25">
      <c r="B529" s="169">
        <f t="shared" si="17"/>
        <v>0.26940874035989798</v>
      </c>
      <c r="C529">
        <v>504</v>
      </c>
      <c r="E529">
        <v>15</v>
      </c>
      <c r="F529">
        <v>15</v>
      </c>
      <c r="G529" s="15">
        <v>1</v>
      </c>
      <c r="H529" s="167">
        <f t="shared" si="16"/>
        <v>5.1413881748071976E-4</v>
      </c>
      <c r="I529" s="167"/>
      <c r="J529" s="167"/>
    </row>
    <row r="530" spans="2:10" x14ac:dyDescent="0.25">
      <c r="B530" s="169">
        <f t="shared" si="17"/>
        <v>0.26992287917737873</v>
      </c>
      <c r="C530">
        <v>3471</v>
      </c>
      <c r="E530">
        <v>12</v>
      </c>
      <c r="F530">
        <v>12</v>
      </c>
      <c r="G530" s="15">
        <v>1</v>
      </c>
      <c r="H530" s="167">
        <f t="shared" si="16"/>
        <v>5.1413881748071976E-4</v>
      </c>
      <c r="I530" s="167"/>
      <c r="J530" s="167"/>
    </row>
    <row r="531" spans="2:10" x14ac:dyDescent="0.25">
      <c r="B531" s="169">
        <f t="shared" si="17"/>
        <v>0.27043701799485947</v>
      </c>
      <c r="C531">
        <v>3631</v>
      </c>
      <c r="E531">
        <v>60</v>
      </c>
      <c r="F531">
        <v>60</v>
      </c>
      <c r="G531" s="15">
        <v>1</v>
      </c>
      <c r="H531" s="167">
        <f t="shared" si="16"/>
        <v>5.1413881748071976E-4</v>
      </c>
      <c r="I531" s="167"/>
      <c r="J531" s="167"/>
    </row>
    <row r="532" spans="2:10" x14ac:dyDescent="0.25">
      <c r="B532" s="169">
        <f t="shared" si="17"/>
        <v>0.27095115681234022</v>
      </c>
      <c r="C532">
        <v>3638</v>
      </c>
      <c r="E532">
        <v>83</v>
      </c>
      <c r="F532">
        <v>83</v>
      </c>
      <c r="G532" s="15">
        <v>1</v>
      </c>
      <c r="H532" s="167">
        <f t="shared" si="16"/>
        <v>5.1413881748071976E-4</v>
      </c>
      <c r="I532" s="167"/>
      <c r="J532" s="167"/>
    </row>
    <row r="533" spans="2:10" x14ac:dyDescent="0.25">
      <c r="B533" s="169">
        <f t="shared" si="17"/>
        <v>0.27146529562982097</v>
      </c>
      <c r="C533">
        <v>3491</v>
      </c>
      <c r="E533">
        <v>15</v>
      </c>
      <c r="F533">
        <v>15</v>
      </c>
      <c r="G533" s="15">
        <v>1</v>
      </c>
      <c r="H533" s="167">
        <f t="shared" si="16"/>
        <v>5.1413881748071976E-4</v>
      </c>
      <c r="I533" s="167"/>
      <c r="J533" s="167"/>
    </row>
    <row r="534" spans="2:10" x14ac:dyDescent="0.25">
      <c r="B534" s="169">
        <f t="shared" si="17"/>
        <v>0.27197943444730172</v>
      </c>
      <c r="C534">
        <v>3492</v>
      </c>
      <c r="E534">
        <v>14</v>
      </c>
      <c r="F534">
        <v>14</v>
      </c>
      <c r="G534" s="15">
        <v>1</v>
      </c>
      <c r="H534" s="167">
        <f t="shared" si="16"/>
        <v>5.1413881748071976E-4</v>
      </c>
      <c r="I534" s="167"/>
      <c r="J534" s="167"/>
    </row>
    <row r="535" spans="2:10" x14ac:dyDescent="0.25">
      <c r="B535" s="169">
        <f t="shared" si="17"/>
        <v>0.27249357326478246</v>
      </c>
      <c r="C535">
        <v>511</v>
      </c>
      <c r="E535">
        <v>22</v>
      </c>
      <c r="F535">
        <v>22</v>
      </c>
      <c r="G535" s="15">
        <v>1</v>
      </c>
      <c r="H535" s="167">
        <f t="shared" si="16"/>
        <v>5.1413881748071976E-4</v>
      </c>
      <c r="I535" s="167"/>
      <c r="J535" s="167"/>
    </row>
    <row r="536" spans="2:10" x14ac:dyDescent="0.25">
      <c r="B536" s="169">
        <f t="shared" si="17"/>
        <v>0.27300771208226321</v>
      </c>
      <c r="C536">
        <v>505</v>
      </c>
      <c r="E536">
        <v>10</v>
      </c>
      <c r="F536">
        <v>10</v>
      </c>
      <c r="G536" s="15">
        <v>1</v>
      </c>
      <c r="H536" s="167">
        <f t="shared" si="16"/>
        <v>5.1413881748071976E-4</v>
      </c>
      <c r="I536" s="167"/>
      <c r="J536" s="167"/>
    </row>
    <row r="537" spans="2:10" x14ac:dyDescent="0.25">
      <c r="B537" s="169">
        <f t="shared" si="17"/>
        <v>0.27352185089974396</v>
      </c>
      <c r="C537">
        <v>3468</v>
      </c>
      <c r="E537">
        <v>1</v>
      </c>
      <c r="F537">
        <v>1</v>
      </c>
      <c r="G537" s="15">
        <v>1</v>
      </c>
      <c r="H537" s="167">
        <f t="shared" si="16"/>
        <v>5.1413881748071976E-4</v>
      </c>
      <c r="I537" s="167"/>
      <c r="J537" s="167"/>
    </row>
    <row r="538" spans="2:10" x14ac:dyDescent="0.25">
      <c r="B538" s="169">
        <f t="shared" si="17"/>
        <v>0.2740359897172247</v>
      </c>
      <c r="C538">
        <v>4256</v>
      </c>
      <c r="E538">
        <v>66</v>
      </c>
      <c r="F538">
        <v>66</v>
      </c>
      <c r="G538" s="15">
        <v>1</v>
      </c>
      <c r="H538" s="167">
        <f t="shared" si="16"/>
        <v>5.1413881748071976E-4</v>
      </c>
      <c r="I538" s="167"/>
      <c r="J538" s="167"/>
    </row>
    <row r="539" spans="2:10" x14ac:dyDescent="0.25">
      <c r="B539" s="169">
        <f t="shared" si="17"/>
        <v>0.27455012853470545</v>
      </c>
      <c r="C539">
        <v>4257</v>
      </c>
      <c r="E539">
        <v>66</v>
      </c>
      <c r="F539">
        <v>66</v>
      </c>
      <c r="G539" s="15">
        <v>1</v>
      </c>
      <c r="H539" s="167">
        <f t="shared" si="16"/>
        <v>5.1413881748071976E-4</v>
      </c>
      <c r="I539" s="167"/>
      <c r="J539" s="167"/>
    </row>
    <row r="540" spans="2:10" x14ac:dyDescent="0.25">
      <c r="B540" s="169">
        <f t="shared" si="17"/>
        <v>0.2750642673521862</v>
      </c>
      <c r="C540">
        <v>4258</v>
      </c>
      <c r="E540">
        <v>55</v>
      </c>
      <c r="F540">
        <v>55</v>
      </c>
      <c r="G540" s="15">
        <v>1</v>
      </c>
      <c r="H540" s="167">
        <f t="shared" si="16"/>
        <v>5.1413881748071976E-4</v>
      </c>
      <c r="I540" s="167"/>
      <c r="J540" s="167"/>
    </row>
    <row r="541" spans="2:10" x14ac:dyDescent="0.25">
      <c r="B541" s="169">
        <f t="shared" si="17"/>
        <v>0.27557840616966695</v>
      </c>
      <c r="C541">
        <v>4259</v>
      </c>
      <c r="E541">
        <v>57</v>
      </c>
      <c r="F541">
        <v>57</v>
      </c>
      <c r="G541" s="15">
        <v>1</v>
      </c>
      <c r="H541" s="167">
        <f t="shared" si="16"/>
        <v>5.1413881748071976E-4</v>
      </c>
      <c r="I541" s="167"/>
      <c r="J541" s="167"/>
    </row>
    <row r="542" spans="2:10" x14ac:dyDescent="0.25">
      <c r="B542" s="169">
        <f t="shared" si="17"/>
        <v>0.27609254498714769</v>
      </c>
      <c r="C542">
        <v>2005</v>
      </c>
      <c r="E542">
        <v>2</v>
      </c>
      <c r="F542">
        <v>2</v>
      </c>
      <c r="G542" s="15">
        <v>1</v>
      </c>
      <c r="H542" s="167">
        <f t="shared" si="16"/>
        <v>5.1413881748071976E-4</v>
      </c>
      <c r="I542" s="167"/>
      <c r="J542" s="167"/>
    </row>
    <row r="543" spans="2:10" x14ac:dyDescent="0.25">
      <c r="B543" s="169">
        <f t="shared" si="17"/>
        <v>0.27660668380462844</v>
      </c>
      <c r="C543">
        <v>3478</v>
      </c>
      <c r="E543">
        <v>13</v>
      </c>
      <c r="F543">
        <v>13</v>
      </c>
      <c r="G543" s="15">
        <v>1</v>
      </c>
      <c r="H543" s="167">
        <f t="shared" si="16"/>
        <v>5.1413881748071976E-4</v>
      </c>
      <c r="I543" s="167"/>
      <c r="J543" s="167"/>
    </row>
    <row r="544" spans="2:10" x14ac:dyDescent="0.25">
      <c r="B544" s="169">
        <f t="shared" si="17"/>
        <v>0.27712082262210919</v>
      </c>
      <c r="C544">
        <v>506</v>
      </c>
      <c r="E544">
        <v>105</v>
      </c>
      <c r="F544">
        <v>105</v>
      </c>
      <c r="G544" s="15">
        <v>1</v>
      </c>
      <c r="H544" s="167">
        <f t="shared" si="16"/>
        <v>5.1413881748071976E-4</v>
      </c>
      <c r="I544" s="167"/>
      <c r="J544" s="167"/>
    </row>
    <row r="545" spans="2:10" x14ac:dyDescent="0.25">
      <c r="B545" s="169">
        <f t="shared" si="17"/>
        <v>0.27763496143958993</v>
      </c>
      <c r="C545">
        <v>3477</v>
      </c>
      <c r="E545">
        <v>12</v>
      </c>
      <c r="F545">
        <v>12</v>
      </c>
      <c r="G545" s="15">
        <v>1</v>
      </c>
      <c r="H545" s="167">
        <f t="shared" si="16"/>
        <v>5.1413881748071976E-4</v>
      </c>
      <c r="I545" s="167"/>
      <c r="J545" s="167"/>
    </row>
    <row r="546" spans="2:10" x14ac:dyDescent="0.25">
      <c r="B546" s="169">
        <f t="shared" si="17"/>
        <v>0.27814910025707068</v>
      </c>
      <c r="C546">
        <v>4277</v>
      </c>
      <c r="E546">
        <v>146</v>
      </c>
      <c r="F546">
        <v>146</v>
      </c>
      <c r="G546" s="15">
        <v>1</v>
      </c>
      <c r="H546" s="167">
        <f t="shared" si="16"/>
        <v>5.1413881748071976E-4</v>
      </c>
      <c r="I546" s="167"/>
      <c r="J546" s="167"/>
    </row>
    <row r="547" spans="2:10" x14ac:dyDescent="0.25">
      <c r="B547" s="169">
        <f t="shared" si="17"/>
        <v>0.27866323907455143</v>
      </c>
      <c r="C547">
        <v>4706</v>
      </c>
      <c r="E547">
        <v>191</v>
      </c>
      <c r="F547">
        <v>191</v>
      </c>
      <c r="G547" s="15">
        <v>1</v>
      </c>
      <c r="H547" s="167">
        <f t="shared" si="16"/>
        <v>5.1413881748071976E-4</v>
      </c>
      <c r="I547" s="167"/>
      <c r="J547" s="167"/>
    </row>
    <row r="548" spans="2:10" x14ac:dyDescent="0.25">
      <c r="B548" s="169">
        <f t="shared" si="17"/>
        <v>0.27917737789203217</v>
      </c>
      <c r="C548">
        <v>4292</v>
      </c>
      <c r="E548">
        <v>70</v>
      </c>
      <c r="F548">
        <v>70</v>
      </c>
      <c r="G548" s="15">
        <v>1</v>
      </c>
      <c r="H548" s="167">
        <f t="shared" si="16"/>
        <v>5.1413881748071976E-4</v>
      </c>
      <c r="I548" s="167"/>
      <c r="J548" s="167"/>
    </row>
    <row r="549" spans="2:10" x14ac:dyDescent="0.25">
      <c r="B549" s="169">
        <f t="shared" si="17"/>
        <v>0.27969151670951292</v>
      </c>
      <c r="C549">
        <v>4301</v>
      </c>
      <c r="E549">
        <v>117</v>
      </c>
      <c r="F549">
        <v>117</v>
      </c>
      <c r="G549" s="15">
        <v>1</v>
      </c>
      <c r="H549" s="167">
        <f t="shared" si="16"/>
        <v>5.1413881748071976E-4</v>
      </c>
      <c r="I549" s="167"/>
      <c r="J549" s="167"/>
    </row>
    <row r="550" spans="2:10" x14ac:dyDescent="0.25">
      <c r="B550" s="169">
        <f t="shared" si="17"/>
        <v>0.28020565552699367</v>
      </c>
      <c r="C550">
        <v>4304</v>
      </c>
      <c r="E550">
        <v>146</v>
      </c>
      <c r="F550">
        <v>146</v>
      </c>
      <c r="G550" s="15">
        <v>1</v>
      </c>
      <c r="H550" s="167">
        <f t="shared" si="16"/>
        <v>5.1413881748071976E-4</v>
      </c>
      <c r="I550" s="167"/>
      <c r="J550" s="167"/>
    </row>
    <row r="551" spans="2:10" x14ac:dyDescent="0.25">
      <c r="B551" s="169">
        <f t="shared" si="17"/>
        <v>0.28071979434447442</v>
      </c>
      <c r="C551">
        <v>4327</v>
      </c>
      <c r="E551">
        <v>103</v>
      </c>
      <c r="F551">
        <v>103</v>
      </c>
      <c r="G551" s="15">
        <v>1</v>
      </c>
      <c r="H551" s="167">
        <f t="shared" si="16"/>
        <v>5.1413881748071976E-4</v>
      </c>
      <c r="I551" s="167"/>
      <c r="J551" s="167"/>
    </row>
    <row r="552" spans="2:10" x14ac:dyDescent="0.25">
      <c r="B552" s="169">
        <f t="shared" si="17"/>
        <v>0.28123393316195516</v>
      </c>
      <c r="C552">
        <v>4330</v>
      </c>
      <c r="E552">
        <v>70</v>
      </c>
      <c r="F552">
        <v>70</v>
      </c>
      <c r="G552" s="15">
        <v>1</v>
      </c>
      <c r="H552" s="167">
        <f t="shared" si="16"/>
        <v>5.1413881748071976E-4</v>
      </c>
      <c r="I552" s="167"/>
      <c r="J552" s="167"/>
    </row>
    <row r="553" spans="2:10" x14ac:dyDescent="0.25">
      <c r="B553" s="169">
        <f t="shared" si="17"/>
        <v>0.28174807197943591</v>
      </c>
      <c r="C553">
        <v>4335</v>
      </c>
      <c r="E553">
        <v>74</v>
      </c>
      <c r="F553">
        <v>74</v>
      </c>
      <c r="G553" s="15">
        <v>1</v>
      </c>
      <c r="H553" s="167">
        <f t="shared" si="16"/>
        <v>5.1413881748071976E-4</v>
      </c>
      <c r="I553" s="167"/>
      <c r="J553" s="167"/>
    </row>
    <row r="554" spans="2:10" x14ac:dyDescent="0.25">
      <c r="B554" s="169">
        <f t="shared" si="17"/>
        <v>0.28226221079691666</v>
      </c>
      <c r="C554">
        <v>4348</v>
      </c>
      <c r="E554">
        <v>121</v>
      </c>
      <c r="F554">
        <v>121</v>
      </c>
      <c r="G554" s="15">
        <v>1</v>
      </c>
      <c r="H554" s="167">
        <f t="shared" si="16"/>
        <v>5.1413881748071976E-4</v>
      </c>
      <c r="I554" s="167"/>
      <c r="J554" s="167"/>
    </row>
    <row r="555" spans="2:10" x14ac:dyDescent="0.25">
      <c r="B555" s="169">
        <f t="shared" si="17"/>
        <v>0.2827763496143974</v>
      </c>
      <c r="C555">
        <v>4361</v>
      </c>
      <c r="E555">
        <v>95</v>
      </c>
      <c r="F555">
        <v>95</v>
      </c>
      <c r="G555" s="15">
        <v>1</v>
      </c>
      <c r="H555" s="167">
        <f t="shared" si="16"/>
        <v>5.1413881748071976E-4</v>
      </c>
      <c r="I555" s="167"/>
      <c r="J555" s="167"/>
    </row>
    <row r="556" spans="2:10" x14ac:dyDescent="0.25">
      <c r="B556" s="169">
        <f t="shared" si="17"/>
        <v>0.28329048843187815</v>
      </c>
      <c r="C556">
        <v>4366</v>
      </c>
      <c r="E556">
        <v>95</v>
      </c>
      <c r="F556">
        <v>95</v>
      </c>
      <c r="G556" s="15">
        <v>1</v>
      </c>
      <c r="H556" s="167">
        <f t="shared" si="16"/>
        <v>5.1413881748071976E-4</v>
      </c>
      <c r="I556" s="167"/>
      <c r="J556" s="167"/>
    </row>
    <row r="557" spans="2:10" x14ac:dyDescent="0.25">
      <c r="B557" s="169">
        <f t="shared" si="17"/>
        <v>0.2838046272493589</v>
      </c>
      <c r="C557">
        <v>4642</v>
      </c>
      <c r="E557">
        <v>171</v>
      </c>
      <c r="F557">
        <v>171</v>
      </c>
      <c r="G557" s="15">
        <v>1</v>
      </c>
      <c r="H557" s="167">
        <f t="shared" si="16"/>
        <v>5.1413881748071976E-4</v>
      </c>
      <c r="I557" s="167"/>
      <c r="J557" s="167"/>
    </row>
    <row r="558" spans="2:10" x14ac:dyDescent="0.25">
      <c r="B558" s="169">
        <f t="shared" si="17"/>
        <v>0.28431876606683965</v>
      </c>
      <c r="C558">
        <v>4643</v>
      </c>
      <c r="E558">
        <v>171</v>
      </c>
      <c r="F558">
        <v>171</v>
      </c>
      <c r="G558" s="15">
        <v>1</v>
      </c>
      <c r="H558" s="167">
        <f t="shared" si="16"/>
        <v>5.1413881748071976E-4</v>
      </c>
      <c r="I558" s="167"/>
      <c r="J558" s="167"/>
    </row>
    <row r="559" spans="2:10" x14ac:dyDescent="0.25">
      <c r="B559" s="169">
        <f t="shared" si="17"/>
        <v>0.28483290488432039</v>
      </c>
      <c r="C559">
        <v>4396</v>
      </c>
      <c r="E559">
        <v>121</v>
      </c>
      <c r="F559">
        <v>121</v>
      </c>
      <c r="G559" s="15">
        <v>1</v>
      </c>
      <c r="H559" s="167">
        <f t="shared" si="16"/>
        <v>5.1413881748071976E-4</v>
      </c>
      <c r="I559" s="167"/>
      <c r="J559" s="167"/>
    </row>
    <row r="560" spans="2:10" x14ac:dyDescent="0.25">
      <c r="B560" s="169">
        <f t="shared" si="17"/>
        <v>0.28534704370180114</v>
      </c>
      <c r="C560">
        <v>4401</v>
      </c>
      <c r="E560">
        <v>63</v>
      </c>
      <c r="F560">
        <v>63</v>
      </c>
      <c r="G560" s="15">
        <v>1</v>
      </c>
      <c r="H560" s="167">
        <f t="shared" si="16"/>
        <v>5.1413881748071976E-4</v>
      </c>
      <c r="I560" s="167"/>
      <c r="J560" s="167"/>
    </row>
    <row r="561" spans="2:10" x14ac:dyDescent="0.25">
      <c r="B561" s="169">
        <f t="shared" si="17"/>
        <v>0.28586118251928189</v>
      </c>
      <c r="C561">
        <v>4468</v>
      </c>
      <c r="E561">
        <v>226</v>
      </c>
      <c r="F561">
        <v>226</v>
      </c>
      <c r="G561" s="15">
        <v>1</v>
      </c>
      <c r="H561" s="167">
        <f t="shared" si="16"/>
        <v>5.1413881748071976E-4</v>
      </c>
      <c r="I561" s="167"/>
      <c r="J561" s="167"/>
    </row>
    <row r="562" spans="2:10" x14ac:dyDescent="0.25">
      <c r="B562" s="169">
        <f t="shared" si="17"/>
        <v>0.28637532133676263</v>
      </c>
      <c r="C562">
        <v>512</v>
      </c>
      <c r="E562">
        <v>30</v>
      </c>
      <c r="F562">
        <v>30</v>
      </c>
      <c r="G562" s="15">
        <v>1</v>
      </c>
      <c r="H562" s="167">
        <f t="shared" si="16"/>
        <v>5.1413881748071976E-4</v>
      </c>
      <c r="I562" s="167"/>
      <c r="J562" s="167"/>
    </row>
    <row r="563" spans="2:10" x14ac:dyDescent="0.25">
      <c r="B563" s="169">
        <f t="shared" si="17"/>
        <v>0.28688946015424338</v>
      </c>
      <c r="C563">
        <v>2037</v>
      </c>
      <c r="E563">
        <v>1</v>
      </c>
      <c r="F563">
        <v>1</v>
      </c>
      <c r="G563" s="15">
        <v>1</v>
      </c>
      <c r="H563" s="167">
        <f t="shared" si="16"/>
        <v>5.1413881748071976E-4</v>
      </c>
      <c r="I563" s="167"/>
      <c r="J563" s="167"/>
    </row>
    <row r="564" spans="2:10" x14ac:dyDescent="0.25">
      <c r="B564" s="169">
        <f t="shared" si="17"/>
        <v>0.28740359897172413</v>
      </c>
      <c r="C564">
        <v>2038</v>
      </c>
      <c r="E564">
        <v>81</v>
      </c>
      <c r="F564">
        <v>81</v>
      </c>
      <c r="G564" s="15">
        <v>1</v>
      </c>
      <c r="H564" s="167">
        <f t="shared" si="16"/>
        <v>5.1413881748071976E-4</v>
      </c>
      <c r="I564" s="167"/>
      <c r="J564" s="167"/>
    </row>
    <row r="565" spans="2:10" x14ac:dyDescent="0.25">
      <c r="B565" s="169">
        <f t="shared" si="17"/>
        <v>0.28791773778920488</v>
      </c>
      <c r="C565">
        <v>2139</v>
      </c>
      <c r="E565">
        <v>124</v>
      </c>
      <c r="F565">
        <v>124</v>
      </c>
      <c r="G565" s="15">
        <v>1</v>
      </c>
      <c r="H565" s="167">
        <f t="shared" si="16"/>
        <v>5.1413881748071976E-4</v>
      </c>
      <c r="I565" s="167"/>
      <c r="J565" s="167"/>
    </row>
    <row r="566" spans="2:10" x14ac:dyDescent="0.25">
      <c r="B566" s="169">
        <f t="shared" si="17"/>
        <v>0.28843187660668562</v>
      </c>
      <c r="C566">
        <v>2165</v>
      </c>
      <c r="E566">
        <v>1</v>
      </c>
      <c r="F566">
        <v>1</v>
      </c>
      <c r="G566" s="15">
        <v>1</v>
      </c>
      <c r="H566" s="167">
        <f t="shared" si="16"/>
        <v>5.1413881748071976E-4</v>
      </c>
      <c r="I566" s="167"/>
      <c r="J566" s="167"/>
    </row>
    <row r="567" spans="2:10" x14ac:dyDescent="0.25">
      <c r="B567" s="169">
        <f t="shared" si="17"/>
        <v>0.28894601542416637</v>
      </c>
      <c r="C567">
        <v>3479</v>
      </c>
      <c r="E567">
        <v>3</v>
      </c>
      <c r="F567">
        <v>3</v>
      </c>
      <c r="G567" s="15">
        <v>1</v>
      </c>
      <c r="H567" s="167">
        <f t="shared" si="16"/>
        <v>5.1413881748071976E-4</v>
      </c>
      <c r="I567" s="167"/>
      <c r="J567" s="167"/>
    </row>
    <row r="568" spans="2:10" x14ac:dyDescent="0.25">
      <c r="B568" s="169">
        <f t="shared" si="17"/>
        <v>0.28946015424164712</v>
      </c>
      <c r="C568">
        <v>1957</v>
      </c>
      <c r="E568">
        <v>7</v>
      </c>
      <c r="F568">
        <v>7</v>
      </c>
      <c r="G568" s="15">
        <v>1</v>
      </c>
      <c r="H568" s="167">
        <f t="shared" si="16"/>
        <v>5.1413881748071976E-4</v>
      </c>
      <c r="I568" s="167"/>
      <c r="J568" s="167"/>
    </row>
    <row r="569" spans="2:10" x14ac:dyDescent="0.25">
      <c r="B569" s="169">
        <f t="shared" si="17"/>
        <v>0.28997429305912786</v>
      </c>
      <c r="C569">
        <v>1962</v>
      </c>
      <c r="E569">
        <v>7</v>
      </c>
      <c r="F569">
        <v>7</v>
      </c>
      <c r="G569" s="15">
        <v>1</v>
      </c>
      <c r="H569" s="167">
        <f t="shared" si="16"/>
        <v>5.1413881748071976E-4</v>
      </c>
      <c r="I569" s="167"/>
      <c r="J569" s="167"/>
    </row>
    <row r="570" spans="2:10" x14ac:dyDescent="0.25">
      <c r="B570" s="169">
        <f t="shared" si="17"/>
        <v>0.29048843187660861</v>
      </c>
      <c r="C570">
        <v>3561</v>
      </c>
      <c r="E570">
        <v>1</v>
      </c>
      <c r="F570">
        <v>1</v>
      </c>
      <c r="G570" s="15">
        <v>1</v>
      </c>
      <c r="H570" s="167">
        <f t="shared" si="16"/>
        <v>5.1413881748071976E-4</v>
      </c>
      <c r="I570" s="167"/>
      <c r="J570" s="167"/>
    </row>
    <row r="571" spans="2:10" x14ac:dyDescent="0.25">
      <c r="B571" s="169">
        <f t="shared" si="17"/>
        <v>0.29100257069408936</v>
      </c>
      <c r="C571">
        <v>1958</v>
      </c>
      <c r="E571">
        <v>45</v>
      </c>
      <c r="F571">
        <v>45</v>
      </c>
      <c r="G571" s="15">
        <v>1</v>
      </c>
      <c r="H571" s="167">
        <f t="shared" si="16"/>
        <v>5.1413881748071976E-4</v>
      </c>
      <c r="I571" s="167"/>
      <c r="J571" s="167"/>
    </row>
    <row r="572" spans="2:10" x14ac:dyDescent="0.25">
      <c r="B572" s="169">
        <f t="shared" si="17"/>
        <v>0.2915167095115701</v>
      </c>
      <c r="C572">
        <v>1963</v>
      </c>
      <c r="E572">
        <v>10</v>
      </c>
      <c r="F572">
        <v>10</v>
      </c>
      <c r="G572" s="15">
        <v>1</v>
      </c>
      <c r="H572" s="167">
        <f t="shared" si="16"/>
        <v>5.1413881748071976E-4</v>
      </c>
      <c r="I572" s="167"/>
      <c r="J572" s="167"/>
    </row>
    <row r="573" spans="2:10" x14ac:dyDescent="0.25">
      <c r="B573" s="169">
        <f t="shared" si="17"/>
        <v>0.29203084832905085</v>
      </c>
      <c r="C573">
        <v>4412</v>
      </c>
      <c r="E573">
        <v>51</v>
      </c>
      <c r="F573">
        <v>51</v>
      </c>
      <c r="G573" s="15">
        <v>1</v>
      </c>
      <c r="H573" s="167">
        <f t="shared" si="16"/>
        <v>5.1413881748071976E-4</v>
      </c>
      <c r="I573" s="167"/>
      <c r="J573" s="167"/>
    </row>
    <row r="574" spans="2:10" x14ac:dyDescent="0.25">
      <c r="B574" s="169">
        <f t="shared" si="17"/>
        <v>0.2925449871465316</v>
      </c>
      <c r="C574">
        <v>3613</v>
      </c>
      <c r="E574">
        <v>20</v>
      </c>
      <c r="F574">
        <v>20</v>
      </c>
      <c r="G574" s="15">
        <v>1</v>
      </c>
      <c r="H574" s="167">
        <f t="shared" si="16"/>
        <v>5.1413881748071976E-4</v>
      </c>
      <c r="I574" s="167"/>
      <c r="J574" s="167"/>
    </row>
    <row r="575" spans="2:10" x14ac:dyDescent="0.25">
      <c r="B575" s="169">
        <f t="shared" si="17"/>
        <v>0.29305912596401235</v>
      </c>
      <c r="C575">
        <v>3614</v>
      </c>
      <c r="E575">
        <v>20</v>
      </c>
      <c r="F575">
        <v>20</v>
      </c>
      <c r="G575" s="15">
        <v>1</v>
      </c>
      <c r="H575" s="167">
        <f t="shared" si="16"/>
        <v>5.1413881748071976E-4</v>
      </c>
      <c r="I575" s="167"/>
      <c r="J575" s="167"/>
    </row>
    <row r="576" spans="2:10" x14ac:dyDescent="0.25">
      <c r="B576" s="169">
        <f t="shared" si="17"/>
        <v>0.29357326478149309</v>
      </c>
      <c r="C576">
        <v>3620</v>
      </c>
      <c r="E576">
        <v>40</v>
      </c>
      <c r="F576">
        <v>40</v>
      </c>
      <c r="G576" s="15">
        <v>1</v>
      </c>
      <c r="H576" s="167">
        <f t="shared" si="16"/>
        <v>5.1413881748071976E-4</v>
      </c>
      <c r="I576" s="167"/>
      <c r="J576" s="167"/>
    </row>
    <row r="577" spans="2:10" x14ac:dyDescent="0.25">
      <c r="B577" s="169">
        <f t="shared" si="17"/>
        <v>0.29408740359897384</v>
      </c>
      <c r="C577">
        <v>3623</v>
      </c>
      <c r="E577">
        <v>20</v>
      </c>
      <c r="F577">
        <v>20</v>
      </c>
      <c r="G577" s="15">
        <v>1</v>
      </c>
      <c r="H577" s="167">
        <f t="shared" si="16"/>
        <v>5.1413881748071976E-4</v>
      </c>
      <c r="I577" s="167"/>
      <c r="J577" s="167"/>
    </row>
    <row r="578" spans="2:10" x14ac:dyDescent="0.25">
      <c r="B578" s="169">
        <f t="shared" si="17"/>
        <v>0.29460154241645459</v>
      </c>
      <c r="C578">
        <v>3624</v>
      </c>
      <c r="E578">
        <v>20</v>
      </c>
      <c r="F578">
        <v>20</v>
      </c>
      <c r="G578" s="15">
        <v>1</v>
      </c>
      <c r="H578" s="167">
        <f t="shared" si="16"/>
        <v>5.1413881748071976E-4</v>
      </c>
      <c r="I578" s="167"/>
      <c r="J578" s="167"/>
    </row>
    <row r="579" spans="2:10" x14ac:dyDescent="0.25">
      <c r="B579" s="169">
        <f t="shared" si="17"/>
        <v>0.29511568123393533</v>
      </c>
      <c r="C579">
        <v>5591</v>
      </c>
      <c r="E579">
        <v>150</v>
      </c>
      <c r="F579">
        <v>150</v>
      </c>
      <c r="G579" s="15">
        <v>1</v>
      </c>
      <c r="H579" s="167">
        <f t="shared" si="16"/>
        <v>5.1413881748071976E-4</v>
      </c>
      <c r="I579" s="167"/>
      <c r="J579" s="167"/>
    </row>
    <row r="580" spans="2:10" x14ac:dyDescent="0.25">
      <c r="B580" s="169">
        <f t="shared" si="17"/>
        <v>0.29562982005141608</v>
      </c>
      <c r="C580">
        <v>1964</v>
      </c>
      <c r="E580">
        <v>71</v>
      </c>
      <c r="F580">
        <v>71</v>
      </c>
      <c r="G580" s="15">
        <v>1</v>
      </c>
      <c r="H580" s="167">
        <f t="shared" si="16"/>
        <v>5.1413881748071976E-4</v>
      </c>
      <c r="I580" s="167"/>
      <c r="J580" s="167"/>
    </row>
    <row r="581" spans="2:10" x14ac:dyDescent="0.25">
      <c r="B581" s="169">
        <f t="shared" si="17"/>
        <v>0.29614395886889683</v>
      </c>
      <c r="C581">
        <v>2045</v>
      </c>
      <c r="E581">
        <v>2</v>
      </c>
      <c r="F581">
        <v>2</v>
      </c>
      <c r="G581" s="15">
        <v>1</v>
      </c>
      <c r="H581" s="167">
        <f t="shared" si="16"/>
        <v>5.1413881748071976E-4</v>
      </c>
      <c r="I581" s="167"/>
      <c r="J581" s="167"/>
    </row>
    <row r="582" spans="2:10" x14ac:dyDescent="0.25">
      <c r="B582" s="169">
        <f t="shared" si="17"/>
        <v>0.29665809768637758</v>
      </c>
      <c r="C582">
        <v>3562</v>
      </c>
      <c r="E582">
        <v>1</v>
      </c>
      <c r="F582">
        <v>1</v>
      </c>
      <c r="G582" s="15">
        <v>1</v>
      </c>
      <c r="H582" s="167">
        <f t="shared" ref="H582:H645" si="18">1/$L$6</f>
        <v>5.1413881748071976E-4</v>
      </c>
      <c r="I582" s="167"/>
      <c r="J582" s="167"/>
    </row>
    <row r="583" spans="2:10" x14ac:dyDescent="0.25">
      <c r="B583" s="169">
        <f t="shared" ref="B583:B646" si="19">B582+H583</f>
        <v>0.29717223650385832</v>
      </c>
      <c r="C583">
        <v>2046</v>
      </c>
      <c r="E583">
        <v>2</v>
      </c>
      <c r="F583">
        <v>2</v>
      </c>
      <c r="G583" s="15">
        <v>1</v>
      </c>
      <c r="H583" s="167">
        <f t="shared" si="18"/>
        <v>5.1413881748071976E-4</v>
      </c>
      <c r="I583" s="167"/>
      <c r="J583" s="167"/>
    </row>
    <row r="584" spans="2:10" x14ac:dyDescent="0.25">
      <c r="B584" s="169">
        <f t="shared" si="19"/>
        <v>0.29768637532133907</v>
      </c>
      <c r="C584">
        <v>2047</v>
      </c>
      <c r="E584">
        <v>70</v>
      </c>
      <c r="F584">
        <v>70</v>
      </c>
      <c r="G584" s="15">
        <v>1</v>
      </c>
      <c r="H584" s="167">
        <f t="shared" si="18"/>
        <v>5.1413881748071976E-4</v>
      </c>
      <c r="I584" s="167"/>
      <c r="J584" s="167"/>
    </row>
    <row r="585" spans="2:10" x14ac:dyDescent="0.25">
      <c r="B585" s="169">
        <f t="shared" si="19"/>
        <v>0.29820051413881982</v>
      </c>
      <c r="C585">
        <v>4616</v>
      </c>
      <c r="E585">
        <v>111</v>
      </c>
      <c r="F585">
        <v>111</v>
      </c>
      <c r="G585" s="15">
        <v>1</v>
      </c>
      <c r="H585" s="167">
        <f t="shared" si="18"/>
        <v>5.1413881748071976E-4</v>
      </c>
      <c r="I585" s="167"/>
      <c r="J585" s="167"/>
    </row>
    <row r="586" spans="2:10" x14ac:dyDescent="0.25">
      <c r="B586" s="169">
        <f t="shared" si="19"/>
        <v>0.29871465295630056</v>
      </c>
      <c r="C586">
        <v>513</v>
      </c>
      <c r="E586">
        <v>69</v>
      </c>
      <c r="F586">
        <v>69</v>
      </c>
      <c r="G586" s="15">
        <v>1</v>
      </c>
      <c r="H586" s="167">
        <f t="shared" si="18"/>
        <v>5.1413881748071976E-4</v>
      </c>
      <c r="I586" s="167"/>
      <c r="J586" s="167"/>
    </row>
    <row r="587" spans="2:10" x14ac:dyDescent="0.25">
      <c r="B587" s="169">
        <f t="shared" si="19"/>
        <v>0.29922879177378131</v>
      </c>
      <c r="C587">
        <v>3615</v>
      </c>
      <c r="E587">
        <v>20</v>
      </c>
      <c r="F587">
        <v>20</v>
      </c>
      <c r="G587" s="15">
        <v>1</v>
      </c>
      <c r="H587" s="167">
        <f t="shared" si="18"/>
        <v>5.1413881748071976E-4</v>
      </c>
      <c r="I587" s="167"/>
      <c r="J587" s="167"/>
    </row>
    <row r="588" spans="2:10" x14ac:dyDescent="0.25">
      <c r="B588" s="169">
        <f t="shared" si="19"/>
        <v>0.29974293059126206</v>
      </c>
      <c r="C588">
        <v>4459</v>
      </c>
      <c r="E588">
        <v>1</v>
      </c>
      <c r="F588">
        <v>1</v>
      </c>
      <c r="G588" s="15">
        <v>1</v>
      </c>
      <c r="H588" s="167">
        <f t="shared" si="18"/>
        <v>5.1413881748071976E-4</v>
      </c>
      <c r="I588" s="167"/>
      <c r="J588" s="167"/>
    </row>
    <row r="589" spans="2:10" x14ac:dyDescent="0.25">
      <c r="B589" s="169">
        <f t="shared" si="19"/>
        <v>0.3002570694087428</v>
      </c>
      <c r="C589">
        <v>4466</v>
      </c>
      <c r="E589">
        <v>29</v>
      </c>
      <c r="F589">
        <v>29</v>
      </c>
      <c r="G589" s="15">
        <v>1</v>
      </c>
      <c r="H589" s="167">
        <f t="shared" si="18"/>
        <v>5.1413881748071976E-4</v>
      </c>
      <c r="I589" s="167"/>
      <c r="J589" s="167"/>
    </row>
    <row r="590" spans="2:10" x14ac:dyDescent="0.25">
      <c r="B590" s="169">
        <f t="shared" si="19"/>
        <v>0.30077120822622355</v>
      </c>
      <c r="C590">
        <v>4493</v>
      </c>
      <c r="E590">
        <v>66</v>
      </c>
      <c r="F590">
        <v>66</v>
      </c>
      <c r="G590" s="15">
        <v>1</v>
      </c>
      <c r="H590" s="167">
        <f t="shared" si="18"/>
        <v>5.1413881748071976E-4</v>
      </c>
      <c r="I590" s="167"/>
      <c r="J590" s="167"/>
    </row>
    <row r="591" spans="2:10" x14ac:dyDescent="0.25">
      <c r="B591" s="169">
        <f t="shared" si="19"/>
        <v>0.3012853470437043</v>
      </c>
      <c r="C591">
        <v>2618</v>
      </c>
      <c r="E591">
        <v>90</v>
      </c>
      <c r="F591">
        <v>90</v>
      </c>
      <c r="G591" s="15">
        <v>1</v>
      </c>
      <c r="H591" s="167">
        <f t="shared" si="18"/>
        <v>5.1413881748071976E-4</v>
      </c>
      <c r="I591" s="167"/>
      <c r="J591" s="167"/>
    </row>
    <row r="592" spans="2:10" x14ac:dyDescent="0.25">
      <c r="B592" s="169">
        <f t="shared" si="19"/>
        <v>0.30179948586118505</v>
      </c>
      <c r="C592">
        <v>4251</v>
      </c>
      <c r="E592">
        <v>1</v>
      </c>
      <c r="F592">
        <v>1</v>
      </c>
      <c r="G592" s="15">
        <v>1</v>
      </c>
      <c r="H592" s="167">
        <f t="shared" si="18"/>
        <v>5.1413881748071976E-4</v>
      </c>
      <c r="I592" s="167"/>
      <c r="J592" s="167"/>
    </row>
    <row r="593" spans="2:10" x14ac:dyDescent="0.25">
      <c r="B593" s="169">
        <f t="shared" si="19"/>
        <v>0.30231362467866579</v>
      </c>
      <c r="C593">
        <v>4254</v>
      </c>
      <c r="E593">
        <v>1</v>
      </c>
      <c r="F593">
        <v>1</v>
      </c>
      <c r="G593" s="15">
        <v>1</v>
      </c>
      <c r="H593" s="167">
        <f t="shared" si="18"/>
        <v>5.1413881748071976E-4</v>
      </c>
      <c r="I593" s="167"/>
      <c r="J593" s="167"/>
    </row>
    <row r="594" spans="2:10" x14ac:dyDescent="0.25">
      <c r="B594" s="169">
        <f t="shared" si="19"/>
        <v>0.30282776349614654</v>
      </c>
      <c r="C594">
        <v>3563</v>
      </c>
      <c r="E594">
        <v>1</v>
      </c>
      <c r="F594">
        <v>1</v>
      </c>
      <c r="G594" s="15">
        <v>1</v>
      </c>
      <c r="H594" s="167">
        <f t="shared" si="18"/>
        <v>5.1413881748071976E-4</v>
      </c>
      <c r="I594" s="167"/>
      <c r="J594" s="167"/>
    </row>
    <row r="595" spans="2:10" x14ac:dyDescent="0.25">
      <c r="B595" s="169">
        <f t="shared" si="19"/>
        <v>0.30334190231362729</v>
      </c>
      <c r="C595">
        <v>562</v>
      </c>
      <c r="E595">
        <v>43</v>
      </c>
      <c r="F595">
        <v>43</v>
      </c>
      <c r="G595" s="15">
        <v>1</v>
      </c>
      <c r="H595" s="167">
        <f t="shared" si="18"/>
        <v>5.1413881748071976E-4</v>
      </c>
      <c r="I595" s="167"/>
      <c r="J595" s="167"/>
    </row>
    <row r="596" spans="2:10" x14ac:dyDescent="0.25">
      <c r="B596" s="169">
        <f t="shared" si="19"/>
        <v>0.30385604113110803</v>
      </c>
      <c r="C596">
        <v>1959</v>
      </c>
      <c r="E596">
        <v>49</v>
      </c>
      <c r="F596">
        <v>49</v>
      </c>
      <c r="G596" s="15">
        <v>1</v>
      </c>
      <c r="H596" s="167">
        <f t="shared" si="18"/>
        <v>5.1413881748071976E-4</v>
      </c>
      <c r="I596" s="167"/>
      <c r="J596" s="167"/>
    </row>
    <row r="597" spans="2:10" x14ac:dyDescent="0.25">
      <c r="B597" s="169">
        <f t="shared" si="19"/>
        <v>0.30437017994858878</v>
      </c>
      <c r="C597">
        <v>4565</v>
      </c>
      <c r="E597">
        <v>1</v>
      </c>
      <c r="F597">
        <v>1</v>
      </c>
      <c r="G597" s="15">
        <v>1</v>
      </c>
      <c r="H597" s="167">
        <f t="shared" si="18"/>
        <v>5.1413881748071976E-4</v>
      </c>
      <c r="I597" s="167"/>
      <c r="J597" s="167"/>
    </row>
    <row r="598" spans="2:10" x14ac:dyDescent="0.25">
      <c r="B598" s="169">
        <f t="shared" si="19"/>
        <v>0.30488431876606953</v>
      </c>
      <c r="C598">
        <v>4467</v>
      </c>
      <c r="E598">
        <v>12</v>
      </c>
      <c r="F598">
        <v>12</v>
      </c>
      <c r="G598" s="15">
        <v>1</v>
      </c>
      <c r="H598" s="167">
        <f t="shared" si="18"/>
        <v>5.1413881748071976E-4</v>
      </c>
      <c r="I598" s="167"/>
      <c r="J598" s="167"/>
    </row>
    <row r="599" spans="2:10" x14ac:dyDescent="0.25">
      <c r="B599" s="169">
        <f t="shared" si="19"/>
        <v>0.30539845758355028</v>
      </c>
      <c r="C599">
        <v>2022</v>
      </c>
      <c r="E599">
        <v>4</v>
      </c>
      <c r="F599">
        <v>4</v>
      </c>
      <c r="G599" s="15">
        <v>1</v>
      </c>
      <c r="H599" s="167">
        <f t="shared" si="18"/>
        <v>5.1413881748071976E-4</v>
      </c>
      <c r="I599" s="167"/>
      <c r="J599" s="167"/>
    </row>
    <row r="600" spans="2:10" x14ac:dyDescent="0.25">
      <c r="B600" s="169">
        <f t="shared" si="19"/>
        <v>0.30591259640103102</v>
      </c>
      <c r="C600">
        <v>2027</v>
      </c>
      <c r="E600">
        <v>2</v>
      </c>
      <c r="F600">
        <v>2</v>
      </c>
      <c r="G600" s="15">
        <v>1</v>
      </c>
      <c r="H600" s="167">
        <f t="shared" si="18"/>
        <v>5.1413881748071976E-4</v>
      </c>
      <c r="I600" s="167"/>
      <c r="J600" s="167"/>
    </row>
    <row r="601" spans="2:10" x14ac:dyDescent="0.25">
      <c r="B601" s="169">
        <f t="shared" si="19"/>
        <v>0.30642673521851177</v>
      </c>
      <c r="C601">
        <v>2066</v>
      </c>
      <c r="E601">
        <v>2</v>
      </c>
      <c r="F601">
        <v>2</v>
      </c>
      <c r="G601" s="15">
        <v>1</v>
      </c>
      <c r="H601" s="167">
        <f t="shared" si="18"/>
        <v>5.1413881748071976E-4</v>
      </c>
      <c r="I601" s="167"/>
      <c r="J601" s="167"/>
    </row>
    <row r="602" spans="2:10" x14ac:dyDescent="0.25">
      <c r="B602" s="169">
        <f t="shared" si="19"/>
        <v>0.30694087403599252</v>
      </c>
      <c r="C602">
        <v>2028</v>
      </c>
      <c r="E602">
        <v>10</v>
      </c>
      <c r="F602">
        <v>10</v>
      </c>
      <c r="G602" s="15">
        <v>1</v>
      </c>
      <c r="H602" s="167">
        <f t="shared" si="18"/>
        <v>5.1413881748071976E-4</v>
      </c>
      <c r="I602" s="167"/>
      <c r="J602" s="167"/>
    </row>
    <row r="603" spans="2:10" x14ac:dyDescent="0.25">
      <c r="B603" s="169">
        <f t="shared" si="19"/>
        <v>0.30745501285347326</v>
      </c>
      <c r="C603">
        <v>2067</v>
      </c>
      <c r="E603">
        <v>2</v>
      </c>
      <c r="F603">
        <v>2</v>
      </c>
      <c r="G603" s="15">
        <v>1</v>
      </c>
      <c r="H603" s="167">
        <f t="shared" si="18"/>
        <v>5.1413881748071976E-4</v>
      </c>
      <c r="I603" s="167"/>
      <c r="J603" s="167"/>
    </row>
    <row r="604" spans="2:10" x14ac:dyDescent="0.25">
      <c r="B604" s="169">
        <f t="shared" si="19"/>
        <v>0.30796915167095401</v>
      </c>
      <c r="C604">
        <v>3564</v>
      </c>
      <c r="E604">
        <v>1</v>
      </c>
      <c r="F604">
        <v>1</v>
      </c>
      <c r="G604" s="15">
        <v>1</v>
      </c>
      <c r="H604" s="167">
        <f t="shared" si="18"/>
        <v>5.1413881748071976E-4</v>
      </c>
      <c r="I604" s="167"/>
      <c r="J604" s="167"/>
    </row>
    <row r="605" spans="2:10" x14ac:dyDescent="0.25">
      <c r="B605" s="169">
        <f t="shared" si="19"/>
        <v>0.30848329048843476</v>
      </c>
      <c r="C605">
        <v>2023</v>
      </c>
      <c r="E605">
        <v>10</v>
      </c>
      <c r="F605">
        <v>10</v>
      </c>
      <c r="G605" s="15">
        <v>1</v>
      </c>
      <c r="H605" s="167">
        <f t="shared" si="18"/>
        <v>5.1413881748071976E-4</v>
      </c>
      <c r="I605" s="167"/>
      <c r="J605" s="167"/>
    </row>
    <row r="606" spans="2:10" x14ac:dyDescent="0.25">
      <c r="B606" s="169">
        <f t="shared" si="19"/>
        <v>0.30899742930591551</v>
      </c>
      <c r="C606">
        <v>2068</v>
      </c>
      <c r="E606">
        <v>2</v>
      </c>
      <c r="F606">
        <v>2</v>
      </c>
      <c r="G606" s="15">
        <v>1</v>
      </c>
      <c r="H606" s="167">
        <f t="shared" si="18"/>
        <v>5.1413881748071976E-4</v>
      </c>
      <c r="I606" s="167"/>
      <c r="J606" s="167"/>
    </row>
    <row r="607" spans="2:10" x14ac:dyDescent="0.25">
      <c r="B607" s="169">
        <f t="shared" si="19"/>
        <v>0.30951156812339625</v>
      </c>
      <c r="C607">
        <v>2069</v>
      </c>
      <c r="E607">
        <v>117</v>
      </c>
      <c r="F607">
        <v>117</v>
      </c>
      <c r="G607" s="15">
        <v>1</v>
      </c>
      <c r="H607" s="167">
        <f t="shared" si="18"/>
        <v>5.1413881748071976E-4</v>
      </c>
      <c r="I607" s="167"/>
      <c r="J607" s="167"/>
    </row>
    <row r="608" spans="2:10" x14ac:dyDescent="0.25">
      <c r="B608" s="169">
        <f t="shared" si="19"/>
        <v>0.310025706940877</v>
      </c>
      <c r="C608">
        <v>2029</v>
      </c>
      <c r="E608">
        <v>86</v>
      </c>
      <c r="F608">
        <v>86</v>
      </c>
      <c r="G608" s="15">
        <v>1</v>
      </c>
      <c r="H608" s="167">
        <f t="shared" si="18"/>
        <v>5.1413881748071976E-4</v>
      </c>
      <c r="I608" s="167"/>
      <c r="J608" s="167"/>
    </row>
    <row r="609" spans="2:10" x14ac:dyDescent="0.25">
      <c r="B609" s="169">
        <f t="shared" si="19"/>
        <v>0.31053984575835775</v>
      </c>
      <c r="C609">
        <v>2024</v>
      </c>
      <c r="E609">
        <v>142</v>
      </c>
      <c r="F609">
        <v>142</v>
      </c>
      <c r="G609" s="15">
        <v>1</v>
      </c>
      <c r="H609" s="167">
        <f t="shared" si="18"/>
        <v>5.1413881748071976E-4</v>
      </c>
      <c r="I609" s="167"/>
      <c r="J609" s="167"/>
    </row>
    <row r="610" spans="2:10" x14ac:dyDescent="0.25">
      <c r="B610" s="169">
        <f t="shared" si="19"/>
        <v>0.31105398457583849</v>
      </c>
      <c r="C610">
        <v>4500</v>
      </c>
      <c r="E610">
        <v>15</v>
      </c>
      <c r="F610">
        <v>15</v>
      </c>
      <c r="G610" s="15">
        <v>1</v>
      </c>
      <c r="H610" s="167">
        <f t="shared" si="18"/>
        <v>5.1413881748071976E-4</v>
      </c>
      <c r="I610" s="167"/>
      <c r="J610" s="167"/>
    </row>
    <row r="611" spans="2:10" x14ac:dyDescent="0.25">
      <c r="B611" s="169">
        <f t="shared" si="19"/>
        <v>0.31156812339331924</v>
      </c>
      <c r="C611">
        <v>3646</v>
      </c>
      <c r="E611">
        <v>45</v>
      </c>
      <c r="F611">
        <v>45</v>
      </c>
      <c r="G611" s="15">
        <v>1</v>
      </c>
      <c r="H611" s="167">
        <f t="shared" si="18"/>
        <v>5.1413881748071976E-4</v>
      </c>
      <c r="I611" s="167"/>
      <c r="J611" s="167"/>
    </row>
    <row r="612" spans="2:10" x14ac:dyDescent="0.25">
      <c r="B612" s="169">
        <f t="shared" si="19"/>
        <v>0.31208226221079999</v>
      </c>
      <c r="C612">
        <v>3647</v>
      </c>
      <c r="E612">
        <v>45</v>
      </c>
      <c r="F612">
        <v>45</v>
      </c>
      <c r="G612" s="15">
        <v>1</v>
      </c>
      <c r="H612" s="167">
        <f t="shared" si="18"/>
        <v>5.1413881748071976E-4</v>
      </c>
      <c r="I612" s="167"/>
      <c r="J612" s="167"/>
    </row>
    <row r="613" spans="2:10" x14ac:dyDescent="0.25">
      <c r="B613" s="169">
        <f t="shared" si="19"/>
        <v>0.31259640102828073</v>
      </c>
      <c r="C613">
        <v>4465</v>
      </c>
      <c r="E613">
        <v>29</v>
      </c>
      <c r="F613">
        <v>29</v>
      </c>
      <c r="G613" s="15">
        <v>1</v>
      </c>
      <c r="H613" s="167">
        <f t="shared" si="18"/>
        <v>5.1413881748071976E-4</v>
      </c>
      <c r="I613" s="167"/>
      <c r="J613" s="167"/>
    </row>
    <row r="614" spans="2:10" x14ac:dyDescent="0.25">
      <c r="B614" s="169">
        <f t="shared" si="19"/>
        <v>0.31311053984576148</v>
      </c>
      <c r="C614">
        <v>3565</v>
      </c>
      <c r="E614">
        <v>1</v>
      </c>
      <c r="F614">
        <v>1</v>
      </c>
      <c r="G614" s="15">
        <v>1</v>
      </c>
      <c r="H614" s="167">
        <f t="shared" si="18"/>
        <v>5.1413881748071976E-4</v>
      </c>
      <c r="I614" s="167"/>
      <c r="J614" s="167"/>
    </row>
    <row r="615" spans="2:10" x14ac:dyDescent="0.25">
      <c r="B615" s="169">
        <f t="shared" si="19"/>
        <v>0.31362467866324223</v>
      </c>
      <c r="C615">
        <v>1965</v>
      </c>
      <c r="E615">
        <v>2</v>
      </c>
      <c r="F615">
        <v>2</v>
      </c>
      <c r="G615" s="15">
        <v>1</v>
      </c>
      <c r="H615" s="167">
        <f t="shared" si="18"/>
        <v>5.1413881748071976E-4</v>
      </c>
      <c r="I615" s="167"/>
      <c r="J615" s="167"/>
    </row>
    <row r="616" spans="2:10" x14ac:dyDescent="0.25">
      <c r="B616" s="169">
        <f t="shared" si="19"/>
        <v>0.31413881748072298</v>
      </c>
      <c r="C616">
        <v>4455</v>
      </c>
      <c r="E616">
        <v>79</v>
      </c>
      <c r="F616">
        <v>79</v>
      </c>
      <c r="G616" s="15">
        <v>1</v>
      </c>
      <c r="H616" s="167">
        <f t="shared" si="18"/>
        <v>5.1413881748071976E-4</v>
      </c>
      <c r="I616" s="167"/>
      <c r="J616" s="167"/>
    </row>
    <row r="617" spans="2:10" x14ac:dyDescent="0.25">
      <c r="B617" s="169">
        <f t="shared" si="19"/>
        <v>0.31465295629820372</v>
      </c>
      <c r="C617">
        <v>507</v>
      </c>
      <c r="E617">
        <v>2</v>
      </c>
      <c r="F617">
        <v>2</v>
      </c>
      <c r="G617" s="15">
        <v>1</v>
      </c>
      <c r="H617" s="167">
        <f t="shared" si="18"/>
        <v>5.1413881748071976E-4</v>
      </c>
      <c r="I617" s="167"/>
      <c r="J617" s="167"/>
    </row>
    <row r="618" spans="2:10" x14ac:dyDescent="0.25">
      <c r="B618" s="169">
        <f t="shared" si="19"/>
        <v>0.31516709511568447</v>
      </c>
      <c r="C618">
        <v>2048</v>
      </c>
      <c r="E618">
        <v>27</v>
      </c>
      <c r="F618">
        <v>27</v>
      </c>
      <c r="G618" s="15">
        <v>1</v>
      </c>
      <c r="H618" s="167">
        <f t="shared" si="18"/>
        <v>5.1413881748071976E-4</v>
      </c>
      <c r="I618" s="167"/>
      <c r="J618" s="167"/>
    </row>
    <row r="619" spans="2:10" x14ac:dyDescent="0.25">
      <c r="B619" s="169">
        <f t="shared" si="19"/>
        <v>0.31568123393316522</v>
      </c>
      <c r="C619">
        <v>4237</v>
      </c>
      <c r="E619">
        <v>1</v>
      </c>
      <c r="F619">
        <v>1</v>
      </c>
      <c r="G619" s="15">
        <v>1</v>
      </c>
      <c r="H619" s="167">
        <f t="shared" si="18"/>
        <v>5.1413881748071976E-4</v>
      </c>
      <c r="I619" s="167"/>
      <c r="J619" s="167"/>
    </row>
    <row r="620" spans="2:10" x14ac:dyDescent="0.25">
      <c r="B620" s="169">
        <f t="shared" si="19"/>
        <v>0.31619537275064596</v>
      </c>
      <c r="C620">
        <v>4727</v>
      </c>
      <c r="E620">
        <v>22</v>
      </c>
      <c r="F620">
        <v>22</v>
      </c>
      <c r="G620" s="15">
        <v>1</v>
      </c>
      <c r="H620" s="167">
        <f t="shared" si="18"/>
        <v>5.1413881748071976E-4</v>
      </c>
      <c r="I620" s="167"/>
      <c r="J620" s="167"/>
    </row>
    <row r="621" spans="2:10" x14ac:dyDescent="0.25">
      <c r="B621" s="169">
        <f t="shared" si="19"/>
        <v>0.31670951156812671</v>
      </c>
      <c r="C621">
        <v>4729</v>
      </c>
      <c r="E621">
        <v>22</v>
      </c>
      <c r="F621">
        <v>22</v>
      </c>
      <c r="G621" s="15">
        <v>1</v>
      </c>
      <c r="H621" s="167">
        <f t="shared" si="18"/>
        <v>5.1413881748071976E-4</v>
      </c>
      <c r="I621" s="167"/>
      <c r="J621" s="167"/>
    </row>
    <row r="622" spans="2:10" x14ac:dyDescent="0.25">
      <c r="B622" s="169">
        <f t="shared" si="19"/>
        <v>0.31722365038560746</v>
      </c>
      <c r="C622">
        <v>4733</v>
      </c>
      <c r="E622">
        <v>22</v>
      </c>
      <c r="F622">
        <v>22</v>
      </c>
      <c r="G622" s="15">
        <v>1</v>
      </c>
      <c r="H622" s="167">
        <f t="shared" si="18"/>
        <v>5.1413881748071976E-4</v>
      </c>
      <c r="I622" s="167"/>
      <c r="J622" s="167"/>
    </row>
    <row r="623" spans="2:10" x14ac:dyDescent="0.25">
      <c r="B623" s="169">
        <f t="shared" si="19"/>
        <v>0.31773778920308821</v>
      </c>
      <c r="C623">
        <v>4828</v>
      </c>
      <c r="E623">
        <v>37</v>
      </c>
      <c r="F623">
        <v>37</v>
      </c>
      <c r="G623" s="15">
        <v>1</v>
      </c>
      <c r="H623" s="167">
        <f t="shared" si="18"/>
        <v>5.1413881748071976E-4</v>
      </c>
      <c r="I623" s="167"/>
      <c r="J623" s="167"/>
    </row>
    <row r="624" spans="2:10" x14ac:dyDescent="0.25">
      <c r="B624" s="169">
        <f t="shared" si="19"/>
        <v>0.31825192802056895</v>
      </c>
      <c r="C624">
        <v>4843</v>
      </c>
      <c r="E624">
        <v>25</v>
      </c>
      <c r="F624">
        <v>25</v>
      </c>
      <c r="G624" s="15">
        <v>1</v>
      </c>
      <c r="H624" s="167">
        <f t="shared" si="18"/>
        <v>5.1413881748071976E-4</v>
      </c>
      <c r="I624" s="167"/>
      <c r="J624" s="167"/>
    </row>
    <row r="625" spans="2:10" x14ac:dyDescent="0.25">
      <c r="B625" s="169">
        <f t="shared" si="19"/>
        <v>0.3187660668380497</v>
      </c>
      <c r="C625">
        <v>4845</v>
      </c>
      <c r="E625">
        <v>20</v>
      </c>
      <c r="F625">
        <v>20</v>
      </c>
      <c r="G625" s="15">
        <v>1</v>
      </c>
      <c r="H625" s="167">
        <f t="shared" si="18"/>
        <v>5.1413881748071976E-4</v>
      </c>
      <c r="I625" s="167"/>
      <c r="J625" s="167"/>
    </row>
    <row r="626" spans="2:10" x14ac:dyDescent="0.25">
      <c r="B626" s="169">
        <f t="shared" si="19"/>
        <v>0.31928020565553045</v>
      </c>
      <c r="C626">
        <v>4854</v>
      </c>
      <c r="E626">
        <v>34</v>
      </c>
      <c r="F626">
        <v>34</v>
      </c>
      <c r="G626" s="15">
        <v>1</v>
      </c>
      <c r="H626" s="167">
        <f t="shared" si="18"/>
        <v>5.1413881748071976E-4</v>
      </c>
      <c r="I626" s="167"/>
      <c r="J626" s="167"/>
    </row>
    <row r="627" spans="2:10" x14ac:dyDescent="0.25">
      <c r="B627" s="169">
        <f t="shared" si="19"/>
        <v>0.31979434447301119</v>
      </c>
      <c r="C627">
        <v>4870</v>
      </c>
      <c r="E627">
        <v>32</v>
      </c>
      <c r="F627">
        <v>32</v>
      </c>
      <c r="G627" s="15">
        <v>1</v>
      </c>
      <c r="H627" s="167">
        <f t="shared" si="18"/>
        <v>5.1413881748071976E-4</v>
      </c>
      <c r="I627" s="167"/>
      <c r="J627" s="167"/>
    </row>
    <row r="628" spans="2:10" x14ac:dyDescent="0.25">
      <c r="B628" s="169">
        <f t="shared" si="19"/>
        <v>0.32030848329049194</v>
      </c>
      <c r="C628">
        <v>4873</v>
      </c>
      <c r="E628">
        <v>40</v>
      </c>
      <c r="F628">
        <v>40</v>
      </c>
      <c r="G628" s="15">
        <v>1</v>
      </c>
      <c r="H628" s="167">
        <f t="shared" si="18"/>
        <v>5.1413881748071976E-4</v>
      </c>
      <c r="I628" s="167"/>
      <c r="J628" s="167"/>
    </row>
    <row r="629" spans="2:10" x14ac:dyDescent="0.25">
      <c r="B629" s="169">
        <f t="shared" si="19"/>
        <v>0.32082262210797269</v>
      </c>
      <c r="C629">
        <v>3472</v>
      </c>
      <c r="E629">
        <v>13</v>
      </c>
      <c r="F629">
        <v>13</v>
      </c>
      <c r="G629" s="15">
        <v>1</v>
      </c>
      <c r="H629" s="167">
        <f t="shared" si="18"/>
        <v>5.1413881748071976E-4</v>
      </c>
      <c r="I629" s="167"/>
      <c r="J629" s="167"/>
    </row>
    <row r="630" spans="2:10" x14ac:dyDescent="0.25">
      <c r="B630" s="169">
        <f t="shared" si="19"/>
        <v>0.32133676092545344</v>
      </c>
      <c r="C630">
        <v>563</v>
      </c>
      <c r="E630">
        <v>26</v>
      </c>
      <c r="F630">
        <v>26</v>
      </c>
      <c r="G630" s="15">
        <v>1</v>
      </c>
      <c r="H630" s="167">
        <f t="shared" si="18"/>
        <v>5.1413881748071976E-4</v>
      </c>
      <c r="I630" s="167"/>
      <c r="J630" s="167"/>
    </row>
    <row r="631" spans="2:10" x14ac:dyDescent="0.25">
      <c r="B631" s="169">
        <f t="shared" si="19"/>
        <v>0.32185089974293418</v>
      </c>
      <c r="C631">
        <v>2149</v>
      </c>
      <c r="E631">
        <v>5</v>
      </c>
      <c r="F631">
        <v>5</v>
      </c>
      <c r="G631" s="15">
        <v>1</v>
      </c>
      <c r="H631" s="167">
        <f t="shared" si="18"/>
        <v>5.1413881748071976E-4</v>
      </c>
      <c r="I631" s="167"/>
      <c r="J631" s="167"/>
    </row>
    <row r="632" spans="2:10" x14ac:dyDescent="0.25">
      <c r="B632" s="169">
        <f t="shared" si="19"/>
        <v>0.32236503856041493</v>
      </c>
      <c r="C632">
        <v>2151</v>
      </c>
      <c r="E632">
        <v>5</v>
      </c>
      <c r="F632">
        <v>5</v>
      </c>
      <c r="G632" s="15">
        <v>1</v>
      </c>
      <c r="H632" s="167">
        <f t="shared" si="18"/>
        <v>5.1413881748071976E-4</v>
      </c>
      <c r="I632" s="167"/>
      <c r="J632" s="167"/>
    </row>
    <row r="633" spans="2:10" x14ac:dyDescent="0.25">
      <c r="B633" s="169">
        <f t="shared" si="19"/>
        <v>0.32287917737789568</v>
      </c>
      <c r="C633">
        <v>1960</v>
      </c>
      <c r="E633">
        <v>2</v>
      </c>
      <c r="F633">
        <v>2</v>
      </c>
      <c r="G633" s="15">
        <v>1</v>
      </c>
      <c r="H633" s="167">
        <f t="shared" si="18"/>
        <v>5.1413881748071976E-4</v>
      </c>
      <c r="I633" s="167"/>
      <c r="J633" s="167"/>
    </row>
    <row r="634" spans="2:10" x14ac:dyDescent="0.25">
      <c r="B634" s="169">
        <f t="shared" si="19"/>
        <v>0.32339331619537642</v>
      </c>
      <c r="C634">
        <v>2150</v>
      </c>
      <c r="E634">
        <v>1</v>
      </c>
      <c r="F634">
        <v>1</v>
      </c>
      <c r="G634" s="15">
        <v>1</v>
      </c>
      <c r="H634" s="167">
        <f t="shared" si="18"/>
        <v>5.1413881748071976E-4</v>
      </c>
      <c r="I634" s="167"/>
      <c r="J634" s="167"/>
    </row>
    <row r="635" spans="2:10" x14ac:dyDescent="0.25">
      <c r="B635" s="169">
        <f t="shared" si="19"/>
        <v>0.32390745501285717</v>
      </c>
      <c r="C635">
        <v>3566</v>
      </c>
      <c r="E635">
        <v>1</v>
      </c>
      <c r="F635">
        <v>1</v>
      </c>
      <c r="G635" s="15">
        <v>1</v>
      </c>
      <c r="H635" s="167">
        <f t="shared" si="18"/>
        <v>5.1413881748071976E-4</v>
      </c>
      <c r="I635" s="167"/>
      <c r="J635" s="167"/>
    </row>
    <row r="636" spans="2:10" x14ac:dyDescent="0.25">
      <c r="B636" s="169">
        <f t="shared" si="19"/>
        <v>0.32442159383033792</v>
      </c>
      <c r="C636">
        <v>1987</v>
      </c>
      <c r="E636">
        <v>3</v>
      </c>
      <c r="F636">
        <v>3</v>
      </c>
      <c r="G636" s="15">
        <v>1</v>
      </c>
      <c r="H636" s="167">
        <f t="shared" si="18"/>
        <v>5.1413881748071976E-4</v>
      </c>
      <c r="I636" s="167"/>
      <c r="J636" s="167"/>
    </row>
    <row r="637" spans="2:10" x14ac:dyDescent="0.25">
      <c r="B637" s="169">
        <f t="shared" si="19"/>
        <v>0.32493573264781866</v>
      </c>
      <c r="C637">
        <v>515</v>
      </c>
      <c r="E637">
        <v>1</v>
      </c>
      <c r="F637">
        <v>1</v>
      </c>
      <c r="G637" s="15">
        <v>1</v>
      </c>
      <c r="H637" s="167">
        <f t="shared" si="18"/>
        <v>5.1413881748071976E-4</v>
      </c>
      <c r="I637" s="167"/>
      <c r="J637" s="167"/>
    </row>
    <row r="638" spans="2:10" x14ac:dyDescent="0.25">
      <c r="B638" s="169">
        <f t="shared" si="19"/>
        <v>0.32544987146529941</v>
      </c>
      <c r="C638">
        <v>516</v>
      </c>
      <c r="E638">
        <v>68</v>
      </c>
      <c r="F638">
        <v>68</v>
      </c>
      <c r="G638" s="15">
        <v>1</v>
      </c>
      <c r="H638" s="167">
        <f t="shared" si="18"/>
        <v>5.1413881748071976E-4</v>
      </c>
      <c r="I638" s="167"/>
      <c r="J638" s="167"/>
    </row>
    <row r="639" spans="2:10" x14ac:dyDescent="0.25">
      <c r="B639" s="169">
        <f t="shared" si="19"/>
        <v>0.32596401028278016</v>
      </c>
      <c r="C639">
        <v>1988</v>
      </c>
      <c r="E639">
        <v>10</v>
      </c>
      <c r="F639">
        <v>10</v>
      </c>
      <c r="G639" s="15">
        <v>1</v>
      </c>
      <c r="H639" s="167">
        <f t="shared" si="18"/>
        <v>5.1413881748071976E-4</v>
      </c>
      <c r="I639" s="167"/>
      <c r="J639" s="167"/>
    </row>
    <row r="640" spans="2:10" x14ac:dyDescent="0.25">
      <c r="B640" s="169">
        <f t="shared" si="19"/>
        <v>0.32647814910026091</v>
      </c>
      <c r="C640">
        <v>4644</v>
      </c>
      <c r="E640">
        <v>50</v>
      </c>
      <c r="F640">
        <v>50</v>
      </c>
      <c r="G640" s="15">
        <v>1</v>
      </c>
      <c r="H640" s="167">
        <f t="shared" si="18"/>
        <v>5.1413881748071976E-4</v>
      </c>
      <c r="I640" s="167"/>
      <c r="J640" s="167"/>
    </row>
    <row r="641" spans="2:10" x14ac:dyDescent="0.25">
      <c r="B641" s="169">
        <f t="shared" si="19"/>
        <v>0.32699228791774165</v>
      </c>
      <c r="C641">
        <v>499</v>
      </c>
      <c r="E641">
        <v>3</v>
      </c>
      <c r="F641">
        <v>3</v>
      </c>
      <c r="G641" s="15">
        <v>1</v>
      </c>
      <c r="H641" s="167">
        <f t="shared" si="18"/>
        <v>5.1413881748071976E-4</v>
      </c>
      <c r="I641" s="167"/>
      <c r="J641" s="167"/>
    </row>
    <row r="642" spans="2:10" x14ac:dyDescent="0.25">
      <c r="B642" s="169">
        <f t="shared" si="19"/>
        <v>0.3275064267352224</v>
      </c>
      <c r="C642">
        <v>3671</v>
      </c>
      <c r="E642">
        <v>5</v>
      </c>
      <c r="F642">
        <v>5</v>
      </c>
      <c r="G642" s="15">
        <v>1</v>
      </c>
      <c r="H642" s="167">
        <f t="shared" si="18"/>
        <v>5.1413881748071976E-4</v>
      </c>
      <c r="I642" s="167"/>
      <c r="J642" s="167"/>
    </row>
    <row r="643" spans="2:10" x14ac:dyDescent="0.25">
      <c r="B643" s="169">
        <f t="shared" si="19"/>
        <v>0.32802056555270315</v>
      </c>
      <c r="C643">
        <v>3672</v>
      </c>
      <c r="E643">
        <v>18</v>
      </c>
      <c r="F643">
        <v>18</v>
      </c>
      <c r="G643" s="15">
        <v>1</v>
      </c>
      <c r="H643" s="167">
        <f t="shared" si="18"/>
        <v>5.1413881748071976E-4</v>
      </c>
      <c r="I643" s="167"/>
      <c r="J643" s="167"/>
    </row>
    <row r="644" spans="2:10" x14ac:dyDescent="0.25">
      <c r="B644" s="169">
        <f t="shared" si="19"/>
        <v>0.32853470437018389</v>
      </c>
      <c r="C644">
        <v>3673</v>
      </c>
      <c r="E644">
        <v>27</v>
      </c>
      <c r="F644">
        <v>27</v>
      </c>
      <c r="G644" s="15">
        <v>1</v>
      </c>
      <c r="H644" s="167">
        <f t="shared" si="18"/>
        <v>5.1413881748071976E-4</v>
      </c>
      <c r="I644" s="167"/>
      <c r="J644" s="167"/>
    </row>
    <row r="645" spans="2:10" x14ac:dyDescent="0.25">
      <c r="B645" s="169">
        <f t="shared" si="19"/>
        <v>0.32904884318766464</v>
      </c>
      <c r="C645">
        <v>4709</v>
      </c>
      <c r="E645">
        <v>1</v>
      </c>
      <c r="F645">
        <v>1</v>
      </c>
      <c r="G645" s="15">
        <v>1</v>
      </c>
      <c r="H645" s="167">
        <f t="shared" si="18"/>
        <v>5.1413881748071976E-4</v>
      </c>
      <c r="I645" s="167"/>
      <c r="J645" s="167"/>
    </row>
    <row r="646" spans="2:10" x14ac:dyDescent="0.25">
      <c r="B646" s="169">
        <f t="shared" si="19"/>
        <v>0.32956298200514539</v>
      </c>
      <c r="C646">
        <v>4464</v>
      </c>
      <c r="E646">
        <v>13</v>
      </c>
      <c r="F646">
        <v>13</v>
      </c>
      <c r="G646" s="15">
        <v>1</v>
      </c>
      <c r="H646" s="167">
        <f t="shared" ref="H646:H709" si="20">1/$L$6</f>
        <v>5.1413881748071976E-4</v>
      </c>
      <c r="I646" s="167"/>
      <c r="J646" s="167"/>
    </row>
    <row r="647" spans="2:10" x14ac:dyDescent="0.25">
      <c r="B647" s="169">
        <f t="shared" ref="B647:B710" si="21">B646+H647</f>
        <v>0.33007712082262614</v>
      </c>
      <c r="C647">
        <v>4728</v>
      </c>
      <c r="E647">
        <v>49</v>
      </c>
      <c r="F647">
        <v>49</v>
      </c>
      <c r="G647" s="15">
        <v>1</v>
      </c>
      <c r="H647" s="167">
        <f t="shared" si="20"/>
        <v>5.1413881748071976E-4</v>
      </c>
      <c r="I647" s="167"/>
      <c r="J647" s="167"/>
    </row>
    <row r="648" spans="2:10" x14ac:dyDescent="0.25">
      <c r="B648" s="169">
        <f t="shared" si="21"/>
        <v>0.33059125964010688</v>
      </c>
      <c r="C648">
        <v>4730</v>
      </c>
      <c r="E648">
        <v>49</v>
      </c>
      <c r="F648">
        <v>49</v>
      </c>
      <c r="G648" s="15">
        <v>1</v>
      </c>
      <c r="H648" s="167">
        <f t="shared" si="20"/>
        <v>5.1413881748071976E-4</v>
      </c>
      <c r="I648" s="167"/>
      <c r="J648" s="167"/>
    </row>
    <row r="649" spans="2:10" x14ac:dyDescent="0.25">
      <c r="B649" s="169">
        <f t="shared" si="21"/>
        <v>0.33110539845758763</v>
      </c>
      <c r="C649">
        <v>4735</v>
      </c>
      <c r="E649">
        <v>15</v>
      </c>
      <c r="F649">
        <v>15</v>
      </c>
      <c r="G649" s="15">
        <v>1</v>
      </c>
      <c r="H649" s="167">
        <f t="shared" si="20"/>
        <v>5.1413881748071976E-4</v>
      </c>
      <c r="I649" s="167"/>
      <c r="J649" s="167"/>
    </row>
    <row r="650" spans="2:10" x14ac:dyDescent="0.25">
      <c r="B650" s="169">
        <f t="shared" si="21"/>
        <v>0.33161953727506838</v>
      </c>
      <c r="C650">
        <v>4739</v>
      </c>
      <c r="E650">
        <v>29</v>
      </c>
      <c r="F650">
        <v>29</v>
      </c>
      <c r="G650" s="15">
        <v>1</v>
      </c>
      <c r="H650" s="167">
        <f t="shared" si="20"/>
        <v>5.1413881748071976E-4</v>
      </c>
      <c r="I650" s="167"/>
      <c r="J650" s="167"/>
    </row>
    <row r="651" spans="2:10" x14ac:dyDescent="0.25">
      <c r="B651" s="169">
        <f t="shared" si="21"/>
        <v>0.33213367609254912</v>
      </c>
      <c r="C651">
        <v>4743</v>
      </c>
      <c r="E651">
        <v>29</v>
      </c>
      <c r="F651">
        <v>29</v>
      </c>
      <c r="G651" s="15">
        <v>1</v>
      </c>
      <c r="H651" s="167">
        <f t="shared" si="20"/>
        <v>5.1413881748071976E-4</v>
      </c>
      <c r="I651" s="167"/>
      <c r="J651" s="167"/>
    </row>
    <row r="652" spans="2:10" x14ac:dyDescent="0.25">
      <c r="B652" s="169">
        <f t="shared" si="21"/>
        <v>0.33264781491002987</v>
      </c>
      <c r="C652">
        <v>4747</v>
      </c>
      <c r="E652">
        <v>29</v>
      </c>
      <c r="F652">
        <v>29</v>
      </c>
      <c r="G652" s="15">
        <v>1</v>
      </c>
      <c r="H652" s="167">
        <f t="shared" si="20"/>
        <v>5.1413881748071976E-4</v>
      </c>
      <c r="I652" s="167"/>
      <c r="J652" s="167"/>
    </row>
    <row r="653" spans="2:10" x14ac:dyDescent="0.25">
      <c r="B653" s="169">
        <f t="shared" si="21"/>
        <v>0.33316195372751062</v>
      </c>
      <c r="C653">
        <v>3868</v>
      </c>
      <c r="E653">
        <v>45</v>
      </c>
      <c r="F653">
        <v>45</v>
      </c>
      <c r="G653" s="15">
        <v>1</v>
      </c>
      <c r="H653" s="167">
        <f t="shared" si="20"/>
        <v>5.1413881748071976E-4</v>
      </c>
      <c r="I653" s="167"/>
      <c r="J653" s="167"/>
    </row>
    <row r="654" spans="2:10" x14ac:dyDescent="0.25">
      <c r="B654" s="169">
        <f t="shared" si="21"/>
        <v>0.33367609254499137</v>
      </c>
      <c r="C654">
        <v>3869</v>
      </c>
      <c r="E654">
        <v>60</v>
      </c>
      <c r="F654">
        <v>60</v>
      </c>
      <c r="G654" s="15">
        <v>1</v>
      </c>
      <c r="H654" s="167">
        <f t="shared" si="20"/>
        <v>5.1413881748071976E-4</v>
      </c>
      <c r="I654" s="167"/>
      <c r="J654" s="167"/>
    </row>
    <row r="655" spans="2:10" x14ac:dyDescent="0.25">
      <c r="B655" s="169">
        <f t="shared" si="21"/>
        <v>0.33419023136247211</v>
      </c>
      <c r="C655">
        <v>4844</v>
      </c>
      <c r="E655">
        <v>25</v>
      </c>
      <c r="F655">
        <v>25</v>
      </c>
      <c r="G655" s="15">
        <v>1</v>
      </c>
      <c r="H655" s="167">
        <f t="shared" si="20"/>
        <v>5.1413881748071976E-4</v>
      </c>
      <c r="I655" s="167"/>
      <c r="J655" s="167"/>
    </row>
    <row r="656" spans="2:10" x14ac:dyDescent="0.25">
      <c r="B656" s="169">
        <f t="shared" si="21"/>
        <v>0.33470437017995286</v>
      </c>
      <c r="C656">
        <v>3675</v>
      </c>
      <c r="E656">
        <v>2</v>
      </c>
      <c r="F656">
        <v>2</v>
      </c>
      <c r="G656" s="15">
        <v>1</v>
      </c>
      <c r="H656" s="167">
        <f t="shared" si="20"/>
        <v>5.1413881748071976E-4</v>
      </c>
      <c r="I656" s="167"/>
      <c r="J656" s="167"/>
    </row>
    <row r="657" spans="2:10" x14ac:dyDescent="0.25">
      <c r="B657" s="169">
        <f t="shared" si="21"/>
        <v>0.33521850899743361</v>
      </c>
      <c r="C657">
        <v>4471</v>
      </c>
      <c r="E657">
        <v>5</v>
      </c>
      <c r="F657">
        <v>5</v>
      </c>
      <c r="G657" s="15">
        <v>1</v>
      </c>
      <c r="H657" s="167">
        <f t="shared" si="20"/>
        <v>5.1413881748071976E-4</v>
      </c>
      <c r="I657" s="167"/>
      <c r="J657" s="167"/>
    </row>
    <row r="658" spans="2:10" x14ac:dyDescent="0.25">
      <c r="B658" s="169">
        <f t="shared" si="21"/>
        <v>0.33573264781491435</v>
      </c>
      <c r="C658">
        <v>1989</v>
      </c>
      <c r="E658">
        <v>77</v>
      </c>
      <c r="F658">
        <v>77</v>
      </c>
      <c r="G658" s="15">
        <v>1</v>
      </c>
      <c r="H658" s="167">
        <f t="shared" si="20"/>
        <v>5.1413881748071976E-4</v>
      </c>
      <c r="I658" s="167"/>
      <c r="J658" s="167"/>
    </row>
    <row r="659" spans="2:10" x14ac:dyDescent="0.25">
      <c r="B659" s="169">
        <f t="shared" si="21"/>
        <v>0.3362467866323951</v>
      </c>
      <c r="C659">
        <v>2049</v>
      </c>
      <c r="E659">
        <v>60</v>
      </c>
      <c r="F659">
        <v>60</v>
      </c>
      <c r="G659" s="15">
        <v>1</v>
      </c>
      <c r="H659" s="167">
        <f t="shared" si="20"/>
        <v>5.1413881748071976E-4</v>
      </c>
      <c r="I659" s="167"/>
      <c r="J659" s="167"/>
    </row>
    <row r="660" spans="2:10" x14ac:dyDescent="0.25">
      <c r="B660" s="169">
        <f t="shared" si="21"/>
        <v>0.33676092544987585</v>
      </c>
      <c r="C660">
        <v>564</v>
      </c>
      <c r="E660">
        <v>7</v>
      </c>
      <c r="F660">
        <v>7</v>
      </c>
      <c r="G660" s="15">
        <v>1</v>
      </c>
      <c r="H660" s="167">
        <f t="shared" si="20"/>
        <v>5.1413881748071976E-4</v>
      </c>
      <c r="I660" s="167"/>
      <c r="J660" s="167"/>
    </row>
    <row r="661" spans="2:10" x14ac:dyDescent="0.25">
      <c r="B661" s="169">
        <f t="shared" si="21"/>
        <v>0.33727506426735659</v>
      </c>
      <c r="C661">
        <v>4871</v>
      </c>
      <c r="E661">
        <v>31</v>
      </c>
      <c r="F661">
        <v>31</v>
      </c>
      <c r="G661" s="15">
        <v>1</v>
      </c>
      <c r="H661" s="167">
        <f t="shared" si="20"/>
        <v>5.1413881748071976E-4</v>
      </c>
      <c r="I661" s="167"/>
      <c r="J661" s="167"/>
    </row>
    <row r="662" spans="2:10" x14ac:dyDescent="0.25">
      <c r="B662" s="169">
        <f t="shared" si="21"/>
        <v>0.33778920308483734</v>
      </c>
      <c r="C662">
        <v>4855</v>
      </c>
      <c r="E662">
        <v>33</v>
      </c>
      <c r="F662">
        <v>33</v>
      </c>
      <c r="G662" s="15">
        <v>1</v>
      </c>
      <c r="H662" s="167">
        <f t="shared" si="20"/>
        <v>5.1413881748071976E-4</v>
      </c>
      <c r="I662" s="167"/>
      <c r="J662" s="167"/>
    </row>
    <row r="663" spans="2:10" x14ac:dyDescent="0.25">
      <c r="B663" s="169">
        <f t="shared" si="21"/>
        <v>0.33830334190231809</v>
      </c>
      <c r="C663">
        <v>4928</v>
      </c>
      <c r="E663">
        <v>52</v>
      </c>
      <c r="F663">
        <v>52</v>
      </c>
      <c r="G663" s="15">
        <v>1</v>
      </c>
      <c r="H663" s="167">
        <f t="shared" si="20"/>
        <v>5.1413881748071976E-4</v>
      </c>
      <c r="I663" s="167"/>
      <c r="J663" s="167"/>
    </row>
    <row r="664" spans="2:10" x14ac:dyDescent="0.25">
      <c r="B664" s="169">
        <f t="shared" si="21"/>
        <v>0.33881748071979884</v>
      </c>
      <c r="C664">
        <v>4829</v>
      </c>
      <c r="E664">
        <v>35</v>
      </c>
      <c r="F664">
        <v>35</v>
      </c>
      <c r="G664" s="15">
        <v>1</v>
      </c>
      <c r="H664" s="167">
        <f t="shared" si="20"/>
        <v>5.1413881748071976E-4</v>
      </c>
      <c r="I664" s="167"/>
      <c r="J664" s="167"/>
    </row>
    <row r="665" spans="2:10" x14ac:dyDescent="0.25">
      <c r="B665" s="169">
        <f t="shared" si="21"/>
        <v>0.33933161953727958</v>
      </c>
      <c r="C665">
        <v>2152</v>
      </c>
      <c r="E665">
        <v>2</v>
      </c>
      <c r="F665">
        <v>2</v>
      </c>
      <c r="G665" s="15">
        <v>1</v>
      </c>
      <c r="H665" s="167">
        <f t="shared" si="20"/>
        <v>5.1413881748071976E-4</v>
      </c>
      <c r="I665" s="167"/>
      <c r="J665" s="167"/>
    </row>
    <row r="666" spans="2:10" x14ac:dyDescent="0.25">
      <c r="B666" s="169">
        <f t="shared" si="21"/>
        <v>0.33984575835476033</v>
      </c>
      <c r="C666">
        <v>3567</v>
      </c>
      <c r="E666">
        <v>1</v>
      </c>
      <c r="F666">
        <v>1</v>
      </c>
      <c r="G666" s="15">
        <v>1</v>
      </c>
      <c r="H666" s="167">
        <f t="shared" si="20"/>
        <v>5.1413881748071976E-4</v>
      </c>
      <c r="I666" s="167"/>
      <c r="J666" s="167"/>
    </row>
    <row r="667" spans="2:10" x14ac:dyDescent="0.25">
      <c r="B667" s="169">
        <f t="shared" si="21"/>
        <v>0.34035989717224108</v>
      </c>
      <c r="C667">
        <v>2166</v>
      </c>
      <c r="E667">
        <v>5</v>
      </c>
      <c r="F667">
        <v>5</v>
      </c>
      <c r="G667" s="15">
        <v>1</v>
      </c>
      <c r="H667" s="167">
        <f t="shared" si="20"/>
        <v>5.1413881748071976E-4</v>
      </c>
      <c r="I667" s="167"/>
      <c r="J667" s="167"/>
    </row>
    <row r="668" spans="2:10" x14ac:dyDescent="0.25">
      <c r="B668" s="169">
        <f t="shared" si="21"/>
        <v>0.34087403598972182</v>
      </c>
      <c r="C668">
        <v>2619</v>
      </c>
      <c r="E668">
        <v>57</v>
      </c>
      <c r="F668">
        <v>57</v>
      </c>
      <c r="G668" s="15">
        <v>1</v>
      </c>
      <c r="H668" s="167">
        <f t="shared" si="20"/>
        <v>5.1413881748071976E-4</v>
      </c>
      <c r="I668" s="167"/>
      <c r="J668" s="167"/>
    </row>
    <row r="669" spans="2:10" x14ac:dyDescent="0.25">
      <c r="B669" s="169">
        <f t="shared" si="21"/>
        <v>0.34138817480720257</v>
      </c>
      <c r="C669">
        <v>4479</v>
      </c>
      <c r="E669">
        <v>22</v>
      </c>
      <c r="F669">
        <v>22</v>
      </c>
      <c r="G669" s="15">
        <v>1</v>
      </c>
      <c r="H669" s="167">
        <f t="shared" si="20"/>
        <v>5.1413881748071976E-4</v>
      </c>
      <c r="I669" s="167"/>
      <c r="J669" s="167"/>
    </row>
    <row r="670" spans="2:10" x14ac:dyDescent="0.25">
      <c r="B670" s="169">
        <f t="shared" si="21"/>
        <v>0.34190231362468332</v>
      </c>
      <c r="C670">
        <v>4481</v>
      </c>
      <c r="E670">
        <v>22</v>
      </c>
      <c r="F670">
        <v>22</v>
      </c>
      <c r="G670" s="15">
        <v>1</v>
      </c>
      <c r="H670" s="167">
        <f t="shared" si="20"/>
        <v>5.1413881748071976E-4</v>
      </c>
      <c r="I670" s="167"/>
      <c r="J670" s="167"/>
    </row>
    <row r="671" spans="2:10" x14ac:dyDescent="0.25">
      <c r="B671" s="169">
        <f t="shared" si="21"/>
        <v>0.34241645244216407</v>
      </c>
      <c r="C671">
        <v>4486</v>
      </c>
      <c r="E671">
        <v>22</v>
      </c>
      <c r="F671">
        <v>22</v>
      </c>
      <c r="G671" s="15">
        <v>1</v>
      </c>
      <c r="H671" s="167">
        <f t="shared" si="20"/>
        <v>5.1413881748071976E-4</v>
      </c>
      <c r="I671" s="167"/>
      <c r="J671" s="167"/>
    </row>
    <row r="672" spans="2:10" x14ac:dyDescent="0.25">
      <c r="B672" s="169">
        <f t="shared" si="21"/>
        <v>0.34293059125964481</v>
      </c>
      <c r="C672">
        <v>4847</v>
      </c>
      <c r="E672">
        <v>29</v>
      </c>
      <c r="F672">
        <v>29</v>
      </c>
      <c r="G672" s="15">
        <v>1</v>
      </c>
      <c r="H672" s="167">
        <f t="shared" si="20"/>
        <v>5.1413881748071976E-4</v>
      </c>
      <c r="I672" s="167"/>
      <c r="J672" s="167"/>
    </row>
    <row r="673" spans="2:10" x14ac:dyDescent="0.25">
      <c r="B673" s="169">
        <f t="shared" si="21"/>
        <v>0.34344473007712556</v>
      </c>
      <c r="C673">
        <v>4736</v>
      </c>
      <c r="E673">
        <v>15</v>
      </c>
      <c r="F673">
        <v>15</v>
      </c>
      <c r="G673" s="15">
        <v>1</v>
      </c>
      <c r="H673" s="167">
        <f t="shared" si="20"/>
        <v>5.1413881748071976E-4</v>
      </c>
      <c r="I673" s="167"/>
      <c r="J673" s="167"/>
    </row>
    <row r="674" spans="2:10" x14ac:dyDescent="0.25">
      <c r="B674" s="169">
        <f t="shared" si="21"/>
        <v>0.34395886889460631</v>
      </c>
      <c r="C674">
        <v>4740</v>
      </c>
      <c r="E674">
        <v>28</v>
      </c>
      <c r="F674">
        <v>28</v>
      </c>
      <c r="G674" s="15">
        <v>1</v>
      </c>
      <c r="H674" s="167">
        <f t="shared" si="20"/>
        <v>5.1413881748071976E-4</v>
      </c>
      <c r="I674" s="167"/>
      <c r="J674" s="167"/>
    </row>
    <row r="675" spans="2:10" x14ac:dyDescent="0.25">
      <c r="B675" s="169">
        <f t="shared" si="21"/>
        <v>0.34447300771208705</v>
      </c>
      <c r="C675">
        <v>4744</v>
      </c>
      <c r="E675">
        <v>28</v>
      </c>
      <c r="F675">
        <v>28</v>
      </c>
      <c r="G675" s="15">
        <v>1</v>
      </c>
      <c r="H675" s="167">
        <f t="shared" si="20"/>
        <v>5.1413881748071976E-4</v>
      </c>
      <c r="I675" s="167"/>
      <c r="J675" s="167"/>
    </row>
    <row r="676" spans="2:10" x14ac:dyDescent="0.25">
      <c r="B676" s="169">
        <f t="shared" si="21"/>
        <v>0.3449871465295678</v>
      </c>
      <c r="C676">
        <v>4748</v>
      </c>
      <c r="E676">
        <v>28</v>
      </c>
      <c r="F676">
        <v>28</v>
      </c>
      <c r="G676" s="15">
        <v>1</v>
      </c>
      <c r="H676" s="167">
        <f t="shared" si="20"/>
        <v>5.1413881748071976E-4</v>
      </c>
      <c r="I676" s="167"/>
      <c r="J676" s="167"/>
    </row>
    <row r="677" spans="2:10" x14ac:dyDescent="0.25">
      <c r="B677" s="169">
        <f t="shared" si="21"/>
        <v>0.34550128534704855</v>
      </c>
      <c r="C677">
        <v>4429</v>
      </c>
      <c r="E677">
        <v>64</v>
      </c>
      <c r="F677">
        <v>64</v>
      </c>
      <c r="G677" s="15">
        <v>1</v>
      </c>
      <c r="H677" s="167">
        <f t="shared" si="20"/>
        <v>5.1413881748071976E-4</v>
      </c>
      <c r="I677" s="167"/>
      <c r="J677" s="167"/>
    </row>
    <row r="678" spans="2:10" x14ac:dyDescent="0.25">
      <c r="B678" s="169">
        <f t="shared" si="21"/>
        <v>0.34601542416452929</v>
      </c>
      <c r="C678">
        <v>4979</v>
      </c>
      <c r="E678">
        <v>74</v>
      </c>
      <c r="F678">
        <v>74</v>
      </c>
      <c r="G678" s="15">
        <v>1</v>
      </c>
      <c r="H678" s="167">
        <f t="shared" si="20"/>
        <v>5.1413881748071976E-4</v>
      </c>
      <c r="I678" s="167"/>
      <c r="J678" s="167"/>
    </row>
    <row r="679" spans="2:10" x14ac:dyDescent="0.25">
      <c r="B679" s="169">
        <f t="shared" si="21"/>
        <v>0.34652956298201004</v>
      </c>
      <c r="C679">
        <v>2032</v>
      </c>
      <c r="E679">
        <v>3</v>
      </c>
      <c r="F679">
        <v>3</v>
      </c>
      <c r="G679" s="15">
        <v>1</v>
      </c>
      <c r="H679" s="167">
        <f t="shared" si="20"/>
        <v>5.1413881748071976E-4</v>
      </c>
      <c r="I679" s="167"/>
      <c r="J679" s="167"/>
    </row>
    <row r="680" spans="2:10" x14ac:dyDescent="0.25">
      <c r="B680" s="169">
        <f t="shared" si="21"/>
        <v>0.34704370179949079</v>
      </c>
      <c r="C680">
        <v>2140</v>
      </c>
      <c r="E680">
        <v>5</v>
      </c>
      <c r="F680">
        <v>5</v>
      </c>
      <c r="G680" s="15">
        <v>1</v>
      </c>
      <c r="H680" s="167">
        <f t="shared" si="20"/>
        <v>5.1413881748071976E-4</v>
      </c>
      <c r="I680" s="167"/>
      <c r="J680" s="167"/>
    </row>
    <row r="681" spans="2:10" x14ac:dyDescent="0.25">
      <c r="B681" s="169">
        <f t="shared" si="21"/>
        <v>0.34755784061697154</v>
      </c>
      <c r="C681">
        <v>3568</v>
      </c>
      <c r="E681">
        <v>1</v>
      </c>
      <c r="F681">
        <v>1</v>
      </c>
      <c r="G681" s="15">
        <v>1</v>
      </c>
      <c r="H681" s="167">
        <f t="shared" si="20"/>
        <v>5.1413881748071976E-4</v>
      </c>
      <c r="I681" s="167"/>
      <c r="J681" s="167"/>
    </row>
    <row r="682" spans="2:10" x14ac:dyDescent="0.25">
      <c r="B682" s="169">
        <f t="shared" si="21"/>
        <v>0.34807197943445228</v>
      </c>
      <c r="C682">
        <v>2033</v>
      </c>
      <c r="E682">
        <v>10</v>
      </c>
      <c r="F682">
        <v>10</v>
      </c>
      <c r="G682" s="15">
        <v>1</v>
      </c>
      <c r="H682" s="167">
        <f t="shared" si="20"/>
        <v>5.1413881748071976E-4</v>
      </c>
      <c r="I682" s="167"/>
      <c r="J682" s="167"/>
    </row>
    <row r="683" spans="2:10" x14ac:dyDescent="0.25">
      <c r="B683" s="169">
        <f t="shared" si="21"/>
        <v>0.34858611825193303</v>
      </c>
      <c r="C683">
        <v>3677</v>
      </c>
      <c r="E683">
        <v>3</v>
      </c>
      <c r="F683">
        <v>3</v>
      </c>
      <c r="G683" s="15">
        <v>1</v>
      </c>
      <c r="H683" s="167">
        <f t="shared" si="20"/>
        <v>5.1413881748071976E-4</v>
      </c>
      <c r="I683" s="167"/>
      <c r="J683" s="167"/>
    </row>
    <row r="684" spans="2:10" x14ac:dyDescent="0.25">
      <c r="B684" s="169">
        <f t="shared" si="21"/>
        <v>0.34910025706941378</v>
      </c>
      <c r="C684">
        <v>3679</v>
      </c>
      <c r="E684">
        <v>3</v>
      </c>
      <c r="F684">
        <v>3</v>
      </c>
      <c r="G684" s="15">
        <v>1</v>
      </c>
      <c r="H684" s="167">
        <f t="shared" si="20"/>
        <v>5.1413881748071976E-4</v>
      </c>
      <c r="I684" s="167"/>
      <c r="J684" s="167"/>
    </row>
    <row r="685" spans="2:10" x14ac:dyDescent="0.25">
      <c r="B685" s="169">
        <f t="shared" si="21"/>
        <v>0.34961439588689452</v>
      </c>
      <c r="C685">
        <v>4914</v>
      </c>
      <c r="E685">
        <v>1</v>
      </c>
      <c r="F685">
        <v>1</v>
      </c>
      <c r="G685" s="15">
        <v>1</v>
      </c>
      <c r="H685" s="167">
        <f t="shared" si="20"/>
        <v>5.1413881748071976E-4</v>
      </c>
      <c r="I685" s="167"/>
      <c r="J685" s="167"/>
    </row>
    <row r="686" spans="2:10" x14ac:dyDescent="0.25">
      <c r="B686" s="169">
        <f t="shared" si="21"/>
        <v>0.35012853470437527</v>
      </c>
      <c r="C686">
        <v>4872</v>
      </c>
      <c r="E686">
        <v>31</v>
      </c>
      <c r="F686">
        <v>31</v>
      </c>
      <c r="G686" s="15">
        <v>1</v>
      </c>
      <c r="H686" s="167">
        <f t="shared" si="20"/>
        <v>5.1413881748071976E-4</v>
      </c>
      <c r="I686" s="167"/>
      <c r="J686" s="167"/>
    </row>
    <row r="687" spans="2:10" x14ac:dyDescent="0.25">
      <c r="B687" s="169">
        <f t="shared" si="21"/>
        <v>0.35064267352185602</v>
      </c>
      <c r="C687">
        <v>2191</v>
      </c>
      <c r="E687">
        <v>3</v>
      </c>
      <c r="F687">
        <v>3</v>
      </c>
      <c r="G687" s="15">
        <v>1</v>
      </c>
      <c r="H687" s="167">
        <f t="shared" si="20"/>
        <v>5.1413881748071976E-4</v>
      </c>
      <c r="I687" s="167"/>
      <c r="J687" s="167"/>
    </row>
    <row r="688" spans="2:10" x14ac:dyDescent="0.25">
      <c r="B688" s="169">
        <f t="shared" si="21"/>
        <v>0.35115681233933677</v>
      </c>
      <c r="C688">
        <v>4737</v>
      </c>
      <c r="E688">
        <v>13</v>
      </c>
      <c r="F688">
        <v>13</v>
      </c>
      <c r="G688" s="15">
        <v>1</v>
      </c>
      <c r="H688" s="167">
        <f t="shared" si="20"/>
        <v>5.1413881748071976E-4</v>
      </c>
      <c r="I688" s="167"/>
      <c r="J688" s="167"/>
    </row>
    <row r="689" spans="2:10" x14ac:dyDescent="0.25">
      <c r="B689" s="169">
        <f t="shared" si="21"/>
        <v>0.35167095115681751</v>
      </c>
      <c r="C689">
        <v>2034</v>
      </c>
      <c r="E689">
        <v>33</v>
      </c>
      <c r="F689">
        <v>33</v>
      </c>
      <c r="G689" s="15">
        <v>1</v>
      </c>
      <c r="H689" s="167">
        <f t="shared" si="20"/>
        <v>5.1413881748071976E-4</v>
      </c>
      <c r="I689" s="167"/>
      <c r="J689" s="167"/>
    </row>
    <row r="690" spans="2:10" x14ac:dyDescent="0.25">
      <c r="B690" s="169">
        <f t="shared" si="21"/>
        <v>0.35218508997429826</v>
      </c>
      <c r="C690">
        <v>4856</v>
      </c>
      <c r="E690">
        <v>23</v>
      </c>
      <c r="F690">
        <v>23</v>
      </c>
      <c r="G690" s="15">
        <v>1</v>
      </c>
      <c r="H690" s="167">
        <f t="shared" si="20"/>
        <v>5.1413881748071976E-4</v>
      </c>
      <c r="I690" s="167"/>
      <c r="J690" s="167"/>
    </row>
    <row r="691" spans="2:10" x14ac:dyDescent="0.25">
      <c r="B691" s="169">
        <f t="shared" si="21"/>
        <v>0.35269922879177901</v>
      </c>
      <c r="C691">
        <v>4249</v>
      </c>
      <c r="E691">
        <v>10</v>
      </c>
      <c r="F691">
        <v>10</v>
      </c>
      <c r="G691" s="15">
        <v>1</v>
      </c>
      <c r="H691" s="167">
        <f t="shared" si="20"/>
        <v>5.1413881748071976E-4</v>
      </c>
      <c r="I691" s="167"/>
      <c r="J691" s="167"/>
    </row>
    <row r="692" spans="2:10" x14ac:dyDescent="0.25">
      <c r="B692" s="169">
        <f t="shared" si="21"/>
        <v>0.35321336760925975</v>
      </c>
      <c r="C692">
        <v>3717</v>
      </c>
      <c r="E692">
        <v>20</v>
      </c>
      <c r="F692">
        <v>20</v>
      </c>
      <c r="G692" s="15">
        <v>1</v>
      </c>
      <c r="H692" s="167">
        <f t="shared" si="20"/>
        <v>5.1413881748071976E-4</v>
      </c>
      <c r="I692" s="167"/>
      <c r="J692" s="167"/>
    </row>
    <row r="693" spans="2:10" x14ac:dyDescent="0.25">
      <c r="B693" s="169">
        <f t="shared" si="21"/>
        <v>0.3537275064267405</v>
      </c>
      <c r="C693">
        <v>4830</v>
      </c>
      <c r="E693">
        <v>16</v>
      </c>
      <c r="F693">
        <v>16</v>
      </c>
      <c r="G693" s="15">
        <v>1</v>
      </c>
      <c r="H693" s="167">
        <f t="shared" si="20"/>
        <v>5.1413881748071976E-4</v>
      </c>
      <c r="I693" s="167"/>
      <c r="J693" s="167"/>
    </row>
    <row r="694" spans="2:10" x14ac:dyDescent="0.25">
      <c r="B694" s="169">
        <f t="shared" si="21"/>
        <v>0.35424164524422125</v>
      </c>
      <c r="C694">
        <v>3870</v>
      </c>
      <c r="E694">
        <v>5</v>
      </c>
      <c r="F694">
        <v>5</v>
      </c>
      <c r="G694" s="15">
        <v>1</v>
      </c>
      <c r="H694" s="167">
        <f t="shared" si="20"/>
        <v>5.1413881748071976E-4</v>
      </c>
      <c r="I694" s="167"/>
      <c r="J694" s="167"/>
    </row>
    <row r="695" spans="2:10" x14ac:dyDescent="0.25">
      <c r="B695" s="169">
        <f t="shared" si="21"/>
        <v>0.354755784061702</v>
      </c>
      <c r="C695">
        <v>2030</v>
      </c>
      <c r="E695">
        <v>3</v>
      </c>
      <c r="F695">
        <v>3</v>
      </c>
      <c r="G695" s="15">
        <v>1</v>
      </c>
      <c r="H695" s="167">
        <f t="shared" si="20"/>
        <v>5.1413881748071976E-4</v>
      </c>
      <c r="I695" s="167"/>
      <c r="J695" s="167"/>
    </row>
    <row r="696" spans="2:10" x14ac:dyDescent="0.25">
      <c r="B696" s="169">
        <f t="shared" si="21"/>
        <v>0.35526992287918274</v>
      </c>
      <c r="C696">
        <v>5552</v>
      </c>
      <c r="E696">
        <v>20</v>
      </c>
      <c r="F696">
        <v>20</v>
      </c>
      <c r="G696" s="15">
        <v>1</v>
      </c>
      <c r="H696" s="167">
        <f t="shared" si="20"/>
        <v>5.1413881748071976E-4</v>
      </c>
      <c r="I696" s="167"/>
      <c r="J696" s="167"/>
    </row>
    <row r="697" spans="2:10" x14ac:dyDescent="0.25">
      <c r="B697" s="169">
        <f t="shared" si="21"/>
        <v>0.35578406169666349</v>
      </c>
      <c r="C697">
        <v>2158</v>
      </c>
      <c r="E697">
        <v>6</v>
      </c>
      <c r="F697">
        <v>6</v>
      </c>
      <c r="G697" s="15">
        <v>1</v>
      </c>
      <c r="H697" s="167">
        <f t="shared" si="20"/>
        <v>5.1413881748071976E-4</v>
      </c>
      <c r="I697" s="167"/>
      <c r="J697" s="167"/>
    </row>
    <row r="698" spans="2:10" x14ac:dyDescent="0.25">
      <c r="B698" s="169">
        <f t="shared" si="21"/>
        <v>0.35629820051414424</v>
      </c>
      <c r="C698">
        <v>2159</v>
      </c>
      <c r="E698">
        <v>6</v>
      </c>
      <c r="F698">
        <v>6</v>
      </c>
      <c r="G698" s="15">
        <v>1</v>
      </c>
      <c r="H698" s="167">
        <f t="shared" si="20"/>
        <v>5.1413881748071976E-4</v>
      </c>
      <c r="I698" s="167"/>
      <c r="J698" s="167"/>
    </row>
    <row r="699" spans="2:10" x14ac:dyDescent="0.25">
      <c r="B699" s="169">
        <f t="shared" si="21"/>
        <v>0.35681233933162498</v>
      </c>
      <c r="C699">
        <v>3569</v>
      </c>
      <c r="E699">
        <v>1</v>
      </c>
      <c r="F699">
        <v>1</v>
      </c>
      <c r="G699" s="15">
        <v>1</v>
      </c>
      <c r="H699" s="167">
        <f t="shared" si="20"/>
        <v>5.1413881748071976E-4</v>
      </c>
      <c r="I699" s="167"/>
      <c r="J699" s="167"/>
    </row>
    <row r="700" spans="2:10" x14ac:dyDescent="0.25">
      <c r="B700" s="169">
        <f t="shared" si="21"/>
        <v>0.35732647814910573</v>
      </c>
      <c r="C700">
        <v>2155</v>
      </c>
      <c r="E700">
        <v>1</v>
      </c>
      <c r="F700">
        <v>1</v>
      </c>
      <c r="G700" s="15">
        <v>1</v>
      </c>
      <c r="H700" s="167">
        <f t="shared" si="20"/>
        <v>5.1413881748071976E-4</v>
      </c>
      <c r="I700" s="167"/>
      <c r="J700" s="167"/>
    </row>
    <row r="701" spans="2:10" x14ac:dyDescent="0.25">
      <c r="B701" s="169">
        <f t="shared" si="21"/>
        <v>0.35784061696658648</v>
      </c>
      <c r="C701">
        <v>3651</v>
      </c>
      <c r="E701">
        <v>70</v>
      </c>
      <c r="F701">
        <v>70</v>
      </c>
      <c r="G701" s="15">
        <v>1</v>
      </c>
      <c r="H701" s="167">
        <f t="shared" si="20"/>
        <v>5.1413881748071976E-4</v>
      </c>
      <c r="I701" s="167"/>
      <c r="J701" s="167"/>
    </row>
    <row r="702" spans="2:10" x14ac:dyDescent="0.25">
      <c r="B702" s="169">
        <f t="shared" si="21"/>
        <v>0.35835475578406722</v>
      </c>
      <c r="C702">
        <v>1997</v>
      </c>
      <c r="E702">
        <v>3</v>
      </c>
      <c r="F702">
        <v>3</v>
      </c>
      <c r="G702" s="15">
        <v>1</v>
      </c>
      <c r="H702" s="167">
        <f t="shared" si="20"/>
        <v>5.1413881748071976E-4</v>
      </c>
      <c r="I702" s="167"/>
      <c r="J702" s="167"/>
    </row>
    <row r="703" spans="2:10" x14ac:dyDescent="0.25">
      <c r="B703" s="169">
        <f t="shared" si="21"/>
        <v>0.35886889460154797</v>
      </c>
      <c r="C703">
        <v>2479</v>
      </c>
      <c r="E703">
        <v>176</v>
      </c>
      <c r="F703">
        <v>176</v>
      </c>
      <c r="G703" s="15">
        <v>1</v>
      </c>
      <c r="H703" s="167">
        <f t="shared" si="20"/>
        <v>5.1413881748071976E-4</v>
      </c>
      <c r="I703" s="167"/>
      <c r="J703" s="167"/>
    </row>
    <row r="704" spans="2:10" x14ac:dyDescent="0.25">
      <c r="B704" s="169">
        <f t="shared" si="21"/>
        <v>0.35938303341902872</v>
      </c>
      <c r="C704">
        <v>4741</v>
      </c>
      <c r="E704">
        <v>21</v>
      </c>
      <c r="F704">
        <v>21</v>
      </c>
      <c r="G704" s="15">
        <v>1</v>
      </c>
      <c r="H704" s="167">
        <f t="shared" si="20"/>
        <v>5.1413881748071976E-4</v>
      </c>
      <c r="I704" s="167"/>
      <c r="J704" s="167"/>
    </row>
    <row r="705" spans="2:10" x14ac:dyDescent="0.25">
      <c r="B705" s="169">
        <f t="shared" si="21"/>
        <v>0.35989717223650947</v>
      </c>
      <c r="C705">
        <v>4745</v>
      </c>
      <c r="E705">
        <v>21</v>
      </c>
      <c r="F705">
        <v>21</v>
      </c>
      <c r="G705" s="15">
        <v>1</v>
      </c>
      <c r="H705" s="167">
        <f t="shared" si="20"/>
        <v>5.1413881748071976E-4</v>
      </c>
      <c r="I705" s="167"/>
      <c r="J705" s="167"/>
    </row>
    <row r="706" spans="2:10" x14ac:dyDescent="0.25">
      <c r="B706" s="169">
        <f t="shared" si="21"/>
        <v>0.36041131105399021</v>
      </c>
      <c r="C706">
        <v>4749</v>
      </c>
      <c r="E706">
        <v>21</v>
      </c>
      <c r="F706">
        <v>21</v>
      </c>
      <c r="G706" s="15">
        <v>1</v>
      </c>
      <c r="H706" s="167">
        <f t="shared" si="20"/>
        <v>5.1413881748071976E-4</v>
      </c>
      <c r="I706" s="167"/>
      <c r="J706" s="167"/>
    </row>
    <row r="707" spans="2:10" x14ac:dyDescent="0.25">
      <c r="B707" s="169">
        <f t="shared" si="21"/>
        <v>0.36092544987147096</v>
      </c>
      <c r="C707">
        <v>4848</v>
      </c>
      <c r="E707">
        <v>7</v>
      </c>
      <c r="F707">
        <v>7</v>
      </c>
      <c r="G707" s="15">
        <v>1</v>
      </c>
      <c r="H707" s="167">
        <f t="shared" si="20"/>
        <v>5.1413881748071976E-4</v>
      </c>
      <c r="I707" s="167"/>
      <c r="J707" s="167"/>
    </row>
    <row r="708" spans="2:10" x14ac:dyDescent="0.25">
      <c r="B708" s="169">
        <f t="shared" si="21"/>
        <v>0.36143958868895171</v>
      </c>
      <c r="C708">
        <v>4875</v>
      </c>
      <c r="E708">
        <v>15</v>
      </c>
      <c r="F708">
        <v>15</v>
      </c>
      <c r="G708" s="15">
        <v>1</v>
      </c>
      <c r="H708" s="167">
        <f t="shared" si="20"/>
        <v>5.1413881748071976E-4</v>
      </c>
      <c r="I708" s="167"/>
      <c r="J708" s="167"/>
    </row>
    <row r="709" spans="2:10" x14ac:dyDescent="0.25">
      <c r="B709" s="169">
        <f t="shared" si="21"/>
        <v>0.36195372750643245</v>
      </c>
      <c r="C709">
        <v>2160</v>
      </c>
      <c r="E709">
        <v>3</v>
      </c>
      <c r="F709">
        <v>3</v>
      </c>
      <c r="G709" s="15">
        <v>1</v>
      </c>
      <c r="H709" s="167">
        <f t="shared" si="20"/>
        <v>5.1413881748071976E-4</v>
      </c>
      <c r="I709" s="167"/>
      <c r="J709" s="167"/>
    </row>
    <row r="710" spans="2:10" x14ac:dyDescent="0.25">
      <c r="B710" s="169">
        <f t="shared" si="21"/>
        <v>0.3624678663239132</v>
      </c>
      <c r="C710">
        <v>1998</v>
      </c>
      <c r="E710">
        <v>11</v>
      </c>
      <c r="F710">
        <v>11</v>
      </c>
      <c r="G710" s="15">
        <v>1</v>
      </c>
      <c r="H710" s="167">
        <f t="shared" ref="H710:H773" si="22">1/$L$6</f>
        <v>5.1413881748071976E-4</v>
      </c>
      <c r="I710" s="167"/>
      <c r="J710" s="167"/>
    </row>
    <row r="711" spans="2:10" x14ac:dyDescent="0.25">
      <c r="B711" s="169">
        <f t="shared" ref="B711:B774" si="23">B710+H711</f>
        <v>0.36298200514139395</v>
      </c>
      <c r="C711">
        <v>4915</v>
      </c>
      <c r="E711">
        <v>1</v>
      </c>
      <c r="F711">
        <v>1</v>
      </c>
      <c r="G711" s="15">
        <v>1</v>
      </c>
      <c r="H711" s="167">
        <f t="shared" si="22"/>
        <v>5.1413881748071976E-4</v>
      </c>
      <c r="I711" s="167"/>
      <c r="J711" s="167"/>
    </row>
    <row r="712" spans="2:10" x14ac:dyDescent="0.25">
      <c r="B712" s="169">
        <f t="shared" si="23"/>
        <v>0.3634961439588747</v>
      </c>
      <c r="C712">
        <v>3686</v>
      </c>
      <c r="E712">
        <v>1</v>
      </c>
      <c r="F712">
        <v>1</v>
      </c>
      <c r="G712" s="15">
        <v>1</v>
      </c>
      <c r="H712" s="167">
        <f t="shared" si="22"/>
        <v>5.1413881748071976E-4</v>
      </c>
      <c r="I712" s="167"/>
      <c r="J712" s="167"/>
    </row>
    <row r="713" spans="2:10" x14ac:dyDescent="0.25">
      <c r="B713" s="169">
        <f t="shared" si="23"/>
        <v>0.36401028277635544</v>
      </c>
      <c r="C713">
        <v>3687</v>
      </c>
      <c r="E713">
        <v>1</v>
      </c>
      <c r="F713">
        <v>1</v>
      </c>
      <c r="G713" s="15">
        <v>1</v>
      </c>
      <c r="H713" s="167">
        <f t="shared" si="22"/>
        <v>5.1413881748071976E-4</v>
      </c>
      <c r="I713" s="167"/>
      <c r="J713" s="167"/>
    </row>
    <row r="714" spans="2:10" x14ac:dyDescent="0.25">
      <c r="B714" s="169">
        <f t="shared" si="23"/>
        <v>0.36452442159383619</v>
      </c>
      <c r="C714">
        <v>4880</v>
      </c>
      <c r="E714">
        <v>11</v>
      </c>
      <c r="F714">
        <v>11</v>
      </c>
      <c r="G714" s="15">
        <v>1</v>
      </c>
      <c r="H714" s="167">
        <f t="shared" si="22"/>
        <v>5.1413881748071976E-4</v>
      </c>
      <c r="I714" s="167"/>
      <c r="J714" s="167"/>
    </row>
    <row r="715" spans="2:10" x14ac:dyDescent="0.25">
      <c r="B715" s="169">
        <f t="shared" si="23"/>
        <v>0.36503856041131694</v>
      </c>
      <c r="C715">
        <v>3487</v>
      </c>
      <c r="E715">
        <v>5</v>
      </c>
      <c r="F715">
        <v>5</v>
      </c>
      <c r="G715" s="15">
        <v>1</v>
      </c>
      <c r="H715" s="167">
        <f t="shared" si="22"/>
        <v>5.1413881748071976E-4</v>
      </c>
      <c r="I715" s="167"/>
      <c r="J715" s="167"/>
    </row>
    <row r="716" spans="2:10" x14ac:dyDescent="0.25">
      <c r="B716" s="169">
        <f t="shared" si="23"/>
        <v>0.36555269922879768</v>
      </c>
      <c r="C716">
        <v>1999</v>
      </c>
      <c r="E716">
        <v>12</v>
      </c>
      <c r="F716">
        <v>12</v>
      </c>
      <c r="G716" s="15">
        <v>1</v>
      </c>
      <c r="H716" s="167">
        <f t="shared" si="22"/>
        <v>5.1413881748071976E-4</v>
      </c>
      <c r="I716" s="167"/>
      <c r="J716" s="167"/>
    </row>
    <row r="717" spans="2:10" x14ac:dyDescent="0.25">
      <c r="B717" s="169">
        <f t="shared" si="23"/>
        <v>0.36606683804627843</v>
      </c>
      <c r="C717">
        <v>5558</v>
      </c>
      <c r="E717">
        <v>1</v>
      </c>
      <c r="F717">
        <v>1</v>
      </c>
      <c r="G717" s="15">
        <v>1</v>
      </c>
      <c r="H717" s="167">
        <f t="shared" si="22"/>
        <v>5.1413881748071976E-4</v>
      </c>
      <c r="I717" s="167"/>
      <c r="J717" s="167"/>
    </row>
    <row r="718" spans="2:10" x14ac:dyDescent="0.25">
      <c r="B718" s="169">
        <f t="shared" si="23"/>
        <v>0.36658097686375918</v>
      </c>
      <c r="C718">
        <v>5557</v>
      </c>
      <c r="E718">
        <v>5</v>
      </c>
      <c r="F718">
        <v>5</v>
      </c>
      <c r="G718" s="15">
        <v>1</v>
      </c>
      <c r="H718" s="167">
        <f t="shared" si="22"/>
        <v>5.1413881748071976E-4</v>
      </c>
      <c r="I718" s="167"/>
      <c r="J718" s="167"/>
    </row>
    <row r="719" spans="2:10" x14ac:dyDescent="0.25">
      <c r="B719" s="169">
        <f t="shared" si="23"/>
        <v>0.36709511568123993</v>
      </c>
      <c r="C719">
        <v>4876</v>
      </c>
      <c r="E719">
        <v>14</v>
      </c>
      <c r="F719">
        <v>14</v>
      </c>
      <c r="G719" s="15">
        <v>1</v>
      </c>
      <c r="H719" s="167">
        <f t="shared" si="22"/>
        <v>5.1413881748071976E-4</v>
      </c>
      <c r="I719" s="167"/>
      <c r="J719" s="167"/>
    </row>
    <row r="720" spans="2:10" x14ac:dyDescent="0.25">
      <c r="B720" s="169">
        <f t="shared" si="23"/>
        <v>0.36760925449872067</v>
      </c>
      <c r="C720">
        <v>517</v>
      </c>
      <c r="E720">
        <v>84</v>
      </c>
      <c r="F720">
        <v>84</v>
      </c>
      <c r="G720" s="15">
        <v>1</v>
      </c>
      <c r="H720" s="167">
        <f t="shared" si="22"/>
        <v>5.1413881748071976E-4</v>
      </c>
      <c r="I720" s="167"/>
      <c r="J720" s="167"/>
    </row>
    <row r="721" spans="2:10" x14ac:dyDescent="0.25">
      <c r="B721" s="169">
        <f t="shared" si="23"/>
        <v>0.36812339331620142</v>
      </c>
      <c r="C721">
        <v>3683</v>
      </c>
      <c r="E721">
        <v>3</v>
      </c>
      <c r="F721">
        <v>3</v>
      </c>
      <c r="G721" s="15">
        <v>1</v>
      </c>
      <c r="H721" s="167">
        <f t="shared" si="22"/>
        <v>5.1413881748071976E-4</v>
      </c>
      <c r="I721" s="167"/>
      <c r="J721" s="167"/>
    </row>
    <row r="722" spans="2:10" x14ac:dyDescent="0.25">
      <c r="B722" s="169">
        <f t="shared" si="23"/>
        <v>0.36863753213368217</v>
      </c>
      <c r="C722">
        <v>4370</v>
      </c>
      <c r="E722">
        <v>2</v>
      </c>
      <c r="F722">
        <v>2</v>
      </c>
      <c r="G722" s="15">
        <v>1</v>
      </c>
      <c r="H722" s="167">
        <f t="shared" si="22"/>
        <v>5.1413881748071976E-4</v>
      </c>
      <c r="I722" s="167"/>
      <c r="J722" s="167"/>
    </row>
    <row r="723" spans="2:10" x14ac:dyDescent="0.25">
      <c r="B723" s="169">
        <f t="shared" si="23"/>
        <v>0.36915167095116291</v>
      </c>
      <c r="C723">
        <v>3725</v>
      </c>
      <c r="E723">
        <v>1</v>
      </c>
      <c r="F723">
        <v>1</v>
      </c>
      <c r="G723" s="15">
        <v>1</v>
      </c>
      <c r="H723" s="167">
        <f t="shared" si="22"/>
        <v>5.1413881748071976E-4</v>
      </c>
      <c r="I723" s="167"/>
      <c r="J723" s="167"/>
    </row>
    <row r="724" spans="2:10" x14ac:dyDescent="0.25">
      <c r="B724" s="169">
        <f t="shared" si="23"/>
        <v>0.36966580976864366</v>
      </c>
      <c r="C724">
        <v>3726</v>
      </c>
      <c r="E724">
        <v>2</v>
      </c>
      <c r="F724">
        <v>2</v>
      </c>
      <c r="G724" s="15">
        <v>1</v>
      </c>
      <c r="H724" s="167">
        <f t="shared" si="22"/>
        <v>5.1413881748071976E-4</v>
      </c>
      <c r="I724" s="167"/>
      <c r="J724" s="167"/>
    </row>
    <row r="725" spans="2:10" x14ac:dyDescent="0.25">
      <c r="B725" s="169">
        <f t="shared" si="23"/>
        <v>0.37017994858612441</v>
      </c>
      <c r="C725">
        <v>4881</v>
      </c>
      <c r="E725">
        <v>8</v>
      </c>
      <c r="F725">
        <v>8</v>
      </c>
      <c r="G725" s="15">
        <v>1</v>
      </c>
      <c r="H725" s="167">
        <f t="shared" si="22"/>
        <v>5.1413881748071976E-4</v>
      </c>
      <c r="I725" s="167"/>
      <c r="J725" s="167"/>
    </row>
    <row r="726" spans="2:10" x14ac:dyDescent="0.25">
      <c r="B726" s="169">
        <f t="shared" si="23"/>
        <v>0.37069408740360515</v>
      </c>
      <c r="C726">
        <v>3570</v>
      </c>
      <c r="E726">
        <v>1</v>
      </c>
      <c r="F726">
        <v>1</v>
      </c>
      <c r="G726" s="15">
        <v>1</v>
      </c>
      <c r="H726" s="167">
        <f t="shared" si="22"/>
        <v>5.1413881748071976E-4</v>
      </c>
      <c r="I726" s="167"/>
      <c r="J726" s="167"/>
    </row>
    <row r="727" spans="2:10" x14ac:dyDescent="0.25">
      <c r="B727" s="169">
        <f t="shared" si="23"/>
        <v>0.3712082262210859</v>
      </c>
      <c r="C727">
        <v>3689</v>
      </c>
      <c r="E727">
        <v>2</v>
      </c>
      <c r="F727">
        <v>2</v>
      </c>
      <c r="G727" s="15">
        <v>1</v>
      </c>
      <c r="H727" s="167">
        <f t="shared" si="22"/>
        <v>5.1413881748071976E-4</v>
      </c>
      <c r="I727" s="167"/>
      <c r="J727" s="167"/>
    </row>
    <row r="728" spans="2:10" x14ac:dyDescent="0.25">
      <c r="B728" s="169">
        <f t="shared" si="23"/>
        <v>0.37172236503856665</v>
      </c>
      <c r="C728">
        <v>2035</v>
      </c>
      <c r="E728">
        <v>3</v>
      </c>
      <c r="F728">
        <v>3</v>
      </c>
      <c r="G728" s="15">
        <v>1</v>
      </c>
      <c r="H728" s="167">
        <f t="shared" si="22"/>
        <v>5.1413881748071976E-4</v>
      </c>
      <c r="I728" s="167"/>
      <c r="J728" s="167"/>
    </row>
    <row r="729" spans="2:10" x14ac:dyDescent="0.25">
      <c r="B729" s="169">
        <f t="shared" si="23"/>
        <v>0.3722365038560474</v>
      </c>
      <c r="C729">
        <v>3727</v>
      </c>
      <c r="E729">
        <v>2</v>
      </c>
      <c r="F729">
        <v>2</v>
      </c>
      <c r="G729" s="15">
        <v>1</v>
      </c>
      <c r="H729" s="167">
        <f t="shared" si="22"/>
        <v>5.1413881748071976E-4</v>
      </c>
      <c r="I729" s="167"/>
      <c r="J729" s="167"/>
    </row>
    <row r="730" spans="2:10" x14ac:dyDescent="0.25">
      <c r="B730" s="169">
        <f t="shared" si="23"/>
        <v>0.37275064267352814</v>
      </c>
      <c r="C730">
        <v>4916</v>
      </c>
      <c r="E730">
        <v>1</v>
      </c>
      <c r="F730">
        <v>1</v>
      </c>
      <c r="G730" s="15">
        <v>1</v>
      </c>
      <c r="H730" s="167">
        <f t="shared" si="22"/>
        <v>5.1413881748071976E-4</v>
      </c>
      <c r="I730" s="167"/>
      <c r="J730" s="167"/>
    </row>
    <row r="731" spans="2:10" x14ac:dyDescent="0.25">
      <c r="B731" s="169">
        <f t="shared" si="23"/>
        <v>0.37326478149100889</v>
      </c>
      <c r="C731">
        <v>3690</v>
      </c>
      <c r="E731">
        <v>2</v>
      </c>
      <c r="F731">
        <v>2</v>
      </c>
      <c r="G731" s="15">
        <v>1</v>
      </c>
      <c r="H731" s="167">
        <f t="shared" si="22"/>
        <v>5.1413881748071976E-4</v>
      </c>
      <c r="I731" s="167"/>
      <c r="J731" s="167"/>
    </row>
    <row r="732" spans="2:10" x14ac:dyDescent="0.25">
      <c r="B732" s="169">
        <f t="shared" si="23"/>
        <v>0.37377892030848964</v>
      </c>
      <c r="C732">
        <v>3728</v>
      </c>
      <c r="E732">
        <v>1</v>
      </c>
      <c r="F732">
        <v>1</v>
      </c>
      <c r="G732" s="15">
        <v>1</v>
      </c>
      <c r="H732" s="167">
        <f t="shared" si="22"/>
        <v>5.1413881748071976E-4</v>
      </c>
      <c r="I732" s="167"/>
      <c r="J732" s="167"/>
    </row>
    <row r="733" spans="2:10" x14ac:dyDescent="0.25">
      <c r="B733" s="169">
        <f t="shared" si="23"/>
        <v>0.37429305912597038</v>
      </c>
      <c r="C733">
        <v>2000</v>
      </c>
      <c r="E733">
        <v>3</v>
      </c>
      <c r="F733">
        <v>3</v>
      </c>
      <c r="G733" s="15">
        <v>1</v>
      </c>
      <c r="H733" s="167">
        <f t="shared" si="22"/>
        <v>5.1413881748071976E-4</v>
      </c>
      <c r="I733" s="167"/>
      <c r="J733" s="167"/>
    </row>
    <row r="734" spans="2:10" x14ac:dyDescent="0.25">
      <c r="B734" s="169">
        <f t="shared" si="23"/>
        <v>0.37480719794345113</v>
      </c>
      <c r="C734">
        <v>3729</v>
      </c>
      <c r="E734">
        <v>1</v>
      </c>
      <c r="F734">
        <v>1</v>
      </c>
      <c r="G734" s="15">
        <v>1</v>
      </c>
      <c r="H734" s="167">
        <f t="shared" si="22"/>
        <v>5.1413881748071976E-4</v>
      </c>
      <c r="I734" s="167"/>
      <c r="J734" s="167"/>
    </row>
    <row r="735" spans="2:10" x14ac:dyDescent="0.25">
      <c r="B735" s="169">
        <f t="shared" si="23"/>
        <v>0.37532133676093188</v>
      </c>
      <c r="C735">
        <v>4410</v>
      </c>
      <c r="E735">
        <v>12</v>
      </c>
      <c r="F735">
        <v>12</v>
      </c>
      <c r="G735" s="15">
        <v>1</v>
      </c>
      <c r="H735" s="167">
        <f t="shared" si="22"/>
        <v>5.1413881748071976E-4</v>
      </c>
      <c r="I735" s="167"/>
      <c r="J735" s="167"/>
    </row>
    <row r="736" spans="2:10" x14ac:dyDescent="0.25">
      <c r="B736" s="169">
        <f t="shared" si="23"/>
        <v>0.37583547557841263</v>
      </c>
      <c r="C736">
        <v>3722</v>
      </c>
      <c r="E736">
        <v>4</v>
      </c>
      <c r="F736">
        <v>4</v>
      </c>
      <c r="G736" s="15">
        <v>1</v>
      </c>
      <c r="H736" s="167">
        <f t="shared" si="22"/>
        <v>5.1413881748071976E-4</v>
      </c>
      <c r="I736" s="167"/>
      <c r="J736" s="167"/>
    </row>
    <row r="737" spans="2:10" x14ac:dyDescent="0.25">
      <c r="B737" s="169">
        <f t="shared" si="23"/>
        <v>0.37634961439589337</v>
      </c>
      <c r="C737">
        <v>4752</v>
      </c>
      <c r="E737">
        <v>24</v>
      </c>
      <c r="F737">
        <v>24</v>
      </c>
      <c r="G737" s="15">
        <v>1</v>
      </c>
      <c r="H737" s="167">
        <f t="shared" si="22"/>
        <v>5.1413881748071976E-4</v>
      </c>
      <c r="I737" s="167"/>
      <c r="J737" s="167"/>
    </row>
    <row r="738" spans="2:10" x14ac:dyDescent="0.25">
      <c r="B738" s="169">
        <f t="shared" si="23"/>
        <v>0.37686375321337412</v>
      </c>
      <c r="C738">
        <v>4754</v>
      </c>
      <c r="E738">
        <v>24</v>
      </c>
      <c r="F738">
        <v>24</v>
      </c>
      <c r="G738" s="15">
        <v>1</v>
      </c>
      <c r="H738" s="167">
        <f t="shared" si="22"/>
        <v>5.1413881748071976E-4</v>
      </c>
      <c r="I738" s="167"/>
      <c r="J738" s="167"/>
    </row>
    <row r="739" spans="2:10" x14ac:dyDescent="0.25">
      <c r="B739" s="169">
        <f t="shared" si="23"/>
        <v>0.37737789203085487</v>
      </c>
      <c r="C739">
        <v>4831</v>
      </c>
      <c r="E739">
        <v>40</v>
      </c>
      <c r="F739">
        <v>40</v>
      </c>
      <c r="G739" s="15">
        <v>1</v>
      </c>
      <c r="H739" s="167">
        <f t="shared" si="22"/>
        <v>5.1413881748071976E-4</v>
      </c>
      <c r="I739" s="167"/>
      <c r="J739" s="167"/>
    </row>
    <row r="740" spans="2:10" x14ac:dyDescent="0.25">
      <c r="B740" s="169">
        <f t="shared" si="23"/>
        <v>0.37789203084833561</v>
      </c>
      <c r="C740">
        <v>3693</v>
      </c>
      <c r="E740">
        <v>1</v>
      </c>
      <c r="F740">
        <v>1</v>
      </c>
      <c r="G740" s="15">
        <v>1</v>
      </c>
      <c r="H740" s="167">
        <f t="shared" si="22"/>
        <v>5.1413881748071976E-4</v>
      </c>
      <c r="I740" s="167"/>
      <c r="J740" s="167"/>
    </row>
    <row r="741" spans="2:10" x14ac:dyDescent="0.25">
      <c r="B741" s="169">
        <f t="shared" si="23"/>
        <v>0.37840616966581636</v>
      </c>
      <c r="C741">
        <v>1990</v>
      </c>
      <c r="E741">
        <v>3</v>
      </c>
      <c r="F741">
        <v>3</v>
      </c>
      <c r="G741" s="15">
        <v>1</v>
      </c>
      <c r="H741" s="167">
        <f t="shared" si="22"/>
        <v>5.1413881748071976E-4</v>
      </c>
      <c r="I741" s="167"/>
      <c r="J741" s="167"/>
    </row>
    <row r="742" spans="2:10" x14ac:dyDescent="0.25">
      <c r="B742" s="169">
        <f t="shared" si="23"/>
        <v>0.37892030848329711</v>
      </c>
      <c r="C742">
        <v>2620</v>
      </c>
      <c r="E742">
        <v>57</v>
      </c>
      <c r="F742">
        <v>57</v>
      </c>
      <c r="G742" s="15">
        <v>1</v>
      </c>
      <c r="H742" s="167">
        <f t="shared" si="22"/>
        <v>5.1413881748071976E-4</v>
      </c>
      <c r="I742" s="167"/>
      <c r="J742" s="167"/>
    </row>
    <row r="743" spans="2:10" x14ac:dyDescent="0.25">
      <c r="B743" s="169">
        <f t="shared" si="23"/>
        <v>0.37943444730077786</v>
      </c>
      <c r="C743">
        <v>3694</v>
      </c>
      <c r="E743">
        <v>1</v>
      </c>
      <c r="F743">
        <v>1</v>
      </c>
      <c r="G743" s="15">
        <v>1</v>
      </c>
      <c r="H743" s="167">
        <f t="shared" si="22"/>
        <v>5.1413881748071976E-4</v>
      </c>
      <c r="I743" s="167"/>
      <c r="J743" s="167"/>
    </row>
    <row r="744" spans="2:10" x14ac:dyDescent="0.25">
      <c r="B744" s="169">
        <f t="shared" si="23"/>
        <v>0.3799485861182586</v>
      </c>
      <c r="C744">
        <v>3695</v>
      </c>
      <c r="E744">
        <v>1</v>
      </c>
      <c r="F744">
        <v>1</v>
      </c>
      <c r="G744" s="15">
        <v>1</v>
      </c>
      <c r="H744" s="167">
        <f t="shared" si="22"/>
        <v>5.1413881748071976E-4</v>
      </c>
      <c r="I744" s="167"/>
      <c r="J744" s="167"/>
    </row>
    <row r="745" spans="2:10" x14ac:dyDescent="0.25">
      <c r="B745" s="169">
        <f t="shared" si="23"/>
        <v>0.38046272493573935</v>
      </c>
      <c r="C745">
        <v>3732</v>
      </c>
      <c r="E745">
        <v>1</v>
      </c>
      <c r="F745">
        <v>1</v>
      </c>
      <c r="G745" s="15">
        <v>1</v>
      </c>
      <c r="H745" s="167">
        <f t="shared" si="22"/>
        <v>5.1413881748071976E-4</v>
      </c>
      <c r="I745" s="167"/>
      <c r="J745" s="167"/>
    </row>
    <row r="746" spans="2:10" x14ac:dyDescent="0.25">
      <c r="B746" s="169">
        <f t="shared" si="23"/>
        <v>0.3809768637532201</v>
      </c>
      <c r="C746">
        <v>2143</v>
      </c>
      <c r="E746">
        <v>1</v>
      </c>
      <c r="F746">
        <v>1</v>
      </c>
      <c r="G746" s="15">
        <v>1</v>
      </c>
      <c r="H746" s="167">
        <f t="shared" si="22"/>
        <v>5.1413881748071976E-4</v>
      </c>
      <c r="I746" s="167"/>
      <c r="J746" s="167"/>
    </row>
    <row r="747" spans="2:10" x14ac:dyDescent="0.25">
      <c r="B747" s="169">
        <f t="shared" si="23"/>
        <v>0.38149100257070084</v>
      </c>
      <c r="C747">
        <v>2144</v>
      </c>
      <c r="E747">
        <v>3</v>
      </c>
      <c r="F747">
        <v>3</v>
      </c>
      <c r="G747" s="15">
        <v>1</v>
      </c>
      <c r="H747" s="167">
        <f t="shared" si="22"/>
        <v>5.1413881748071976E-4</v>
      </c>
      <c r="I747" s="167"/>
      <c r="J747" s="167"/>
    </row>
    <row r="748" spans="2:10" x14ac:dyDescent="0.25">
      <c r="B748" s="169">
        <f t="shared" si="23"/>
        <v>0.38200514138818159</v>
      </c>
      <c r="C748">
        <v>3724</v>
      </c>
      <c r="E748">
        <v>4</v>
      </c>
      <c r="F748">
        <v>4</v>
      </c>
      <c r="G748" s="15">
        <v>1</v>
      </c>
      <c r="H748" s="167">
        <f t="shared" si="22"/>
        <v>5.1413881748071976E-4</v>
      </c>
      <c r="I748" s="167"/>
      <c r="J748" s="167"/>
    </row>
    <row r="749" spans="2:10" x14ac:dyDescent="0.25">
      <c r="B749" s="169">
        <f t="shared" si="23"/>
        <v>0.38251928020566234</v>
      </c>
      <c r="C749">
        <v>3571</v>
      </c>
      <c r="E749">
        <v>1</v>
      </c>
      <c r="F749">
        <v>1</v>
      </c>
      <c r="G749" s="15">
        <v>1</v>
      </c>
      <c r="H749" s="167">
        <f t="shared" si="22"/>
        <v>5.1413881748071976E-4</v>
      </c>
      <c r="I749" s="167"/>
      <c r="J749" s="167"/>
    </row>
    <row r="750" spans="2:10" x14ac:dyDescent="0.25">
      <c r="B750" s="169">
        <f t="shared" si="23"/>
        <v>0.38303341902314308</v>
      </c>
      <c r="C750">
        <v>4917</v>
      </c>
      <c r="E750">
        <v>1</v>
      </c>
      <c r="F750">
        <v>1</v>
      </c>
      <c r="G750" s="15">
        <v>1</v>
      </c>
      <c r="H750" s="167">
        <f t="shared" si="22"/>
        <v>5.1413881748071976E-4</v>
      </c>
      <c r="I750" s="167"/>
      <c r="J750" s="167"/>
    </row>
    <row r="751" spans="2:10" x14ac:dyDescent="0.25">
      <c r="B751" s="169">
        <f t="shared" si="23"/>
        <v>0.38354755784062383</v>
      </c>
      <c r="C751">
        <v>4469</v>
      </c>
      <c r="E751">
        <v>5</v>
      </c>
      <c r="F751">
        <v>5</v>
      </c>
      <c r="G751" s="15">
        <v>1</v>
      </c>
      <c r="H751" s="167">
        <f t="shared" si="22"/>
        <v>5.1413881748071976E-4</v>
      </c>
      <c r="I751" s="167"/>
      <c r="J751" s="167"/>
    </row>
    <row r="752" spans="2:10" x14ac:dyDescent="0.25">
      <c r="B752" s="169">
        <f t="shared" si="23"/>
        <v>0.38406169665810458</v>
      </c>
      <c r="C752">
        <v>4470</v>
      </c>
      <c r="E752">
        <v>5</v>
      </c>
      <c r="F752">
        <v>5</v>
      </c>
      <c r="G752" s="15">
        <v>1</v>
      </c>
      <c r="H752" s="167">
        <f t="shared" si="22"/>
        <v>5.1413881748071976E-4</v>
      </c>
      <c r="I752" s="167"/>
      <c r="J752" s="167"/>
    </row>
    <row r="753" spans="2:10" x14ac:dyDescent="0.25">
      <c r="B753" s="169">
        <f t="shared" si="23"/>
        <v>0.38457583547558533</v>
      </c>
      <c r="C753">
        <v>4474</v>
      </c>
      <c r="E753">
        <v>5</v>
      </c>
      <c r="F753">
        <v>5</v>
      </c>
      <c r="G753" s="15">
        <v>1</v>
      </c>
      <c r="H753" s="167">
        <f t="shared" si="22"/>
        <v>5.1413881748071976E-4</v>
      </c>
      <c r="I753" s="167"/>
      <c r="J753" s="167"/>
    </row>
    <row r="754" spans="2:10" x14ac:dyDescent="0.25">
      <c r="B754" s="169">
        <f t="shared" si="23"/>
        <v>0.38508997429306607</v>
      </c>
      <c r="C754">
        <v>4487</v>
      </c>
      <c r="E754">
        <v>5</v>
      </c>
      <c r="F754">
        <v>5</v>
      </c>
      <c r="G754" s="15">
        <v>1</v>
      </c>
      <c r="H754" s="167">
        <f t="shared" si="22"/>
        <v>5.1413881748071976E-4</v>
      </c>
      <c r="I754" s="167"/>
      <c r="J754" s="167"/>
    </row>
    <row r="755" spans="2:10" x14ac:dyDescent="0.25">
      <c r="B755" s="169">
        <f t="shared" si="23"/>
        <v>0.38560411311054682</v>
      </c>
      <c r="C755">
        <v>4996</v>
      </c>
      <c r="E755">
        <v>9</v>
      </c>
      <c r="F755">
        <v>9</v>
      </c>
      <c r="G755" s="15">
        <v>1</v>
      </c>
      <c r="H755" s="167">
        <f t="shared" si="22"/>
        <v>5.1413881748071976E-4</v>
      </c>
      <c r="I755" s="167"/>
      <c r="J755" s="167"/>
    </row>
    <row r="756" spans="2:10" x14ac:dyDescent="0.25">
      <c r="B756" s="169">
        <f t="shared" si="23"/>
        <v>0.38611825192802757</v>
      </c>
      <c r="C756">
        <v>2025</v>
      </c>
      <c r="E756">
        <v>3</v>
      </c>
      <c r="F756">
        <v>3</v>
      </c>
      <c r="G756" s="15">
        <v>1</v>
      </c>
      <c r="H756" s="167">
        <f t="shared" si="22"/>
        <v>5.1413881748071976E-4</v>
      </c>
      <c r="I756" s="167"/>
      <c r="J756" s="167"/>
    </row>
    <row r="757" spans="2:10" x14ac:dyDescent="0.25">
      <c r="B757" s="169">
        <f t="shared" si="23"/>
        <v>0.38663239074550831</v>
      </c>
      <c r="C757">
        <v>3731</v>
      </c>
      <c r="E757">
        <v>2</v>
      </c>
      <c r="F757">
        <v>2</v>
      </c>
      <c r="G757" s="15">
        <v>1</v>
      </c>
      <c r="H757" s="167">
        <f t="shared" si="22"/>
        <v>5.1413881748071976E-4</v>
      </c>
      <c r="I757" s="167"/>
      <c r="J757" s="167"/>
    </row>
    <row r="758" spans="2:10" x14ac:dyDescent="0.25">
      <c r="B758" s="169">
        <f t="shared" si="23"/>
        <v>0.38714652956298906</v>
      </c>
      <c r="C758">
        <v>4977</v>
      </c>
      <c r="E758">
        <v>5</v>
      </c>
      <c r="F758">
        <v>5</v>
      </c>
      <c r="G758" s="15">
        <v>1</v>
      </c>
      <c r="H758" s="167">
        <f t="shared" si="22"/>
        <v>5.1413881748071976E-4</v>
      </c>
      <c r="I758" s="167"/>
      <c r="J758" s="167"/>
    </row>
    <row r="759" spans="2:10" x14ac:dyDescent="0.25">
      <c r="B759" s="169">
        <f t="shared" si="23"/>
        <v>0.38766066838046981</v>
      </c>
      <c r="C759">
        <v>3708</v>
      </c>
      <c r="E759">
        <v>3</v>
      </c>
      <c r="F759">
        <v>3</v>
      </c>
      <c r="G759" s="15">
        <v>1</v>
      </c>
      <c r="H759" s="167">
        <f t="shared" si="22"/>
        <v>5.1413881748071976E-4</v>
      </c>
      <c r="I759" s="167"/>
      <c r="J759" s="167"/>
    </row>
    <row r="760" spans="2:10" x14ac:dyDescent="0.25">
      <c r="B760" s="169">
        <f t="shared" si="23"/>
        <v>0.38817480719795056</v>
      </c>
      <c r="C760">
        <v>5731</v>
      </c>
      <c r="E760">
        <v>1</v>
      </c>
      <c r="F760">
        <v>1</v>
      </c>
      <c r="G760" s="15">
        <v>1</v>
      </c>
      <c r="H760" s="167">
        <f t="shared" si="22"/>
        <v>5.1413881748071976E-4</v>
      </c>
      <c r="I760" s="167"/>
      <c r="J760" s="167"/>
    </row>
    <row r="761" spans="2:10" x14ac:dyDescent="0.25">
      <c r="B761" s="169">
        <f t="shared" si="23"/>
        <v>0.3886889460154313</v>
      </c>
      <c r="C761">
        <v>5732</v>
      </c>
      <c r="E761">
        <v>1</v>
      </c>
      <c r="F761">
        <v>1</v>
      </c>
      <c r="G761" s="15">
        <v>1</v>
      </c>
      <c r="H761" s="167">
        <f t="shared" si="22"/>
        <v>5.1413881748071976E-4</v>
      </c>
      <c r="I761" s="167"/>
      <c r="J761" s="167"/>
    </row>
    <row r="762" spans="2:10" x14ac:dyDescent="0.25">
      <c r="B762" s="169">
        <f t="shared" si="23"/>
        <v>0.38920308483291205</v>
      </c>
      <c r="C762">
        <v>5733</v>
      </c>
      <c r="E762">
        <v>1</v>
      </c>
      <c r="F762">
        <v>1</v>
      </c>
      <c r="G762" s="15">
        <v>1</v>
      </c>
      <c r="H762" s="167">
        <f t="shared" si="22"/>
        <v>5.1413881748071976E-4</v>
      </c>
      <c r="I762" s="167"/>
      <c r="J762" s="167"/>
    </row>
    <row r="763" spans="2:10" x14ac:dyDescent="0.25">
      <c r="B763" s="169">
        <f t="shared" si="23"/>
        <v>0.3897172236503928</v>
      </c>
      <c r="C763">
        <v>5734</v>
      </c>
      <c r="E763">
        <v>1</v>
      </c>
      <c r="F763">
        <v>1</v>
      </c>
      <c r="G763" s="15">
        <v>1</v>
      </c>
      <c r="H763" s="167">
        <f t="shared" si="22"/>
        <v>5.1413881748071976E-4</v>
      </c>
      <c r="I763" s="167"/>
      <c r="J763" s="167"/>
    </row>
    <row r="764" spans="2:10" x14ac:dyDescent="0.25">
      <c r="B764" s="169">
        <f t="shared" si="23"/>
        <v>0.39023136246787354</v>
      </c>
      <c r="C764">
        <v>5735</v>
      </c>
      <c r="E764">
        <v>9</v>
      </c>
      <c r="F764">
        <v>9</v>
      </c>
      <c r="G764" s="15">
        <v>1</v>
      </c>
      <c r="H764" s="167">
        <f t="shared" si="22"/>
        <v>5.1413881748071976E-4</v>
      </c>
      <c r="I764" s="167"/>
      <c r="J764" s="167"/>
    </row>
    <row r="765" spans="2:10" x14ac:dyDescent="0.25">
      <c r="B765" s="169">
        <f t="shared" si="23"/>
        <v>0.39074550128535429</v>
      </c>
      <c r="C765">
        <v>4995</v>
      </c>
      <c r="E765">
        <v>5</v>
      </c>
      <c r="F765">
        <v>5</v>
      </c>
      <c r="G765" s="15">
        <v>1</v>
      </c>
      <c r="H765" s="167">
        <f t="shared" si="22"/>
        <v>5.1413881748071976E-4</v>
      </c>
      <c r="I765" s="167"/>
      <c r="J765" s="167"/>
    </row>
    <row r="766" spans="2:10" x14ac:dyDescent="0.25">
      <c r="B766" s="169">
        <f t="shared" si="23"/>
        <v>0.39125964010283504</v>
      </c>
      <c r="C766">
        <v>4976</v>
      </c>
      <c r="E766">
        <v>10</v>
      </c>
      <c r="F766">
        <v>10</v>
      </c>
      <c r="G766" s="15">
        <v>1</v>
      </c>
      <c r="H766" s="167">
        <f t="shared" si="22"/>
        <v>5.1413881748071976E-4</v>
      </c>
      <c r="I766" s="167"/>
      <c r="J766" s="167"/>
    </row>
    <row r="767" spans="2:10" x14ac:dyDescent="0.25">
      <c r="B767" s="169">
        <f t="shared" si="23"/>
        <v>0.39177377892031578</v>
      </c>
      <c r="C767">
        <v>5923</v>
      </c>
      <c r="E767">
        <v>148</v>
      </c>
      <c r="F767">
        <v>148</v>
      </c>
      <c r="G767" s="15">
        <v>1</v>
      </c>
      <c r="H767" s="167">
        <f t="shared" si="22"/>
        <v>5.1413881748071976E-4</v>
      </c>
      <c r="I767" s="167"/>
      <c r="J767" s="167"/>
    </row>
    <row r="768" spans="2:10" x14ac:dyDescent="0.25">
      <c r="B768" s="169">
        <f t="shared" si="23"/>
        <v>0.39228791773779653</v>
      </c>
      <c r="C768">
        <v>3572</v>
      </c>
      <c r="E768">
        <v>1</v>
      </c>
      <c r="F768">
        <v>1</v>
      </c>
      <c r="G768" s="15">
        <v>1</v>
      </c>
      <c r="H768" s="167">
        <f t="shared" si="22"/>
        <v>5.1413881748071976E-4</v>
      </c>
      <c r="I768" s="167"/>
      <c r="J768" s="167"/>
    </row>
    <row r="769" spans="2:10" x14ac:dyDescent="0.25">
      <c r="B769" s="169">
        <f t="shared" si="23"/>
        <v>0.39280205655527728</v>
      </c>
      <c r="C769">
        <v>2629</v>
      </c>
      <c r="E769">
        <v>60</v>
      </c>
      <c r="F769">
        <v>60</v>
      </c>
      <c r="G769" s="15">
        <v>1</v>
      </c>
      <c r="H769" s="167">
        <f t="shared" si="22"/>
        <v>5.1413881748071976E-4</v>
      </c>
      <c r="I769" s="167"/>
      <c r="J769" s="167"/>
    </row>
    <row r="770" spans="2:10" x14ac:dyDescent="0.25">
      <c r="B770" s="169">
        <f t="shared" si="23"/>
        <v>0.39331619537275803</v>
      </c>
      <c r="C770">
        <v>2630</v>
      </c>
      <c r="E770">
        <v>60</v>
      </c>
      <c r="F770">
        <v>60</v>
      </c>
      <c r="G770" s="15">
        <v>1</v>
      </c>
      <c r="H770" s="167">
        <f t="shared" si="22"/>
        <v>5.1413881748071976E-4</v>
      </c>
      <c r="I770" s="167"/>
      <c r="J770" s="167"/>
    </row>
    <row r="771" spans="2:10" x14ac:dyDescent="0.25">
      <c r="B771" s="169">
        <f t="shared" si="23"/>
        <v>0.39383033419023877</v>
      </c>
      <c r="C771">
        <v>2631</v>
      </c>
      <c r="E771">
        <v>60</v>
      </c>
      <c r="F771">
        <v>60</v>
      </c>
      <c r="G771" s="15">
        <v>1</v>
      </c>
      <c r="H771" s="167">
        <f t="shared" si="22"/>
        <v>5.1413881748071976E-4</v>
      </c>
      <c r="I771" s="167"/>
      <c r="J771" s="167"/>
    </row>
    <row r="772" spans="2:10" x14ac:dyDescent="0.25">
      <c r="B772" s="169">
        <f t="shared" si="23"/>
        <v>0.39434447300771952</v>
      </c>
      <c r="C772">
        <v>4918</v>
      </c>
      <c r="E772">
        <v>1</v>
      </c>
      <c r="F772">
        <v>1</v>
      </c>
      <c r="G772" s="15">
        <v>1</v>
      </c>
      <c r="H772" s="167">
        <f t="shared" si="22"/>
        <v>5.1413881748071976E-4</v>
      </c>
      <c r="I772" s="167"/>
      <c r="J772" s="167"/>
    </row>
    <row r="773" spans="2:10" x14ac:dyDescent="0.25">
      <c r="B773" s="169">
        <f t="shared" si="23"/>
        <v>0.39485861182520027</v>
      </c>
      <c r="C773">
        <v>5736</v>
      </c>
      <c r="E773">
        <v>8</v>
      </c>
      <c r="F773">
        <v>8</v>
      </c>
      <c r="G773" s="15">
        <v>1</v>
      </c>
      <c r="H773" s="167">
        <f t="shared" si="22"/>
        <v>5.1413881748071976E-4</v>
      </c>
      <c r="I773" s="167"/>
      <c r="J773" s="167"/>
    </row>
    <row r="774" spans="2:10" x14ac:dyDescent="0.25">
      <c r="B774" s="169">
        <f t="shared" si="23"/>
        <v>0.39537275064268101</v>
      </c>
      <c r="C774">
        <v>4760</v>
      </c>
      <c r="E774">
        <v>30</v>
      </c>
      <c r="F774">
        <v>30</v>
      </c>
      <c r="G774" s="15">
        <v>1</v>
      </c>
      <c r="H774" s="167">
        <f t="shared" ref="H774:H837" si="24">1/$L$6</f>
        <v>5.1413881748071976E-4</v>
      </c>
      <c r="I774" s="167"/>
      <c r="J774" s="167"/>
    </row>
    <row r="775" spans="2:10" x14ac:dyDescent="0.25">
      <c r="B775" s="169">
        <f t="shared" ref="B775:B838" si="25">B774+H775</f>
        <v>0.39588688946016176</v>
      </c>
      <c r="C775">
        <v>3711</v>
      </c>
      <c r="E775">
        <v>4</v>
      </c>
      <c r="F775">
        <v>4</v>
      </c>
      <c r="G775" s="15">
        <v>1</v>
      </c>
      <c r="H775" s="167">
        <f t="shared" si="24"/>
        <v>5.1413881748071976E-4</v>
      </c>
      <c r="I775" s="167"/>
      <c r="J775" s="167"/>
    </row>
    <row r="776" spans="2:10" x14ac:dyDescent="0.25">
      <c r="B776" s="169">
        <f t="shared" si="25"/>
        <v>0.39640102827764251</v>
      </c>
      <c r="C776">
        <v>3713</v>
      </c>
      <c r="E776">
        <v>2</v>
      </c>
      <c r="F776">
        <v>2</v>
      </c>
      <c r="G776" s="15">
        <v>1</v>
      </c>
      <c r="H776" s="167">
        <f t="shared" si="24"/>
        <v>5.1413881748071976E-4</v>
      </c>
      <c r="I776" s="167"/>
      <c r="J776" s="167"/>
    </row>
    <row r="777" spans="2:10" x14ac:dyDescent="0.25">
      <c r="B777" s="169">
        <f t="shared" si="25"/>
        <v>0.39691516709512326</v>
      </c>
      <c r="C777">
        <v>4443</v>
      </c>
      <c r="E777">
        <v>5</v>
      </c>
      <c r="F777">
        <v>5</v>
      </c>
      <c r="G777" s="15">
        <v>1</v>
      </c>
      <c r="H777" s="167">
        <f t="shared" si="24"/>
        <v>5.1413881748071976E-4</v>
      </c>
      <c r="I777" s="167"/>
      <c r="J777" s="167"/>
    </row>
    <row r="778" spans="2:10" x14ac:dyDescent="0.25">
      <c r="B778" s="169">
        <f t="shared" si="25"/>
        <v>0.397429305912604</v>
      </c>
      <c r="C778">
        <v>5737</v>
      </c>
      <c r="E778">
        <v>9</v>
      </c>
      <c r="F778">
        <v>9</v>
      </c>
      <c r="G778" s="15">
        <v>1</v>
      </c>
      <c r="H778" s="167">
        <f t="shared" si="24"/>
        <v>5.1413881748071976E-4</v>
      </c>
      <c r="I778" s="167"/>
      <c r="J778" s="167"/>
    </row>
    <row r="779" spans="2:10" x14ac:dyDescent="0.25">
      <c r="B779" s="169">
        <f t="shared" si="25"/>
        <v>0.39794344473008475</v>
      </c>
      <c r="C779">
        <v>4444</v>
      </c>
      <c r="E779">
        <v>2</v>
      </c>
      <c r="F779">
        <v>2</v>
      </c>
      <c r="G779" s="15">
        <v>1</v>
      </c>
      <c r="H779" s="167">
        <f t="shared" si="24"/>
        <v>5.1413881748071976E-4</v>
      </c>
      <c r="I779" s="167"/>
      <c r="J779" s="167"/>
    </row>
    <row r="780" spans="2:10" x14ac:dyDescent="0.25">
      <c r="B780" s="169">
        <f t="shared" si="25"/>
        <v>0.3984575835475655</v>
      </c>
      <c r="C780">
        <v>3843</v>
      </c>
      <c r="E780">
        <v>20</v>
      </c>
      <c r="F780">
        <v>20</v>
      </c>
      <c r="G780" s="15">
        <v>1</v>
      </c>
      <c r="H780" s="167">
        <f t="shared" si="24"/>
        <v>5.1413881748071976E-4</v>
      </c>
      <c r="I780" s="167"/>
      <c r="J780" s="167"/>
    </row>
    <row r="781" spans="2:10" x14ac:dyDescent="0.25">
      <c r="B781" s="169">
        <f t="shared" si="25"/>
        <v>0.39897172236504624</v>
      </c>
      <c r="C781">
        <v>3751</v>
      </c>
      <c r="E781">
        <v>5</v>
      </c>
      <c r="F781">
        <v>5</v>
      </c>
      <c r="G781" s="15">
        <v>1</v>
      </c>
      <c r="H781" s="167">
        <f t="shared" si="24"/>
        <v>5.1413881748071976E-4</v>
      </c>
      <c r="I781" s="167"/>
      <c r="J781" s="167"/>
    </row>
    <row r="782" spans="2:10" x14ac:dyDescent="0.25">
      <c r="B782" s="169">
        <f t="shared" si="25"/>
        <v>0.39948586118252699</v>
      </c>
      <c r="C782">
        <v>3573</v>
      </c>
      <c r="E782">
        <v>1</v>
      </c>
      <c r="F782">
        <v>1</v>
      </c>
      <c r="G782" s="15">
        <v>1</v>
      </c>
      <c r="H782" s="167">
        <f t="shared" si="24"/>
        <v>5.1413881748071976E-4</v>
      </c>
      <c r="I782" s="167"/>
      <c r="J782" s="167"/>
    </row>
    <row r="783" spans="2:10" x14ac:dyDescent="0.25">
      <c r="B783" s="169">
        <f t="shared" si="25"/>
        <v>0.40000000000000774</v>
      </c>
      <c r="C783">
        <v>4919</v>
      </c>
      <c r="E783">
        <v>1</v>
      </c>
      <c r="F783">
        <v>1</v>
      </c>
      <c r="G783" s="15">
        <v>1</v>
      </c>
      <c r="H783" s="167">
        <f t="shared" si="24"/>
        <v>5.1413881748071976E-4</v>
      </c>
      <c r="I783" s="167"/>
      <c r="J783" s="167"/>
    </row>
    <row r="784" spans="2:10" x14ac:dyDescent="0.25">
      <c r="B784" s="169">
        <f t="shared" si="25"/>
        <v>0.40051413881748849</v>
      </c>
      <c r="C784">
        <v>1967</v>
      </c>
      <c r="E784">
        <v>3</v>
      </c>
      <c r="F784">
        <v>3</v>
      </c>
      <c r="G784" s="15">
        <v>1</v>
      </c>
      <c r="H784" s="167">
        <f t="shared" si="24"/>
        <v>5.1413881748071976E-4</v>
      </c>
      <c r="I784" s="167"/>
      <c r="J784" s="167"/>
    </row>
    <row r="785" spans="2:10" x14ac:dyDescent="0.25">
      <c r="B785" s="169">
        <f t="shared" si="25"/>
        <v>0.40102827763496923</v>
      </c>
      <c r="C785">
        <v>1972</v>
      </c>
      <c r="E785">
        <v>3</v>
      </c>
      <c r="F785">
        <v>3</v>
      </c>
      <c r="G785" s="15">
        <v>1</v>
      </c>
      <c r="H785" s="167">
        <f t="shared" si="24"/>
        <v>5.1413881748071976E-4</v>
      </c>
      <c r="I785" s="167"/>
      <c r="J785" s="167"/>
    </row>
    <row r="786" spans="2:10" x14ac:dyDescent="0.25">
      <c r="B786" s="169">
        <f t="shared" si="25"/>
        <v>0.40154241645244998</v>
      </c>
      <c r="C786">
        <v>5738</v>
      </c>
      <c r="E786">
        <v>9</v>
      </c>
      <c r="F786">
        <v>9</v>
      </c>
      <c r="G786" s="15">
        <v>1</v>
      </c>
      <c r="H786" s="167">
        <f t="shared" si="24"/>
        <v>5.1413881748071976E-4</v>
      </c>
      <c r="I786" s="167"/>
      <c r="J786" s="167"/>
    </row>
    <row r="787" spans="2:10" x14ac:dyDescent="0.25">
      <c r="B787" s="169">
        <f t="shared" si="25"/>
        <v>0.40205655526993073</v>
      </c>
      <c r="C787">
        <v>3753</v>
      </c>
      <c r="E787">
        <v>3</v>
      </c>
      <c r="F787">
        <v>3</v>
      </c>
      <c r="G787" s="15">
        <v>1</v>
      </c>
      <c r="H787" s="167">
        <f t="shared" si="24"/>
        <v>5.1413881748071976E-4</v>
      </c>
      <c r="I787" s="167"/>
      <c r="J787" s="167"/>
    </row>
    <row r="788" spans="2:10" x14ac:dyDescent="0.25">
      <c r="B788" s="169">
        <f t="shared" si="25"/>
        <v>0.40257069408741147</v>
      </c>
      <c r="C788">
        <v>1968</v>
      </c>
      <c r="E788">
        <v>10</v>
      </c>
      <c r="F788">
        <v>10</v>
      </c>
      <c r="G788" s="15">
        <v>1</v>
      </c>
      <c r="H788" s="167">
        <f t="shared" si="24"/>
        <v>5.1413881748071976E-4</v>
      </c>
      <c r="I788" s="167"/>
      <c r="J788" s="167"/>
    </row>
    <row r="789" spans="2:10" x14ac:dyDescent="0.25">
      <c r="B789" s="169">
        <f t="shared" si="25"/>
        <v>0.40308483290489222</v>
      </c>
      <c r="C789">
        <v>1973</v>
      </c>
      <c r="E789">
        <v>10</v>
      </c>
      <c r="F789">
        <v>10</v>
      </c>
      <c r="G789" s="15">
        <v>1</v>
      </c>
      <c r="H789" s="167">
        <f t="shared" si="24"/>
        <v>5.1413881748071976E-4</v>
      </c>
      <c r="I789" s="167"/>
      <c r="J789" s="167"/>
    </row>
    <row r="790" spans="2:10" x14ac:dyDescent="0.25">
      <c r="B790" s="169">
        <f t="shared" si="25"/>
        <v>0.40359897172237297</v>
      </c>
      <c r="C790">
        <v>5084</v>
      </c>
      <c r="E790">
        <v>4</v>
      </c>
      <c r="F790">
        <v>4</v>
      </c>
      <c r="G790" s="15">
        <v>1</v>
      </c>
      <c r="H790" s="167">
        <f t="shared" si="24"/>
        <v>5.1413881748071976E-4</v>
      </c>
      <c r="I790" s="167"/>
      <c r="J790" s="167"/>
    </row>
    <row r="791" spans="2:10" x14ac:dyDescent="0.25">
      <c r="B791" s="169">
        <f t="shared" si="25"/>
        <v>0.40411311053985371</v>
      </c>
      <c r="C791">
        <v>5087</v>
      </c>
      <c r="E791">
        <v>3</v>
      </c>
      <c r="F791">
        <v>3</v>
      </c>
      <c r="G791" s="15">
        <v>1</v>
      </c>
      <c r="H791" s="167">
        <f t="shared" si="24"/>
        <v>5.1413881748071976E-4</v>
      </c>
      <c r="I791" s="167"/>
      <c r="J791" s="167"/>
    </row>
    <row r="792" spans="2:10" x14ac:dyDescent="0.25">
      <c r="B792" s="169">
        <f t="shared" si="25"/>
        <v>0.40462724935733446</v>
      </c>
      <c r="C792">
        <v>2622</v>
      </c>
      <c r="E792">
        <v>18</v>
      </c>
      <c r="F792">
        <v>18</v>
      </c>
      <c r="G792" s="15">
        <v>1</v>
      </c>
      <c r="H792" s="167">
        <f t="shared" si="24"/>
        <v>5.1413881748071976E-4</v>
      </c>
      <c r="I792" s="167"/>
      <c r="J792" s="167"/>
    </row>
    <row r="793" spans="2:10" x14ac:dyDescent="0.25">
      <c r="B793" s="169">
        <f t="shared" si="25"/>
        <v>0.40514138817481521</v>
      </c>
      <c r="C793">
        <v>2624</v>
      </c>
      <c r="E793">
        <v>11</v>
      </c>
      <c r="F793">
        <v>11</v>
      </c>
      <c r="G793" s="15">
        <v>1</v>
      </c>
      <c r="H793" s="167">
        <f t="shared" si="24"/>
        <v>5.1413881748071976E-4</v>
      </c>
      <c r="I793" s="167"/>
      <c r="J793" s="167"/>
    </row>
    <row r="794" spans="2:10" x14ac:dyDescent="0.25">
      <c r="B794" s="169">
        <f t="shared" si="25"/>
        <v>0.40565552699229596</v>
      </c>
      <c r="C794">
        <v>5083</v>
      </c>
      <c r="E794">
        <v>1</v>
      </c>
      <c r="F794">
        <v>1</v>
      </c>
      <c r="G794" s="15">
        <v>1</v>
      </c>
      <c r="H794" s="167">
        <f t="shared" si="24"/>
        <v>5.1413881748071976E-4</v>
      </c>
      <c r="I794" s="167"/>
      <c r="J794" s="167"/>
    </row>
    <row r="795" spans="2:10" x14ac:dyDescent="0.25">
      <c r="B795" s="169">
        <f t="shared" si="25"/>
        <v>0.4061696658097767</v>
      </c>
      <c r="C795">
        <v>5088</v>
      </c>
      <c r="E795">
        <v>5</v>
      </c>
      <c r="F795">
        <v>5</v>
      </c>
      <c r="G795" s="15">
        <v>1</v>
      </c>
      <c r="H795" s="167">
        <f t="shared" si="24"/>
        <v>5.1413881748071976E-4</v>
      </c>
      <c r="I795" s="167"/>
      <c r="J795" s="167"/>
    </row>
    <row r="796" spans="2:10" x14ac:dyDescent="0.25">
      <c r="B796" s="169">
        <f t="shared" si="25"/>
        <v>0.40668380462725745</v>
      </c>
      <c r="C796">
        <v>5739</v>
      </c>
      <c r="E796">
        <v>9</v>
      </c>
      <c r="F796">
        <v>9</v>
      </c>
      <c r="G796" s="15">
        <v>1</v>
      </c>
      <c r="H796" s="167">
        <f t="shared" si="24"/>
        <v>5.1413881748071976E-4</v>
      </c>
      <c r="I796" s="167"/>
      <c r="J796" s="167"/>
    </row>
    <row r="797" spans="2:10" x14ac:dyDescent="0.25">
      <c r="B797" s="169">
        <f t="shared" si="25"/>
        <v>0.4071979434447382</v>
      </c>
      <c r="C797">
        <v>2226</v>
      </c>
      <c r="E797">
        <v>1</v>
      </c>
      <c r="F797">
        <v>1</v>
      </c>
      <c r="G797" s="15">
        <v>1</v>
      </c>
      <c r="H797" s="167">
        <f t="shared" si="24"/>
        <v>5.1413881748071976E-4</v>
      </c>
      <c r="I797" s="167"/>
      <c r="J797" s="167"/>
    </row>
    <row r="798" spans="2:10" x14ac:dyDescent="0.25">
      <c r="B798" s="169">
        <f t="shared" si="25"/>
        <v>0.40771208226221894</v>
      </c>
      <c r="C798">
        <v>2227</v>
      </c>
      <c r="E798">
        <v>1</v>
      </c>
      <c r="F798">
        <v>1</v>
      </c>
      <c r="G798" s="15">
        <v>1</v>
      </c>
      <c r="H798" s="167">
        <f t="shared" si="24"/>
        <v>5.1413881748071976E-4</v>
      </c>
      <c r="I798" s="167"/>
      <c r="J798" s="167"/>
    </row>
    <row r="799" spans="2:10" x14ac:dyDescent="0.25">
      <c r="B799" s="169">
        <f t="shared" si="25"/>
        <v>0.40822622107969969</v>
      </c>
      <c r="C799">
        <v>2228</v>
      </c>
      <c r="E799">
        <v>2</v>
      </c>
      <c r="F799">
        <v>2</v>
      </c>
      <c r="G799" s="15">
        <v>1</v>
      </c>
      <c r="H799" s="167">
        <f t="shared" si="24"/>
        <v>5.1413881748071976E-4</v>
      </c>
      <c r="I799" s="167"/>
      <c r="J799" s="167"/>
    </row>
    <row r="800" spans="2:10" x14ac:dyDescent="0.25">
      <c r="B800" s="169">
        <f t="shared" si="25"/>
        <v>0.40874035989718044</v>
      </c>
      <c r="C800">
        <v>5550</v>
      </c>
      <c r="E800">
        <v>1</v>
      </c>
      <c r="F800">
        <v>1</v>
      </c>
      <c r="G800" s="15">
        <v>1</v>
      </c>
      <c r="H800" s="167">
        <f t="shared" si="24"/>
        <v>5.1413881748071976E-4</v>
      </c>
      <c r="I800" s="167"/>
      <c r="J800" s="167"/>
    </row>
    <row r="801" spans="2:10" x14ac:dyDescent="0.25">
      <c r="B801" s="169">
        <f t="shared" si="25"/>
        <v>0.40925449871466119</v>
      </c>
      <c r="C801">
        <v>518</v>
      </c>
      <c r="E801">
        <v>44</v>
      </c>
      <c r="F801">
        <v>44</v>
      </c>
      <c r="G801" s="15">
        <v>1</v>
      </c>
      <c r="H801" s="167">
        <f t="shared" si="24"/>
        <v>5.1413881748071976E-4</v>
      </c>
      <c r="I801" s="167"/>
      <c r="J801" s="167"/>
    </row>
    <row r="802" spans="2:10" x14ac:dyDescent="0.25">
      <c r="B802" s="169">
        <f t="shared" si="25"/>
        <v>0.40976863753214193</v>
      </c>
      <c r="C802">
        <v>3844</v>
      </c>
      <c r="E802">
        <v>30</v>
      </c>
      <c r="F802">
        <v>30</v>
      </c>
      <c r="G802" s="15">
        <v>1</v>
      </c>
      <c r="H802" s="167">
        <f t="shared" si="24"/>
        <v>5.1413881748071976E-4</v>
      </c>
      <c r="I802" s="167"/>
      <c r="J802" s="167"/>
    </row>
    <row r="803" spans="2:10" x14ac:dyDescent="0.25">
      <c r="B803" s="169">
        <f t="shared" si="25"/>
        <v>0.41028277634962268</v>
      </c>
      <c r="C803">
        <v>1974</v>
      </c>
      <c r="E803">
        <v>46</v>
      </c>
      <c r="F803">
        <v>46</v>
      </c>
      <c r="G803" s="15">
        <v>1</v>
      </c>
      <c r="H803" s="167">
        <f t="shared" si="24"/>
        <v>5.1413881748071976E-4</v>
      </c>
      <c r="I803" s="167"/>
      <c r="J803" s="167"/>
    </row>
    <row r="804" spans="2:10" x14ac:dyDescent="0.25">
      <c r="B804" s="169">
        <f t="shared" si="25"/>
        <v>0.41079691516710343</v>
      </c>
      <c r="C804">
        <v>5551</v>
      </c>
      <c r="E804">
        <v>10</v>
      </c>
      <c r="F804">
        <v>10</v>
      </c>
      <c r="G804" s="15">
        <v>1</v>
      </c>
      <c r="H804" s="167">
        <f t="shared" si="24"/>
        <v>5.1413881748071976E-4</v>
      </c>
      <c r="I804" s="167"/>
      <c r="J804" s="167"/>
    </row>
    <row r="805" spans="2:10" x14ac:dyDescent="0.25">
      <c r="B805" s="169">
        <f t="shared" si="25"/>
        <v>0.41131105398458417</v>
      </c>
      <c r="C805">
        <v>5086</v>
      </c>
      <c r="E805">
        <v>5</v>
      </c>
      <c r="F805">
        <v>5</v>
      </c>
      <c r="G805" s="15">
        <v>1</v>
      </c>
      <c r="H805" s="167">
        <f t="shared" si="24"/>
        <v>5.1413881748071976E-4</v>
      </c>
      <c r="I805" s="167"/>
      <c r="J805" s="167"/>
    </row>
    <row r="806" spans="2:10" x14ac:dyDescent="0.25">
      <c r="B806" s="169">
        <f t="shared" si="25"/>
        <v>0.41182519280206492</v>
      </c>
      <c r="C806">
        <v>3738</v>
      </c>
      <c r="E806">
        <v>5</v>
      </c>
      <c r="F806">
        <v>5</v>
      </c>
      <c r="G806" s="15">
        <v>1</v>
      </c>
      <c r="H806" s="167">
        <f t="shared" si="24"/>
        <v>5.1413881748071976E-4</v>
      </c>
      <c r="I806" s="167"/>
      <c r="J806" s="167"/>
    </row>
    <row r="807" spans="2:10" x14ac:dyDescent="0.25">
      <c r="B807" s="169">
        <f t="shared" si="25"/>
        <v>0.41233933161954567</v>
      </c>
      <c r="C807">
        <v>4920</v>
      </c>
      <c r="E807">
        <v>1</v>
      </c>
      <c r="F807">
        <v>1</v>
      </c>
      <c r="G807" s="15">
        <v>1</v>
      </c>
      <c r="H807" s="167">
        <f t="shared" si="24"/>
        <v>5.1413881748071976E-4</v>
      </c>
      <c r="I807" s="167"/>
      <c r="J807" s="167"/>
    </row>
    <row r="808" spans="2:10" x14ac:dyDescent="0.25">
      <c r="B808" s="169">
        <f t="shared" si="25"/>
        <v>0.41285347043702642</v>
      </c>
      <c r="C808">
        <v>5872</v>
      </c>
      <c r="E808">
        <v>88</v>
      </c>
      <c r="F808">
        <v>88</v>
      </c>
      <c r="G808" s="15">
        <v>1</v>
      </c>
      <c r="H808" s="167">
        <f t="shared" si="24"/>
        <v>5.1413881748071976E-4</v>
      </c>
      <c r="I808" s="167"/>
      <c r="J808" s="167"/>
    </row>
    <row r="809" spans="2:10" x14ac:dyDescent="0.25">
      <c r="B809" s="169">
        <f t="shared" si="25"/>
        <v>0.41336760925450716</v>
      </c>
      <c r="C809">
        <v>2545</v>
      </c>
      <c r="E809">
        <v>1</v>
      </c>
      <c r="F809">
        <v>1</v>
      </c>
      <c r="G809" s="15">
        <v>1</v>
      </c>
      <c r="H809" s="167">
        <f t="shared" si="24"/>
        <v>5.1413881748071976E-4</v>
      </c>
      <c r="I809" s="167"/>
      <c r="J809" s="167"/>
    </row>
    <row r="810" spans="2:10" x14ac:dyDescent="0.25">
      <c r="B810" s="169">
        <f t="shared" si="25"/>
        <v>0.41388174807198791</v>
      </c>
      <c r="C810">
        <v>3574</v>
      </c>
      <c r="E810">
        <v>1</v>
      </c>
      <c r="F810">
        <v>1</v>
      </c>
      <c r="G810" s="15">
        <v>1</v>
      </c>
      <c r="H810" s="167">
        <f t="shared" si="24"/>
        <v>5.1413881748071976E-4</v>
      </c>
      <c r="I810" s="167"/>
      <c r="J810" s="167"/>
    </row>
    <row r="811" spans="2:10" x14ac:dyDescent="0.25">
      <c r="B811" s="169">
        <f t="shared" si="25"/>
        <v>0.41439588688946866</v>
      </c>
      <c r="C811">
        <v>2552</v>
      </c>
      <c r="E811">
        <v>1</v>
      </c>
      <c r="F811">
        <v>1</v>
      </c>
      <c r="G811" s="15">
        <v>1</v>
      </c>
      <c r="H811" s="167">
        <f t="shared" si="24"/>
        <v>5.1413881748071976E-4</v>
      </c>
      <c r="I811" s="167"/>
      <c r="J811" s="167"/>
    </row>
    <row r="812" spans="2:10" x14ac:dyDescent="0.25">
      <c r="B812" s="169">
        <f t="shared" si="25"/>
        <v>0.4149100257069494</v>
      </c>
      <c r="C812">
        <v>5602</v>
      </c>
      <c r="E812">
        <v>1</v>
      </c>
      <c r="F812">
        <v>1</v>
      </c>
      <c r="G812" s="15">
        <v>1</v>
      </c>
      <c r="H812" s="167">
        <f t="shared" si="24"/>
        <v>5.1413881748071976E-4</v>
      </c>
      <c r="I812" s="167"/>
      <c r="J812" s="167"/>
    </row>
    <row r="813" spans="2:10" x14ac:dyDescent="0.25">
      <c r="B813" s="169">
        <f t="shared" si="25"/>
        <v>0.41542416452443015</v>
      </c>
      <c r="C813">
        <v>5554</v>
      </c>
      <c r="E813">
        <v>15</v>
      </c>
      <c r="F813">
        <v>15</v>
      </c>
      <c r="G813" s="15">
        <v>1</v>
      </c>
      <c r="H813" s="167">
        <f t="shared" si="24"/>
        <v>5.1413881748071976E-4</v>
      </c>
      <c r="I813" s="167"/>
      <c r="J813" s="167"/>
    </row>
    <row r="814" spans="2:10" x14ac:dyDescent="0.25">
      <c r="B814" s="169">
        <f t="shared" si="25"/>
        <v>0.4159383033419109</v>
      </c>
      <c r="C814">
        <v>2194</v>
      </c>
      <c r="E814">
        <v>1</v>
      </c>
      <c r="F814">
        <v>1</v>
      </c>
      <c r="G814" s="15">
        <v>1</v>
      </c>
      <c r="H814" s="167">
        <f t="shared" si="24"/>
        <v>5.1413881748071976E-4</v>
      </c>
      <c r="I814" s="167"/>
      <c r="J814" s="167"/>
    </row>
    <row r="815" spans="2:10" x14ac:dyDescent="0.25">
      <c r="B815" s="169">
        <f t="shared" si="25"/>
        <v>0.41645244215939164</v>
      </c>
      <c r="C815">
        <v>2199</v>
      </c>
      <c r="E815">
        <v>1</v>
      </c>
      <c r="F815">
        <v>1</v>
      </c>
      <c r="G815" s="15">
        <v>1</v>
      </c>
      <c r="H815" s="167">
        <f t="shared" si="24"/>
        <v>5.1413881748071976E-4</v>
      </c>
      <c r="I815" s="167"/>
      <c r="J815" s="167"/>
    </row>
    <row r="816" spans="2:10" x14ac:dyDescent="0.25">
      <c r="B816" s="169">
        <f t="shared" si="25"/>
        <v>0.41696658097687239</v>
      </c>
      <c r="C816">
        <v>2203</v>
      </c>
      <c r="E816">
        <v>1</v>
      </c>
      <c r="F816">
        <v>1</v>
      </c>
      <c r="G816" s="15">
        <v>1</v>
      </c>
      <c r="H816" s="167">
        <f t="shared" si="24"/>
        <v>5.1413881748071976E-4</v>
      </c>
      <c r="I816" s="167"/>
      <c r="J816" s="167"/>
    </row>
    <row r="817" spans="2:10" x14ac:dyDescent="0.25">
      <c r="B817" s="169">
        <f t="shared" si="25"/>
        <v>0.41748071979435314</v>
      </c>
      <c r="C817">
        <v>5548</v>
      </c>
      <c r="E817">
        <v>1</v>
      </c>
      <c r="F817">
        <v>1</v>
      </c>
      <c r="G817" s="15">
        <v>1</v>
      </c>
      <c r="H817" s="167">
        <f t="shared" si="24"/>
        <v>5.1413881748071976E-4</v>
      </c>
      <c r="I817" s="167"/>
      <c r="J817" s="167"/>
    </row>
    <row r="818" spans="2:10" x14ac:dyDescent="0.25">
      <c r="B818" s="169">
        <f t="shared" si="25"/>
        <v>0.41799485861183389</v>
      </c>
      <c r="C818">
        <v>5085</v>
      </c>
      <c r="E818">
        <v>3</v>
      </c>
      <c r="F818">
        <v>3</v>
      </c>
      <c r="G818" s="15">
        <v>1</v>
      </c>
      <c r="H818" s="167">
        <f t="shared" si="24"/>
        <v>5.1413881748071976E-4</v>
      </c>
      <c r="I818" s="167"/>
      <c r="J818" s="167"/>
    </row>
    <row r="819" spans="2:10" x14ac:dyDescent="0.25">
      <c r="B819" s="169">
        <f t="shared" si="25"/>
        <v>0.41850899742931463</v>
      </c>
      <c r="C819">
        <v>5549</v>
      </c>
      <c r="E819">
        <v>5</v>
      </c>
      <c r="F819">
        <v>5</v>
      </c>
      <c r="G819" s="15">
        <v>1</v>
      </c>
      <c r="H819" s="167">
        <f t="shared" si="24"/>
        <v>5.1413881748071976E-4</v>
      </c>
      <c r="I819" s="167"/>
      <c r="J819" s="167"/>
    </row>
    <row r="820" spans="2:10" x14ac:dyDescent="0.25">
      <c r="B820" s="169">
        <f t="shared" si="25"/>
        <v>0.41902313624679538</v>
      </c>
      <c r="C820">
        <v>4763</v>
      </c>
      <c r="E820">
        <v>35</v>
      </c>
      <c r="F820">
        <v>35</v>
      </c>
      <c r="G820" s="15">
        <v>1</v>
      </c>
      <c r="H820" s="167">
        <f t="shared" si="24"/>
        <v>5.1413881748071976E-4</v>
      </c>
      <c r="I820" s="167"/>
      <c r="J820" s="167"/>
    </row>
    <row r="821" spans="2:10" x14ac:dyDescent="0.25">
      <c r="B821" s="169">
        <f t="shared" si="25"/>
        <v>0.41953727506427613</v>
      </c>
      <c r="C821">
        <v>4765</v>
      </c>
      <c r="E821">
        <v>35</v>
      </c>
      <c r="F821">
        <v>35</v>
      </c>
      <c r="G821" s="15">
        <v>1</v>
      </c>
      <c r="H821" s="167">
        <f t="shared" si="24"/>
        <v>5.1413881748071976E-4</v>
      </c>
      <c r="I821" s="167"/>
      <c r="J821" s="167"/>
    </row>
    <row r="822" spans="2:10" x14ac:dyDescent="0.25">
      <c r="B822" s="169">
        <f t="shared" si="25"/>
        <v>0.42005141388175687</v>
      </c>
      <c r="C822">
        <v>3742</v>
      </c>
      <c r="E822">
        <v>1</v>
      </c>
      <c r="F822">
        <v>1</v>
      </c>
      <c r="G822" s="15">
        <v>1</v>
      </c>
      <c r="H822" s="167">
        <f t="shared" si="24"/>
        <v>5.1413881748071976E-4</v>
      </c>
      <c r="I822" s="167"/>
      <c r="J822" s="167"/>
    </row>
    <row r="823" spans="2:10" x14ac:dyDescent="0.25">
      <c r="B823" s="169">
        <f t="shared" si="25"/>
        <v>0.42056555269923762</v>
      </c>
      <c r="C823">
        <v>4779</v>
      </c>
      <c r="E823">
        <v>35</v>
      </c>
      <c r="F823">
        <v>35</v>
      </c>
      <c r="G823" s="15">
        <v>1</v>
      </c>
      <c r="H823" s="167">
        <f t="shared" si="24"/>
        <v>5.1413881748071976E-4</v>
      </c>
      <c r="I823" s="167"/>
      <c r="J823" s="167"/>
    </row>
    <row r="824" spans="2:10" x14ac:dyDescent="0.25">
      <c r="B824" s="169">
        <f t="shared" si="25"/>
        <v>0.42107969151671837</v>
      </c>
      <c r="C824">
        <v>4781</v>
      </c>
      <c r="E824">
        <v>35</v>
      </c>
      <c r="F824">
        <v>35</v>
      </c>
      <c r="G824" s="15">
        <v>1</v>
      </c>
      <c r="H824" s="167">
        <f t="shared" si="24"/>
        <v>5.1413881748071976E-4</v>
      </c>
      <c r="I824" s="167"/>
      <c r="J824" s="167"/>
    </row>
    <row r="825" spans="2:10" x14ac:dyDescent="0.25">
      <c r="B825" s="169">
        <f t="shared" si="25"/>
        <v>0.42159383033419912</v>
      </c>
      <c r="C825">
        <v>5607</v>
      </c>
      <c r="E825">
        <v>6</v>
      </c>
      <c r="F825">
        <v>6</v>
      </c>
      <c r="G825" s="15">
        <v>1</v>
      </c>
      <c r="H825" s="167">
        <f t="shared" si="24"/>
        <v>5.1413881748071976E-4</v>
      </c>
      <c r="I825" s="167"/>
      <c r="J825" s="167"/>
    </row>
    <row r="826" spans="2:10" x14ac:dyDescent="0.25">
      <c r="B826" s="169">
        <f t="shared" si="25"/>
        <v>0.42210796915167986</v>
      </c>
      <c r="C826">
        <v>5608</v>
      </c>
      <c r="E826">
        <v>6</v>
      </c>
      <c r="F826">
        <v>6</v>
      </c>
      <c r="G826" s="15">
        <v>1</v>
      </c>
      <c r="H826" s="167">
        <f t="shared" si="24"/>
        <v>5.1413881748071976E-4</v>
      </c>
      <c r="I826" s="167"/>
      <c r="J826" s="167"/>
    </row>
    <row r="827" spans="2:10" x14ac:dyDescent="0.25">
      <c r="B827" s="169">
        <f t="shared" si="25"/>
        <v>0.42262210796916061</v>
      </c>
      <c r="C827">
        <v>5879</v>
      </c>
      <c r="E827">
        <v>30</v>
      </c>
      <c r="F827">
        <v>30</v>
      </c>
      <c r="G827" s="15">
        <v>1</v>
      </c>
      <c r="H827" s="167">
        <f t="shared" si="24"/>
        <v>5.1413881748071976E-4</v>
      </c>
      <c r="I827" s="167"/>
      <c r="J827" s="167"/>
    </row>
    <row r="828" spans="2:10" x14ac:dyDescent="0.25">
      <c r="B828" s="169">
        <f t="shared" si="25"/>
        <v>0.42313624678664136</v>
      </c>
      <c r="C828">
        <v>2573</v>
      </c>
      <c r="E828">
        <v>2</v>
      </c>
      <c r="F828">
        <v>2</v>
      </c>
      <c r="G828" s="15">
        <v>1</v>
      </c>
      <c r="H828" s="167">
        <f t="shared" si="24"/>
        <v>5.1413881748071976E-4</v>
      </c>
      <c r="I828" s="167"/>
      <c r="J828" s="167"/>
    </row>
    <row r="829" spans="2:10" x14ac:dyDescent="0.25">
      <c r="B829" s="169">
        <f t="shared" si="25"/>
        <v>0.4236503856041221</v>
      </c>
      <c r="C829">
        <v>3575</v>
      </c>
      <c r="E829">
        <v>1</v>
      </c>
      <c r="F829">
        <v>1</v>
      </c>
      <c r="G829" s="15">
        <v>1</v>
      </c>
      <c r="H829" s="167">
        <f t="shared" si="24"/>
        <v>5.1413881748071976E-4</v>
      </c>
      <c r="I829" s="167"/>
      <c r="J829" s="167"/>
    </row>
    <row r="830" spans="2:10" x14ac:dyDescent="0.25">
      <c r="B830" s="169">
        <f t="shared" si="25"/>
        <v>0.42416452442160285</v>
      </c>
      <c r="C830">
        <v>5997</v>
      </c>
      <c r="E830">
        <v>231</v>
      </c>
      <c r="F830">
        <v>231</v>
      </c>
      <c r="G830" s="15">
        <v>1</v>
      </c>
      <c r="H830" s="167">
        <f t="shared" si="24"/>
        <v>5.1413881748071976E-4</v>
      </c>
      <c r="I830" s="167"/>
      <c r="J830" s="167"/>
    </row>
    <row r="831" spans="2:10" x14ac:dyDescent="0.25">
      <c r="B831" s="169">
        <f t="shared" si="25"/>
        <v>0.4246786632390836</v>
      </c>
      <c r="C831">
        <v>5555</v>
      </c>
      <c r="E831">
        <v>1</v>
      </c>
      <c r="F831">
        <v>1</v>
      </c>
      <c r="G831" s="15">
        <v>1</v>
      </c>
      <c r="H831" s="167">
        <f t="shared" si="24"/>
        <v>5.1413881748071976E-4</v>
      </c>
      <c r="I831" s="167"/>
      <c r="J831" s="167"/>
    </row>
    <row r="832" spans="2:10" x14ac:dyDescent="0.25">
      <c r="B832" s="169">
        <f t="shared" si="25"/>
        <v>0.42519280205656435</v>
      </c>
      <c r="C832">
        <v>4921</v>
      </c>
      <c r="E832">
        <v>1</v>
      </c>
      <c r="F832">
        <v>1</v>
      </c>
      <c r="G832" s="15">
        <v>1</v>
      </c>
      <c r="H832" s="167">
        <f t="shared" si="24"/>
        <v>5.1413881748071976E-4</v>
      </c>
      <c r="I832" s="167"/>
      <c r="J832" s="167"/>
    </row>
    <row r="833" spans="2:39" x14ac:dyDescent="0.25">
      <c r="B833" s="169">
        <f t="shared" si="25"/>
        <v>0.42570694087404509</v>
      </c>
      <c r="C833">
        <v>521</v>
      </c>
      <c r="E833">
        <v>52</v>
      </c>
      <c r="F833">
        <v>52</v>
      </c>
      <c r="G833" s="15">
        <v>1</v>
      </c>
      <c r="H833" s="167">
        <f t="shared" si="24"/>
        <v>5.1413881748071976E-4</v>
      </c>
      <c r="I833" s="167"/>
      <c r="J833" s="167"/>
    </row>
    <row r="834" spans="2:39" x14ac:dyDescent="0.25">
      <c r="B834" s="169">
        <f t="shared" si="25"/>
        <v>0.42622107969152584</v>
      </c>
      <c r="C834">
        <v>5718</v>
      </c>
      <c r="E834">
        <v>5</v>
      </c>
      <c r="F834">
        <v>5</v>
      </c>
      <c r="G834" s="15">
        <v>1</v>
      </c>
      <c r="H834" s="167">
        <f t="shared" si="24"/>
        <v>5.1413881748071976E-4</v>
      </c>
      <c r="I834" s="167"/>
      <c r="J834" s="167"/>
    </row>
    <row r="835" spans="2:39" x14ac:dyDescent="0.25">
      <c r="B835" s="169">
        <f t="shared" si="25"/>
        <v>0.42673521850900659</v>
      </c>
      <c r="C835">
        <v>3746</v>
      </c>
      <c r="E835">
        <v>5</v>
      </c>
      <c r="F835">
        <v>5</v>
      </c>
      <c r="G835" s="15">
        <v>1</v>
      </c>
      <c r="H835" s="167">
        <f t="shared" si="24"/>
        <v>5.1413881748071976E-4</v>
      </c>
      <c r="I835" s="167"/>
      <c r="J835" s="167"/>
    </row>
    <row r="836" spans="2:39" x14ac:dyDescent="0.25">
      <c r="B836" s="169">
        <f t="shared" si="25"/>
        <v>0.42724935732648733</v>
      </c>
      <c r="C836">
        <v>5672</v>
      </c>
      <c r="E836">
        <v>9</v>
      </c>
      <c r="F836">
        <v>9</v>
      </c>
      <c r="G836" s="15">
        <v>1</v>
      </c>
      <c r="H836" s="167">
        <f t="shared" si="24"/>
        <v>5.1413881748071976E-4</v>
      </c>
      <c r="I836" s="167"/>
      <c r="J836" s="167"/>
    </row>
    <row r="837" spans="2:39" s="169" customFormat="1" x14ac:dyDescent="0.25">
      <c r="B837" s="169">
        <f t="shared" si="25"/>
        <v>0.42776349614396808</v>
      </c>
      <c r="C837">
        <v>3881</v>
      </c>
      <c r="D837"/>
      <c r="E837">
        <v>14</v>
      </c>
      <c r="F837">
        <v>14</v>
      </c>
      <c r="G837" s="15">
        <v>1</v>
      </c>
      <c r="H837" s="167">
        <f t="shared" si="24"/>
        <v>5.1413881748071976E-4</v>
      </c>
      <c r="I837" s="167"/>
      <c r="J837" s="167"/>
      <c r="K837"/>
      <c r="L837"/>
      <c r="M837"/>
      <c r="N837"/>
      <c r="O837"/>
      <c r="P837"/>
      <c r="Q837"/>
      <c r="R837"/>
      <c r="S837"/>
      <c r="T837"/>
      <c r="U837"/>
      <c r="V837"/>
      <c r="W837"/>
      <c r="X837"/>
      <c r="Y837"/>
      <c r="Z837"/>
      <c r="AA837"/>
      <c r="AB837"/>
      <c r="AC837"/>
      <c r="AD837"/>
      <c r="AE837"/>
      <c r="AM837"/>
    </row>
    <row r="838" spans="2:39" s="169" customFormat="1" x14ac:dyDescent="0.25">
      <c r="B838" s="169">
        <f t="shared" si="25"/>
        <v>0.42827763496144883</v>
      </c>
      <c r="C838">
        <v>3576</v>
      </c>
      <c r="D838"/>
      <c r="E838">
        <v>1</v>
      </c>
      <c r="F838">
        <v>1</v>
      </c>
      <c r="G838" s="15">
        <v>1</v>
      </c>
      <c r="H838" s="167">
        <f t="shared" ref="H838:H901" si="26">1/$L$6</f>
        <v>5.1413881748071976E-4</v>
      </c>
      <c r="I838" s="167"/>
      <c r="J838" s="167"/>
      <c r="K838"/>
      <c r="L838"/>
      <c r="M838"/>
      <c r="N838"/>
      <c r="O838"/>
      <c r="P838"/>
      <c r="Q838"/>
      <c r="R838"/>
      <c r="S838"/>
      <c r="T838"/>
      <c r="U838"/>
      <c r="V838"/>
      <c r="W838"/>
      <c r="X838"/>
      <c r="Y838"/>
      <c r="Z838"/>
      <c r="AA838"/>
      <c r="AB838"/>
      <c r="AC838"/>
      <c r="AD838"/>
      <c r="AE838"/>
      <c r="AM838"/>
    </row>
    <row r="839" spans="2:39" s="169" customFormat="1" x14ac:dyDescent="0.25">
      <c r="B839" s="169">
        <f t="shared" ref="B839:B902" si="27">B838+H839</f>
        <v>0.42879177377892957</v>
      </c>
      <c r="C839">
        <v>3755</v>
      </c>
      <c r="D839"/>
      <c r="E839">
        <v>2</v>
      </c>
      <c r="F839">
        <v>2</v>
      </c>
      <c r="G839" s="15">
        <v>1</v>
      </c>
      <c r="H839" s="167">
        <f t="shared" si="26"/>
        <v>5.1413881748071976E-4</v>
      </c>
      <c r="I839" s="167"/>
      <c r="J839" s="167"/>
      <c r="K839"/>
      <c r="L839"/>
      <c r="M839"/>
      <c r="N839"/>
      <c r="O839"/>
      <c r="P839"/>
      <c r="Q839"/>
      <c r="R839"/>
      <c r="S839"/>
      <c r="T839"/>
      <c r="U839"/>
      <c r="V839"/>
      <c r="W839"/>
      <c r="X839"/>
      <c r="Y839"/>
      <c r="Z839"/>
      <c r="AA839"/>
      <c r="AB839"/>
      <c r="AC839"/>
      <c r="AD839"/>
      <c r="AE839"/>
      <c r="AM839"/>
    </row>
    <row r="840" spans="2:39" s="169" customFormat="1" x14ac:dyDescent="0.25">
      <c r="B840" s="169">
        <f t="shared" si="27"/>
        <v>0.42930591259641032</v>
      </c>
      <c r="C840">
        <v>5676</v>
      </c>
      <c r="D840"/>
      <c r="E840">
        <v>4</v>
      </c>
      <c r="F840">
        <v>4</v>
      </c>
      <c r="G840" s="15">
        <v>1</v>
      </c>
      <c r="H840" s="167">
        <f t="shared" si="26"/>
        <v>5.1413881748071976E-4</v>
      </c>
      <c r="I840" s="167"/>
      <c r="J840" s="167"/>
      <c r="K840"/>
      <c r="L840"/>
      <c r="M840"/>
      <c r="N840"/>
      <c r="O840"/>
      <c r="P840"/>
      <c r="Q840"/>
      <c r="R840"/>
      <c r="S840"/>
      <c r="T840"/>
      <c r="U840"/>
      <c r="V840"/>
      <c r="W840"/>
      <c r="X840"/>
      <c r="Y840"/>
      <c r="Z840"/>
      <c r="AA840"/>
      <c r="AB840"/>
      <c r="AC840"/>
      <c r="AD840"/>
      <c r="AE840"/>
      <c r="AM840"/>
    </row>
    <row r="841" spans="2:39" s="169" customFormat="1" x14ac:dyDescent="0.25">
      <c r="B841" s="169">
        <f t="shared" si="27"/>
        <v>0.42982005141389107</v>
      </c>
      <c r="C841">
        <v>3489</v>
      </c>
      <c r="D841"/>
      <c r="E841">
        <v>5</v>
      </c>
      <c r="F841">
        <v>5</v>
      </c>
      <c r="G841" s="15">
        <v>1</v>
      </c>
      <c r="H841" s="167">
        <f t="shared" si="26"/>
        <v>5.1413881748071976E-4</v>
      </c>
      <c r="I841" s="167"/>
      <c r="J841" s="167"/>
      <c r="K841"/>
      <c r="L841"/>
      <c r="M841"/>
      <c r="N841"/>
      <c r="O841"/>
      <c r="P841"/>
      <c r="Q841"/>
      <c r="R841"/>
      <c r="S841"/>
      <c r="T841"/>
      <c r="U841"/>
      <c r="V841"/>
      <c r="W841"/>
      <c r="X841"/>
      <c r="Y841"/>
      <c r="Z841"/>
      <c r="AA841"/>
      <c r="AB841"/>
      <c r="AC841"/>
      <c r="AD841"/>
      <c r="AE841"/>
      <c r="AM841"/>
    </row>
    <row r="842" spans="2:39" s="169" customFormat="1" x14ac:dyDescent="0.25">
      <c r="B842" s="169">
        <f t="shared" si="27"/>
        <v>0.43033419023137182</v>
      </c>
      <c r="C842">
        <v>5578</v>
      </c>
      <c r="D842"/>
      <c r="E842">
        <v>1</v>
      </c>
      <c r="F842">
        <v>1</v>
      </c>
      <c r="G842" s="15">
        <v>1</v>
      </c>
      <c r="H842" s="167">
        <f t="shared" si="26"/>
        <v>5.1413881748071976E-4</v>
      </c>
      <c r="I842" s="167"/>
      <c r="J842" s="167"/>
      <c r="K842"/>
      <c r="L842"/>
      <c r="M842"/>
      <c r="N842"/>
      <c r="O842"/>
      <c r="P842"/>
      <c r="Q842"/>
      <c r="R842"/>
      <c r="S842"/>
      <c r="T842"/>
      <c r="U842"/>
      <c r="V842"/>
      <c r="W842"/>
      <c r="X842"/>
      <c r="Y842"/>
      <c r="Z842"/>
      <c r="AA842"/>
      <c r="AB842"/>
      <c r="AC842"/>
      <c r="AD842"/>
      <c r="AE842"/>
      <c r="AM842"/>
    </row>
    <row r="843" spans="2:39" s="169" customFormat="1" x14ac:dyDescent="0.25">
      <c r="B843" s="169">
        <f t="shared" si="27"/>
        <v>0.43084832904885256</v>
      </c>
      <c r="C843">
        <v>5579</v>
      </c>
      <c r="D843"/>
      <c r="E843">
        <v>1</v>
      </c>
      <c r="F843">
        <v>1</v>
      </c>
      <c r="G843" s="15">
        <v>1</v>
      </c>
      <c r="H843" s="167">
        <f t="shared" si="26"/>
        <v>5.1413881748071976E-4</v>
      </c>
      <c r="I843" s="167"/>
      <c r="J843" s="167"/>
      <c r="K843"/>
      <c r="L843"/>
      <c r="M843"/>
      <c r="N843"/>
      <c r="O843"/>
      <c r="P843"/>
      <c r="Q843"/>
      <c r="R843"/>
      <c r="S843"/>
      <c r="T843"/>
      <c r="U843"/>
      <c r="V843"/>
      <c r="W843"/>
      <c r="X843"/>
      <c r="Y843"/>
      <c r="Z843"/>
      <c r="AA843"/>
      <c r="AB843"/>
      <c r="AC843"/>
      <c r="AD843"/>
      <c r="AE843"/>
      <c r="AM843"/>
    </row>
    <row r="844" spans="2:39" s="169" customFormat="1" x14ac:dyDescent="0.25">
      <c r="B844" s="169">
        <f t="shared" si="27"/>
        <v>0.43136246786633331</v>
      </c>
      <c r="C844">
        <v>5091</v>
      </c>
      <c r="D844"/>
      <c r="E844">
        <v>1</v>
      </c>
      <c r="F844">
        <v>1</v>
      </c>
      <c r="G844" s="15">
        <v>1</v>
      </c>
      <c r="H844" s="167">
        <f t="shared" si="26"/>
        <v>5.1413881748071976E-4</v>
      </c>
      <c r="I844" s="167"/>
      <c r="J844" s="167"/>
      <c r="K844"/>
      <c r="L844"/>
      <c r="M844"/>
      <c r="N844"/>
      <c r="O844"/>
      <c r="P844"/>
      <c r="Q844"/>
      <c r="R844"/>
      <c r="S844"/>
      <c r="T844"/>
      <c r="U844"/>
      <c r="V844"/>
      <c r="W844"/>
      <c r="X844"/>
      <c r="Y844"/>
      <c r="Z844"/>
      <c r="AA844"/>
      <c r="AB844"/>
      <c r="AC844"/>
      <c r="AD844"/>
      <c r="AE844"/>
      <c r="AM844"/>
    </row>
    <row r="845" spans="2:39" x14ac:dyDescent="0.25">
      <c r="B845" s="169">
        <f t="shared" si="27"/>
        <v>0.43187660668381406</v>
      </c>
      <c r="C845">
        <v>1975</v>
      </c>
      <c r="E845">
        <v>2</v>
      </c>
      <c r="F845">
        <v>2</v>
      </c>
      <c r="G845" s="15">
        <v>1</v>
      </c>
      <c r="H845" s="167">
        <f t="shared" si="26"/>
        <v>5.1413881748071976E-4</v>
      </c>
      <c r="I845" s="167"/>
      <c r="J845" s="167"/>
    </row>
    <row r="846" spans="2:39" x14ac:dyDescent="0.25">
      <c r="B846" s="169">
        <f t="shared" si="27"/>
        <v>0.4323907455012948</v>
      </c>
      <c r="C846">
        <v>5092</v>
      </c>
      <c r="E846">
        <v>1</v>
      </c>
      <c r="F846">
        <v>1</v>
      </c>
      <c r="G846" s="15">
        <v>1</v>
      </c>
      <c r="H846" s="167">
        <f t="shared" si="26"/>
        <v>5.1413881748071976E-4</v>
      </c>
      <c r="I846" s="167"/>
      <c r="J846" s="167"/>
    </row>
    <row r="847" spans="2:39" x14ac:dyDescent="0.25">
      <c r="B847" s="169">
        <f t="shared" si="27"/>
        <v>0.43290488431877555</v>
      </c>
      <c r="C847">
        <v>4006</v>
      </c>
      <c r="E847">
        <v>1</v>
      </c>
      <c r="F847">
        <v>1</v>
      </c>
      <c r="G847" s="15">
        <v>1</v>
      </c>
      <c r="H847" s="167">
        <f t="shared" si="26"/>
        <v>5.1413881748071976E-4</v>
      </c>
      <c r="I847" s="167"/>
      <c r="J847" s="167"/>
    </row>
    <row r="848" spans="2:39" x14ac:dyDescent="0.25">
      <c r="B848" s="169">
        <f t="shared" si="27"/>
        <v>0.4334190231362563</v>
      </c>
      <c r="C848">
        <v>4922</v>
      </c>
      <c r="E848">
        <v>1</v>
      </c>
      <c r="F848">
        <v>1</v>
      </c>
      <c r="G848" s="15">
        <v>1</v>
      </c>
      <c r="H848" s="167">
        <f t="shared" si="26"/>
        <v>5.1413881748071976E-4</v>
      </c>
      <c r="I848" s="167"/>
      <c r="J848" s="167"/>
    </row>
    <row r="849" spans="2:10" x14ac:dyDescent="0.25">
      <c r="B849" s="169">
        <f t="shared" si="27"/>
        <v>0.43393316195373705</v>
      </c>
      <c r="C849">
        <v>5576</v>
      </c>
      <c r="E849">
        <v>1</v>
      </c>
      <c r="F849">
        <v>1</v>
      </c>
      <c r="G849" s="15">
        <v>1</v>
      </c>
      <c r="H849" s="167">
        <f t="shared" si="26"/>
        <v>5.1413881748071976E-4</v>
      </c>
      <c r="I849" s="167"/>
      <c r="J849" s="167"/>
    </row>
    <row r="850" spans="2:10" x14ac:dyDescent="0.25">
      <c r="B850" s="169">
        <f t="shared" si="27"/>
        <v>0.43444730077121779</v>
      </c>
      <c r="C850">
        <v>3758</v>
      </c>
      <c r="E850">
        <v>2</v>
      </c>
      <c r="F850">
        <v>2</v>
      </c>
      <c r="G850" s="15">
        <v>1</v>
      </c>
      <c r="H850" s="167">
        <f t="shared" si="26"/>
        <v>5.1413881748071976E-4</v>
      </c>
      <c r="I850" s="167"/>
      <c r="J850" s="167"/>
    </row>
    <row r="851" spans="2:10" x14ac:dyDescent="0.25">
      <c r="B851" s="169">
        <f t="shared" si="27"/>
        <v>0.43496143958869854</v>
      </c>
      <c r="C851">
        <v>5094</v>
      </c>
      <c r="E851">
        <v>2</v>
      </c>
      <c r="F851">
        <v>2</v>
      </c>
      <c r="G851" s="15">
        <v>1</v>
      </c>
      <c r="H851" s="167">
        <f t="shared" si="26"/>
        <v>5.1413881748071976E-4</v>
      </c>
      <c r="I851" s="167"/>
      <c r="J851" s="167"/>
    </row>
    <row r="852" spans="2:10" x14ac:dyDescent="0.25">
      <c r="B852" s="169">
        <f t="shared" si="27"/>
        <v>0.43547557840617929</v>
      </c>
      <c r="C852">
        <v>5095</v>
      </c>
      <c r="E852">
        <v>2</v>
      </c>
      <c r="F852">
        <v>2</v>
      </c>
      <c r="G852" s="15">
        <v>1</v>
      </c>
      <c r="H852" s="167">
        <f t="shared" si="26"/>
        <v>5.1413881748071976E-4</v>
      </c>
      <c r="I852" s="167"/>
      <c r="J852" s="167"/>
    </row>
    <row r="853" spans="2:10" x14ac:dyDescent="0.25">
      <c r="B853" s="169">
        <f t="shared" si="27"/>
        <v>0.43598971722366003</v>
      </c>
      <c r="C853">
        <v>4772</v>
      </c>
      <c r="E853">
        <v>35</v>
      </c>
      <c r="F853">
        <v>35</v>
      </c>
      <c r="G853" s="15">
        <v>1</v>
      </c>
      <c r="H853" s="167">
        <f t="shared" si="26"/>
        <v>5.1413881748071976E-4</v>
      </c>
      <c r="I853" s="167"/>
      <c r="J853" s="167"/>
    </row>
    <row r="854" spans="2:10" x14ac:dyDescent="0.25">
      <c r="B854" s="169">
        <f t="shared" si="27"/>
        <v>0.43650385604114078</v>
      </c>
      <c r="C854">
        <v>5096</v>
      </c>
      <c r="E854">
        <v>1</v>
      </c>
      <c r="F854">
        <v>1</v>
      </c>
      <c r="G854" s="15">
        <v>1</v>
      </c>
      <c r="H854" s="167">
        <f t="shared" si="26"/>
        <v>5.1413881748071976E-4</v>
      </c>
      <c r="I854" s="167"/>
      <c r="J854" s="167"/>
    </row>
    <row r="855" spans="2:10" x14ac:dyDescent="0.25">
      <c r="B855" s="169">
        <f t="shared" si="27"/>
        <v>0.43701799485862153</v>
      </c>
      <c r="C855">
        <v>5097</v>
      </c>
      <c r="E855">
        <v>1</v>
      </c>
      <c r="F855">
        <v>1</v>
      </c>
      <c r="G855" s="15">
        <v>1</v>
      </c>
      <c r="H855" s="167">
        <f t="shared" si="26"/>
        <v>5.1413881748071976E-4</v>
      </c>
      <c r="I855" s="167"/>
      <c r="J855" s="167"/>
    </row>
    <row r="856" spans="2:10" x14ac:dyDescent="0.25">
      <c r="B856" s="169">
        <f t="shared" si="27"/>
        <v>0.43753213367610228</v>
      </c>
      <c r="C856">
        <v>5582</v>
      </c>
      <c r="E856">
        <v>1</v>
      </c>
      <c r="F856">
        <v>1</v>
      </c>
      <c r="G856" s="15">
        <v>1</v>
      </c>
      <c r="H856" s="167">
        <f t="shared" si="26"/>
        <v>5.1413881748071976E-4</v>
      </c>
      <c r="I856" s="167"/>
      <c r="J856" s="167"/>
    </row>
    <row r="857" spans="2:10" x14ac:dyDescent="0.25">
      <c r="B857" s="169">
        <f t="shared" si="27"/>
        <v>0.43804627249358302</v>
      </c>
      <c r="C857">
        <v>5904</v>
      </c>
      <c r="E857">
        <v>1</v>
      </c>
      <c r="F857">
        <v>1</v>
      </c>
      <c r="G857" s="15">
        <v>1</v>
      </c>
      <c r="H857" s="167">
        <f t="shared" si="26"/>
        <v>5.1413881748071976E-4</v>
      </c>
      <c r="I857" s="167"/>
      <c r="J857" s="167"/>
    </row>
    <row r="858" spans="2:10" x14ac:dyDescent="0.25">
      <c r="B858" s="169">
        <f t="shared" si="27"/>
        <v>0.43856041131106377</v>
      </c>
      <c r="C858">
        <v>3864</v>
      </c>
      <c r="E858">
        <v>2</v>
      </c>
      <c r="F858">
        <v>2</v>
      </c>
      <c r="G858" s="15">
        <v>1</v>
      </c>
      <c r="H858" s="167">
        <f t="shared" si="26"/>
        <v>5.1413881748071976E-4</v>
      </c>
      <c r="I858" s="167"/>
      <c r="J858" s="167"/>
    </row>
    <row r="859" spans="2:10" x14ac:dyDescent="0.25">
      <c r="B859" s="169">
        <f t="shared" si="27"/>
        <v>0.43907455012854452</v>
      </c>
      <c r="C859">
        <v>5615</v>
      </c>
      <c r="E859">
        <v>2</v>
      </c>
      <c r="F859">
        <v>2</v>
      </c>
      <c r="G859" s="15">
        <v>1</v>
      </c>
      <c r="H859" s="167">
        <f t="shared" si="26"/>
        <v>5.1413881748071976E-4</v>
      </c>
      <c r="I859" s="167"/>
      <c r="J859" s="167"/>
    </row>
    <row r="860" spans="2:10" x14ac:dyDescent="0.25">
      <c r="B860" s="169">
        <f t="shared" si="27"/>
        <v>0.43958868894602526</v>
      </c>
      <c r="C860">
        <v>5917</v>
      </c>
      <c r="E860">
        <v>30</v>
      </c>
      <c r="F860">
        <v>30</v>
      </c>
      <c r="G860" s="15">
        <v>1</v>
      </c>
      <c r="H860" s="167">
        <f t="shared" si="26"/>
        <v>5.1413881748071976E-4</v>
      </c>
      <c r="I860" s="167"/>
      <c r="J860" s="167"/>
    </row>
    <row r="861" spans="2:10" x14ac:dyDescent="0.25">
      <c r="B861" s="169">
        <f t="shared" si="27"/>
        <v>0.44010282776350601</v>
      </c>
      <c r="C861">
        <v>4663</v>
      </c>
      <c r="E861">
        <v>250</v>
      </c>
      <c r="F861">
        <v>250</v>
      </c>
      <c r="G861" s="15">
        <v>1</v>
      </c>
      <c r="H861" s="167">
        <f t="shared" si="26"/>
        <v>5.1413881748071976E-4</v>
      </c>
      <c r="I861" s="167"/>
      <c r="J861" s="167"/>
    </row>
    <row r="862" spans="2:10" x14ac:dyDescent="0.25">
      <c r="B862" s="169">
        <f t="shared" si="27"/>
        <v>0.44061696658098676</v>
      </c>
      <c r="C862">
        <v>3577</v>
      </c>
      <c r="E862">
        <v>1</v>
      </c>
      <c r="F862">
        <v>1</v>
      </c>
      <c r="G862" s="15">
        <v>1</v>
      </c>
      <c r="H862" s="167">
        <f t="shared" si="26"/>
        <v>5.1413881748071976E-4</v>
      </c>
      <c r="I862" s="167"/>
      <c r="J862" s="167"/>
    </row>
    <row r="863" spans="2:10" x14ac:dyDescent="0.25">
      <c r="B863" s="169">
        <f t="shared" si="27"/>
        <v>0.4411311053984675</v>
      </c>
      <c r="C863">
        <v>5919</v>
      </c>
      <c r="E863">
        <v>3</v>
      </c>
      <c r="F863">
        <v>3</v>
      </c>
      <c r="G863" s="15">
        <v>1</v>
      </c>
      <c r="H863" s="167">
        <f t="shared" si="26"/>
        <v>5.1413881748071976E-4</v>
      </c>
      <c r="I863" s="167"/>
      <c r="J863" s="167"/>
    </row>
    <row r="864" spans="2:10" x14ac:dyDescent="0.25">
      <c r="B864" s="169">
        <f t="shared" si="27"/>
        <v>0.44164524421594825</v>
      </c>
      <c r="C864">
        <v>4923</v>
      </c>
      <c r="E864">
        <v>1</v>
      </c>
      <c r="F864">
        <v>1</v>
      </c>
      <c r="G864" s="15">
        <v>1</v>
      </c>
      <c r="H864" s="167">
        <f t="shared" si="26"/>
        <v>5.1413881748071976E-4</v>
      </c>
      <c r="I864" s="167"/>
      <c r="J864" s="167"/>
    </row>
    <row r="865" spans="2:10" x14ac:dyDescent="0.25">
      <c r="B865" s="169">
        <f t="shared" si="27"/>
        <v>0.442159383033429</v>
      </c>
      <c r="C865">
        <v>4817</v>
      </c>
      <c r="E865">
        <v>10</v>
      </c>
      <c r="F865">
        <v>10</v>
      </c>
      <c r="G865" s="15">
        <v>1</v>
      </c>
      <c r="H865" s="167">
        <f t="shared" si="26"/>
        <v>5.1413881748071976E-4</v>
      </c>
      <c r="I865" s="167"/>
      <c r="J865" s="167"/>
    </row>
    <row r="866" spans="2:10" x14ac:dyDescent="0.25">
      <c r="B866" s="169">
        <f t="shared" si="27"/>
        <v>0.44267352185090975</v>
      </c>
      <c r="C866">
        <v>5920</v>
      </c>
      <c r="E866">
        <v>15</v>
      </c>
      <c r="F866">
        <v>15</v>
      </c>
      <c r="G866" s="15">
        <v>1</v>
      </c>
      <c r="H866" s="167">
        <f t="shared" si="26"/>
        <v>5.1413881748071976E-4</v>
      </c>
      <c r="I866" s="167"/>
      <c r="J866" s="167"/>
    </row>
    <row r="867" spans="2:10" x14ac:dyDescent="0.25">
      <c r="B867" s="169">
        <f t="shared" si="27"/>
        <v>0.44318766066839049</v>
      </c>
      <c r="C867">
        <v>5741</v>
      </c>
      <c r="E867">
        <v>1</v>
      </c>
      <c r="F867">
        <v>1</v>
      </c>
      <c r="G867" s="15">
        <v>1</v>
      </c>
      <c r="H867" s="167">
        <f t="shared" si="26"/>
        <v>5.1413881748071976E-4</v>
      </c>
      <c r="I867" s="167"/>
      <c r="J867" s="167"/>
    </row>
    <row r="868" spans="2:10" x14ac:dyDescent="0.25">
      <c r="B868" s="169">
        <f t="shared" si="27"/>
        <v>0.44370179948587124</v>
      </c>
      <c r="C868">
        <v>5742</v>
      </c>
      <c r="E868">
        <v>2</v>
      </c>
      <c r="F868">
        <v>2</v>
      </c>
      <c r="G868" s="15">
        <v>1</v>
      </c>
      <c r="H868" s="167">
        <f t="shared" si="26"/>
        <v>5.1413881748071976E-4</v>
      </c>
      <c r="I868" s="167"/>
      <c r="J868" s="167"/>
    </row>
    <row r="869" spans="2:10" x14ac:dyDescent="0.25">
      <c r="B869" s="169">
        <f t="shared" si="27"/>
        <v>0.44421593830335199</v>
      </c>
      <c r="C869">
        <v>3930</v>
      </c>
      <c r="E869">
        <v>40</v>
      </c>
      <c r="F869">
        <v>40</v>
      </c>
      <c r="G869" s="15">
        <v>1</v>
      </c>
      <c r="H869" s="167">
        <f t="shared" si="26"/>
        <v>5.1413881748071976E-4</v>
      </c>
      <c r="I869" s="167"/>
      <c r="J869" s="167"/>
    </row>
    <row r="870" spans="2:10" x14ac:dyDescent="0.25">
      <c r="B870" s="169">
        <f t="shared" si="27"/>
        <v>0.44473007712083273</v>
      </c>
      <c r="C870">
        <v>5743</v>
      </c>
      <c r="E870">
        <v>2</v>
      </c>
      <c r="F870">
        <v>2</v>
      </c>
      <c r="G870" s="15">
        <v>1</v>
      </c>
      <c r="H870" s="167">
        <f t="shared" si="26"/>
        <v>5.1413881748071976E-4</v>
      </c>
      <c r="I870" s="167"/>
      <c r="J870" s="167"/>
    </row>
    <row r="871" spans="2:10" x14ac:dyDescent="0.25">
      <c r="B871" s="169">
        <f t="shared" si="27"/>
        <v>0.44524421593831348</v>
      </c>
      <c r="C871">
        <v>5556</v>
      </c>
      <c r="E871">
        <v>1</v>
      </c>
      <c r="F871">
        <v>1</v>
      </c>
      <c r="G871" s="15">
        <v>1</v>
      </c>
      <c r="H871" s="167">
        <f t="shared" si="26"/>
        <v>5.1413881748071976E-4</v>
      </c>
      <c r="I871" s="167"/>
      <c r="J871" s="167"/>
    </row>
    <row r="872" spans="2:10" x14ac:dyDescent="0.25">
      <c r="B872" s="169">
        <f t="shared" si="27"/>
        <v>0.44575835475579423</v>
      </c>
      <c r="C872">
        <v>5614</v>
      </c>
      <c r="E872">
        <v>3</v>
      </c>
      <c r="F872">
        <v>3</v>
      </c>
      <c r="G872" s="15">
        <v>1</v>
      </c>
      <c r="H872" s="167">
        <f t="shared" si="26"/>
        <v>5.1413881748071976E-4</v>
      </c>
      <c r="I872" s="167"/>
      <c r="J872" s="167"/>
    </row>
    <row r="873" spans="2:10" x14ac:dyDescent="0.25">
      <c r="B873" s="169">
        <f t="shared" si="27"/>
        <v>0.44627249357327498</v>
      </c>
      <c r="C873">
        <v>3766</v>
      </c>
      <c r="E873">
        <v>3</v>
      </c>
      <c r="F873">
        <v>3</v>
      </c>
      <c r="G873" s="15">
        <v>1</v>
      </c>
      <c r="H873" s="167">
        <f t="shared" si="26"/>
        <v>5.1413881748071976E-4</v>
      </c>
      <c r="I873" s="167"/>
      <c r="J873" s="167"/>
    </row>
    <row r="874" spans="2:10" x14ac:dyDescent="0.25">
      <c r="B874" s="169">
        <f t="shared" si="27"/>
        <v>0.44678663239075572</v>
      </c>
      <c r="C874">
        <v>2147</v>
      </c>
      <c r="E874">
        <v>3</v>
      </c>
      <c r="F874">
        <v>3</v>
      </c>
      <c r="G874" s="15">
        <v>1</v>
      </c>
      <c r="H874" s="167">
        <f t="shared" si="26"/>
        <v>5.1413881748071976E-4</v>
      </c>
      <c r="I874" s="167"/>
      <c r="J874" s="167"/>
    </row>
    <row r="875" spans="2:10" x14ac:dyDescent="0.25">
      <c r="B875" s="169">
        <f t="shared" si="27"/>
        <v>0.44730077120823647</v>
      </c>
      <c r="C875">
        <v>3490</v>
      </c>
      <c r="E875">
        <v>11</v>
      </c>
      <c r="F875">
        <v>11</v>
      </c>
      <c r="G875" s="15">
        <v>1</v>
      </c>
      <c r="H875" s="167">
        <f t="shared" si="26"/>
        <v>5.1413881748071976E-4</v>
      </c>
      <c r="I875" s="167"/>
      <c r="J875" s="167"/>
    </row>
    <row r="876" spans="2:10" x14ac:dyDescent="0.25">
      <c r="B876" s="169">
        <f t="shared" si="27"/>
        <v>0.44781491002571722</v>
      </c>
      <c r="C876">
        <v>4623</v>
      </c>
      <c r="E876">
        <v>11</v>
      </c>
      <c r="F876">
        <v>11</v>
      </c>
      <c r="G876" s="15">
        <v>1</v>
      </c>
      <c r="H876" s="167">
        <f t="shared" si="26"/>
        <v>5.1413881748071976E-4</v>
      </c>
      <c r="I876" s="167"/>
      <c r="J876" s="167"/>
    </row>
    <row r="877" spans="2:10" x14ac:dyDescent="0.25">
      <c r="B877" s="169">
        <f t="shared" si="27"/>
        <v>0.44832904884319796</v>
      </c>
      <c r="C877">
        <v>2200</v>
      </c>
      <c r="E877">
        <v>3</v>
      </c>
      <c r="F877">
        <v>3</v>
      </c>
      <c r="G877" s="15">
        <v>1</v>
      </c>
      <c r="H877" s="167">
        <f t="shared" si="26"/>
        <v>5.1413881748071976E-4</v>
      </c>
      <c r="I877" s="167"/>
      <c r="J877" s="167"/>
    </row>
    <row r="878" spans="2:10" x14ac:dyDescent="0.25">
      <c r="B878" s="169">
        <f t="shared" si="27"/>
        <v>0.44884318766067871</v>
      </c>
      <c r="C878">
        <v>2204</v>
      </c>
      <c r="E878">
        <v>3</v>
      </c>
      <c r="F878">
        <v>3</v>
      </c>
      <c r="G878" s="15">
        <v>1</v>
      </c>
      <c r="H878" s="167">
        <f t="shared" si="26"/>
        <v>5.1413881748071976E-4</v>
      </c>
      <c r="I878" s="167"/>
      <c r="J878" s="167"/>
    </row>
    <row r="879" spans="2:10" x14ac:dyDescent="0.25">
      <c r="B879" s="169">
        <f t="shared" si="27"/>
        <v>0.44935732647815946</v>
      </c>
      <c r="C879">
        <v>5744</v>
      </c>
      <c r="E879">
        <v>2</v>
      </c>
      <c r="F879">
        <v>2</v>
      </c>
      <c r="G879" s="15">
        <v>1</v>
      </c>
      <c r="H879" s="167">
        <f t="shared" si="26"/>
        <v>5.1413881748071976E-4</v>
      </c>
      <c r="I879" s="167"/>
      <c r="J879" s="167"/>
    </row>
    <row r="880" spans="2:10" x14ac:dyDescent="0.25">
      <c r="B880" s="169">
        <f t="shared" si="27"/>
        <v>0.4498714652956402</v>
      </c>
      <c r="C880">
        <v>4818</v>
      </c>
      <c r="E880">
        <v>10</v>
      </c>
      <c r="F880">
        <v>10</v>
      </c>
      <c r="G880" s="15">
        <v>1</v>
      </c>
      <c r="H880" s="167">
        <f t="shared" si="26"/>
        <v>5.1413881748071976E-4</v>
      </c>
      <c r="I880" s="167"/>
      <c r="J880" s="167"/>
    </row>
    <row r="881" spans="2:10" x14ac:dyDescent="0.25">
      <c r="B881" s="169">
        <f t="shared" si="27"/>
        <v>0.45038560411312095</v>
      </c>
      <c r="C881">
        <v>3762</v>
      </c>
      <c r="E881">
        <v>2</v>
      </c>
      <c r="F881">
        <v>2</v>
      </c>
      <c r="G881" s="15">
        <v>1</v>
      </c>
      <c r="H881" s="167">
        <f t="shared" si="26"/>
        <v>5.1413881748071976E-4</v>
      </c>
      <c r="I881" s="167"/>
      <c r="J881" s="167"/>
    </row>
    <row r="882" spans="2:10" x14ac:dyDescent="0.25">
      <c r="B882" s="169">
        <f t="shared" si="27"/>
        <v>0.4508997429306017</v>
      </c>
      <c r="C882">
        <v>5619</v>
      </c>
      <c r="E882">
        <v>2</v>
      </c>
      <c r="F882">
        <v>2</v>
      </c>
      <c r="G882" s="15">
        <v>1</v>
      </c>
      <c r="H882" s="167">
        <f t="shared" si="26"/>
        <v>5.1413881748071976E-4</v>
      </c>
      <c r="I882" s="167"/>
      <c r="J882" s="167"/>
    </row>
    <row r="883" spans="2:10" x14ac:dyDescent="0.25">
      <c r="B883" s="169">
        <f t="shared" si="27"/>
        <v>0.45141388174808245</v>
      </c>
      <c r="C883">
        <v>5745</v>
      </c>
      <c r="E883">
        <v>2</v>
      </c>
      <c r="F883">
        <v>2</v>
      </c>
      <c r="G883" s="15">
        <v>1</v>
      </c>
      <c r="H883" s="167">
        <f t="shared" si="26"/>
        <v>5.1413881748071976E-4</v>
      </c>
      <c r="I883" s="167"/>
      <c r="J883" s="167"/>
    </row>
    <row r="884" spans="2:10" x14ac:dyDescent="0.25">
      <c r="B884" s="169">
        <f t="shared" si="27"/>
        <v>0.45192802056556319</v>
      </c>
      <c r="C884">
        <v>5746</v>
      </c>
      <c r="E884">
        <v>3</v>
      </c>
      <c r="F884">
        <v>3</v>
      </c>
      <c r="G884" s="15">
        <v>1</v>
      </c>
      <c r="H884" s="167">
        <f t="shared" si="26"/>
        <v>5.1413881748071976E-4</v>
      </c>
      <c r="I884" s="167"/>
      <c r="J884" s="167"/>
    </row>
    <row r="885" spans="2:10" x14ac:dyDescent="0.25">
      <c r="B885" s="169">
        <f t="shared" si="27"/>
        <v>0.45244215938304394</v>
      </c>
      <c r="C885">
        <v>3906</v>
      </c>
      <c r="E885">
        <v>25</v>
      </c>
      <c r="F885">
        <v>25</v>
      </c>
      <c r="G885" s="15">
        <v>1</v>
      </c>
      <c r="H885" s="167">
        <f t="shared" si="26"/>
        <v>5.1413881748071976E-4</v>
      </c>
      <c r="I885" s="167"/>
      <c r="J885" s="167"/>
    </row>
    <row r="886" spans="2:10" x14ac:dyDescent="0.25">
      <c r="B886" s="169">
        <f t="shared" si="27"/>
        <v>0.45295629820052469</v>
      </c>
      <c r="C886">
        <v>3799</v>
      </c>
      <c r="E886">
        <v>4</v>
      </c>
      <c r="F886">
        <v>4</v>
      </c>
      <c r="G886" s="15">
        <v>1</v>
      </c>
      <c r="H886" s="167">
        <f t="shared" si="26"/>
        <v>5.1413881748071976E-4</v>
      </c>
      <c r="I886" s="167"/>
      <c r="J886" s="167"/>
    </row>
    <row r="887" spans="2:10" x14ac:dyDescent="0.25">
      <c r="B887" s="169">
        <f t="shared" si="27"/>
        <v>0.45347043701800543</v>
      </c>
      <c r="C887">
        <v>3810</v>
      </c>
      <c r="E887">
        <v>2</v>
      </c>
      <c r="F887">
        <v>2</v>
      </c>
      <c r="G887" s="15">
        <v>1</v>
      </c>
      <c r="H887" s="167">
        <f t="shared" si="26"/>
        <v>5.1413881748071976E-4</v>
      </c>
      <c r="I887" s="167"/>
      <c r="J887" s="167"/>
    </row>
    <row r="888" spans="2:10" x14ac:dyDescent="0.25">
      <c r="B888" s="169">
        <f t="shared" si="27"/>
        <v>0.45398457583548618</v>
      </c>
      <c r="C888">
        <v>5678</v>
      </c>
      <c r="E888">
        <v>2</v>
      </c>
      <c r="F888">
        <v>2</v>
      </c>
      <c r="G888" s="15">
        <v>1</v>
      </c>
      <c r="H888" s="167">
        <f t="shared" si="26"/>
        <v>5.1413881748071976E-4</v>
      </c>
      <c r="I888" s="167"/>
      <c r="J888" s="167"/>
    </row>
    <row r="889" spans="2:10" x14ac:dyDescent="0.25">
      <c r="B889" s="169">
        <f t="shared" si="27"/>
        <v>0.45449871465296693</v>
      </c>
      <c r="C889">
        <v>5679</v>
      </c>
      <c r="E889">
        <v>5</v>
      </c>
      <c r="F889">
        <v>5</v>
      </c>
      <c r="G889" s="15">
        <v>1</v>
      </c>
      <c r="H889" s="167">
        <f t="shared" si="26"/>
        <v>5.1413881748071976E-4</v>
      </c>
      <c r="I889" s="167"/>
      <c r="J889" s="167"/>
    </row>
    <row r="890" spans="2:10" x14ac:dyDescent="0.25">
      <c r="B890" s="169">
        <f t="shared" si="27"/>
        <v>0.45501285347044768</v>
      </c>
      <c r="C890">
        <v>2229</v>
      </c>
      <c r="E890">
        <v>1</v>
      </c>
      <c r="F890">
        <v>1</v>
      </c>
      <c r="G890" s="15">
        <v>1</v>
      </c>
      <c r="H890" s="167">
        <f t="shared" si="26"/>
        <v>5.1413881748071976E-4</v>
      </c>
      <c r="I890" s="167"/>
      <c r="J890" s="167"/>
    </row>
    <row r="891" spans="2:10" x14ac:dyDescent="0.25">
      <c r="B891" s="169">
        <f t="shared" si="27"/>
        <v>0.45552699228792842</v>
      </c>
      <c r="C891">
        <v>2230</v>
      </c>
      <c r="E891">
        <v>1</v>
      </c>
      <c r="F891">
        <v>1</v>
      </c>
      <c r="G891" s="15">
        <v>1</v>
      </c>
      <c r="H891" s="167">
        <f t="shared" si="26"/>
        <v>5.1413881748071976E-4</v>
      </c>
      <c r="I891" s="167"/>
      <c r="J891" s="167"/>
    </row>
    <row r="892" spans="2:10" x14ac:dyDescent="0.25">
      <c r="B892" s="169">
        <f t="shared" si="27"/>
        <v>0.45604113110540917</v>
      </c>
      <c r="C892">
        <v>5747</v>
      </c>
      <c r="E892">
        <v>4</v>
      </c>
      <c r="F892">
        <v>4</v>
      </c>
      <c r="G892" s="15">
        <v>1</v>
      </c>
      <c r="H892" s="167">
        <f t="shared" si="26"/>
        <v>5.1413881748071976E-4</v>
      </c>
      <c r="I892" s="167"/>
      <c r="J892" s="167"/>
    </row>
    <row r="893" spans="2:10" x14ac:dyDescent="0.25">
      <c r="B893" s="169">
        <f t="shared" si="27"/>
        <v>0.45655526992288992</v>
      </c>
      <c r="C893">
        <v>3578</v>
      </c>
      <c r="E893">
        <v>1</v>
      </c>
      <c r="F893">
        <v>1</v>
      </c>
      <c r="G893" s="15">
        <v>1</v>
      </c>
      <c r="H893" s="167">
        <f t="shared" si="26"/>
        <v>5.1413881748071976E-4</v>
      </c>
      <c r="I893" s="167"/>
      <c r="J893" s="167"/>
    </row>
    <row r="894" spans="2:10" x14ac:dyDescent="0.25">
      <c r="B894" s="169">
        <f t="shared" si="27"/>
        <v>0.45706940874037066</v>
      </c>
      <c r="C894">
        <v>3797</v>
      </c>
      <c r="E894">
        <v>5</v>
      </c>
      <c r="F894">
        <v>5</v>
      </c>
      <c r="G894" s="15">
        <v>1</v>
      </c>
      <c r="H894" s="167">
        <f t="shared" si="26"/>
        <v>5.1413881748071976E-4</v>
      </c>
      <c r="I894" s="167"/>
      <c r="J894" s="167"/>
    </row>
    <row r="895" spans="2:10" x14ac:dyDescent="0.25">
      <c r="B895" s="169">
        <f t="shared" si="27"/>
        <v>0.45758354755785141</v>
      </c>
      <c r="C895">
        <v>3970</v>
      </c>
      <c r="E895">
        <v>10</v>
      </c>
      <c r="F895">
        <v>10</v>
      </c>
      <c r="G895" s="15">
        <v>1</v>
      </c>
      <c r="H895" s="167">
        <f t="shared" si="26"/>
        <v>5.1413881748071976E-4</v>
      </c>
      <c r="I895" s="167"/>
      <c r="J895" s="167"/>
    </row>
    <row r="896" spans="2:10" x14ac:dyDescent="0.25">
      <c r="B896" s="169">
        <f t="shared" si="27"/>
        <v>0.45809768637533216</v>
      </c>
      <c r="C896">
        <v>2231</v>
      </c>
      <c r="E896">
        <v>2</v>
      </c>
      <c r="F896">
        <v>2</v>
      </c>
      <c r="G896" s="15">
        <v>1</v>
      </c>
      <c r="H896" s="167">
        <f t="shared" si="26"/>
        <v>5.1413881748071976E-4</v>
      </c>
      <c r="I896" s="167"/>
      <c r="J896" s="167"/>
    </row>
    <row r="897" spans="2:10" x14ac:dyDescent="0.25">
      <c r="B897" s="169">
        <f t="shared" si="27"/>
        <v>0.45861182519281291</v>
      </c>
      <c r="C897">
        <v>4924</v>
      </c>
      <c r="E897">
        <v>1</v>
      </c>
      <c r="F897">
        <v>1</v>
      </c>
      <c r="G897" s="15">
        <v>1</v>
      </c>
      <c r="H897" s="167">
        <f t="shared" si="26"/>
        <v>5.1413881748071976E-4</v>
      </c>
      <c r="I897" s="167"/>
      <c r="J897" s="167"/>
    </row>
    <row r="898" spans="2:10" x14ac:dyDescent="0.25">
      <c r="B898" s="169">
        <f t="shared" si="27"/>
        <v>0.45912596401029365</v>
      </c>
      <c r="C898">
        <v>2232</v>
      </c>
      <c r="E898">
        <v>2</v>
      </c>
      <c r="F898">
        <v>2</v>
      </c>
      <c r="G898" s="15">
        <v>1</v>
      </c>
      <c r="H898" s="167">
        <f t="shared" si="26"/>
        <v>5.1413881748071976E-4</v>
      </c>
      <c r="I898" s="167"/>
      <c r="J898" s="167"/>
    </row>
    <row r="899" spans="2:10" x14ac:dyDescent="0.25">
      <c r="B899" s="169">
        <f t="shared" si="27"/>
        <v>0.4596401028277744</v>
      </c>
      <c r="C899">
        <v>4624</v>
      </c>
      <c r="E899">
        <v>2</v>
      </c>
      <c r="F899">
        <v>2</v>
      </c>
      <c r="G899" s="15">
        <v>1</v>
      </c>
      <c r="H899" s="167">
        <f t="shared" si="26"/>
        <v>5.1413881748071976E-4</v>
      </c>
      <c r="I899" s="167"/>
      <c r="J899" s="167"/>
    </row>
    <row r="900" spans="2:10" x14ac:dyDescent="0.25">
      <c r="B900" s="169">
        <f t="shared" si="27"/>
        <v>0.46015424164525515</v>
      </c>
      <c r="C900">
        <v>522</v>
      </c>
      <c r="E900">
        <v>21</v>
      </c>
      <c r="F900">
        <v>21</v>
      </c>
      <c r="G900" s="15">
        <v>1</v>
      </c>
      <c r="H900" s="167">
        <f t="shared" si="26"/>
        <v>5.1413881748071976E-4</v>
      </c>
      <c r="I900" s="167"/>
      <c r="J900" s="167"/>
    </row>
    <row r="901" spans="2:10" x14ac:dyDescent="0.25">
      <c r="B901" s="169">
        <f t="shared" si="27"/>
        <v>0.46066838046273589</v>
      </c>
      <c r="C901">
        <v>2234</v>
      </c>
      <c r="E901">
        <v>1</v>
      </c>
      <c r="F901">
        <v>1</v>
      </c>
      <c r="G901" s="15">
        <v>1</v>
      </c>
      <c r="H901" s="167">
        <f t="shared" si="26"/>
        <v>5.1413881748071976E-4</v>
      </c>
      <c r="I901" s="167"/>
      <c r="J901" s="167"/>
    </row>
    <row r="902" spans="2:10" x14ac:dyDescent="0.25">
      <c r="B902" s="169">
        <f t="shared" si="27"/>
        <v>0.46118251928021664</v>
      </c>
      <c r="C902">
        <v>1911</v>
      </c>
      <c r="E902">
        <v>54</v>
      </c>
      <c r="F902">
        <v>54</v>
      </c>
      <c r="G902" s="15">
        <v>1</v>
      </c>
      <c r="H902" s="167">
        <f t="shared" ref="H902:H965" si="28">1/$L$6</f>
        <v>5.1413881748071976E-4</v>
      </c>
      <c r="I902" s="167"/>
      <c r="J902" s="167"/>
    </row>
    <row r="903" spans="2:10" x14ac:dyDescent="0.25">
      <c r="B903" s="169">
        <f t="shared" ref="B903:B966" si="29">B902+H903</f>
        <v>0.46169665809769739</v>
      </c>
      <c r="C903">
        <v>2192</v>
      </c>
      <c r="E903">
        <v>2</v>
      </c>
      <c r="F903">
        <v>2</v>
      </c>
      <c r="G903" s="15">
        <v>1</v>
      </c>
      <c r="H903" s="167">
        <f t="shared" si="28"/>
        <v>5.1413881748071976E-4</v>
      </c>
      <c r="I903" s="167"/>
      <c r="J903" s="167"/>
    </row>
    <row r="904" spans="2:10" x14ac:dyDescent="0.25">
      <c r="B904" s="169">
        <f t="shared" si="29"/>
        <v>0.46221079691517813</v>
      </c>
      <c r="C904">
        <v>2201</v>
      </c>
      <c r="E904">
        <v>1</v>
      </c>
      <c r="F904">
        <v>1</v>
      </c>
      <c r="G904" s="15">
        <v>1</v>
      </c>
      <c r="H904" s="167">
        <f t="shared" si="28"/>
        <v>5.1413881748071976E-4</v>
      </c>
      <c r="I904" s="167"/>
      <c r="J904" s="167"/>
    </row>
    <row r="905" spans="2:10" x14ac:dyDescent="0.25">
      <c r="B905" s="169">
        <f t="shared" si="29"/>
        <v>0.46272493573265888</v>
      </c>
      <c r="C905">
        <v>3973</v>
      </c>
      <c r="E905">
        <v>15</v>
      </c>
      <c r="F905">
        <v>15</v>
      </c>
      <c r="G905" s="15">
        <v>1</v>
      </c>
      <c r="H905" s="167">
        <f t="shared" si="28"/>
        <v>5.1413881748071976E-4</v>
      </c>
      <c r="I905" s="167"/>
      <c r="J905" s="167"/>
    </row>
    <row r="906" spans="2:10" x14ac:dyDescent="0.25">
      <c r="B906" s="169">
        <f t="shared" si="29"/>
        <v>0.46323907455013963</v>
      </c>
      <c r="C906">
        <v>2162</v>
      </c>
      <c r="E906">
        <v>10</v>
      </c>
      <c r="F906">
        <v>10</v>
      </c>
      <c r="G906" s="15">
        <v>1</v>
      </c>
      <c r="H906" s="167">
        <f t="shared" si="28"/>
        <v>5.1413881748071976E-4</v>
      </c>
      <c r="I906" s="167"/>
      <c r="J906" s="167"/>
    </row>
    <row r="907" spans="2:10" x14ac:dyDescent="0.25">
      <c r="B907" s="169">
        <f t="shared" si="29"/>
        <v>0.46375321336762038</v>
      </c>
      <c r="C907">
        <v>3579</v>
      </c>
      <c r="E907">
        <v>1</v>
      </c>
      <c r="F907">
        <v>1</v>
      </c>
      <c r="G907" s="15">
        <v>1</v>
      </c>
      <c r="H907" s="167">
        <f t="shared" si="28"/>
        <v>5.1413881748071976E-4</v>
      </c>
      <c r="I907" s="167"/>
      <c r="J907" s="167"/>
    </row>
    <row r="908" spans="2:10" x14ac:dyDescent="0.25">
      <c r="B908" s="169">
        <f t="shared" si="29"/>
        <v>0.46426735218510112</v>
      </c>
      <c r="C908">
        <v>4925</v>
      </c>
      <c r="E908">
        <v>1</v>
      </c>
      <c r="F908">
        <v>1</v>
      </c>
      <c r="G908" s="15">
        <v>1</v>
      </c>
      <c r="H908" s="167">
        <f t="shared" si="28"/>
        <v>5.1413881748071976E-4</v>
      </c>
      <c r="I908" s="167"/>
      <c r="J908" s="167"/>
    </row>
    <row r="909" spans="2:10" x14ac:dyDescent="0.25">
      <c r="B909" s="169">
        <f t="shared" si="29"/>
        <v>0.46478149100258187</v>
      </c>
      <c r="C909">
        <v>4507</v>
      </c>
      <c r="E909">
        <v>10</v>
      </c>
      <c r="F909">
        <v>10</v>
      </c>
      <c r="G909" s="15">
        <v>1</v>
      </c>
      <c r="H909" s="167">
        <f t="shared" si="28"/>
        <v>5.1413881748071976E-4</v>
      </c>
      <c r="I909" s="167"/>
      <c r="J909" s="167"/>
    </row>
    <row r="910" spans="2:10" x14ac:dyDescent="0.25">
      <c r="B910" s="169">
        <f t="shared" si="29"/>
        <v>0.46529562982006262</v>
      </c>
      <c r="C910">
        <v>2163</v>
      </c>
      <c r="E910">
        <v>1</v>
      </c>
      <c r="F910">
        <v>1</v>
      </c>
      <c r="G910" s="15">
        <v>1</v>
      </c>
      <c r="H910" s="167">
        <f t="shared" si="28"/>
        <v>5.1413881748071976E-4</v>
      </c>
      <c r="I910" s="167"/>
      <c r="J910" s="167"/>
    </row>
    <row r="911" spans="2:10" x14ac:dyDescent="0.25">
      <c r="B911" s="169">
        <f t="shared" si="29"/>
        <v>0.46580976863754336</v>
      </c>
      <c r="C911">
        <v>6003</v>
      </c>
      <c r="E911">
        <v>4</v>
      </c>
      <c r="F911">
        <v>4</v>
      </c>
      <c r="G911" s="15">
        <v>1</v>
      </c>
      <c r="H911" s="167">
        <f t="shared" si="28"/>
        <v>5.1413881748071976E-4</v>
      </c>
      <c r="I911" s="167"/>
      <c r="J911" s="167"/>
    </row>
    <row r="912" spans="2:10" x14ac:dyDescent="0.25">
      <c r="B912" s="169">
        <f t="shared" si="29"/>
        <v>0.46632390745502411</v>
      </c>
      <c r="C912">
        <v>5646</v>
      </c>
      <c r="E912">
        <v>2</v>
      </c>
      <c r="F912">
        <v>2</v>
      </c>
      <c r="G912" s="15">
        <v>1</v>
      </c>
      <c r="H912" s="167">
        <f t="shared" si="28"/>
        <v>5.1413881748071976E-4</v>
      </c>
      <c r="I912" s="167"/>
      <c r="J912" s="167"/>
    </row>
    <row r="913" spans="2:10" x14ac:dyDescent="0.25">
      <c r="B913" s="169">
        <f t="shared" si="29"/>
        <v>0.46683804627250486</v>
      </c>
      <c r="C913">
        <v>4794</v>
      </c>
      <c r="E913">
        <v>5</v>
      </c>
      <c r="F913">
        <v>5</v>
      </c>
      <c r="G913" s="15">
        <v>1</v>
      </c>
      <c r="H913" s="167">
        <f t="shared" si="28"/>
        <v>5.1413881748071976E-4</v>
      </c>
      <c r="I913" s="167"/>
      <c r="J913" s="167"/>
    </row>
    <row r="914" spans="2:10" x14ac:dyDescent="0.25">
      <c r="B914" s="169">
        <f t="shared" si="29"/>
        <v>0.46735218508998561</v>
      </c>
      <c r="C914">
        <v>4835</v>
      </c>
      <c r="E914">
        <v>5</v>
      </c>
      <c r="F914">
        <v>5</v>
      </c>
      <c r="G914" s="15">
        <v>1</v>
      </c>
      <c r="H914" s="167">
        <f t="shared" si="28"/>
        <v>5.1413881748071976E-4</v>
      </c>
      <c r="I914" s="167"/>
      <c r="J914" s="167"/>
    </row>
    <row r="915" spans="2:10" x14ac:dyDescent="0.25">
      <c r="B915" s="169">
        <f t="shared" si="29"/>
        <v>0.46786632390746635</v>
      </c>
      <c r="C915">
        <v>5099</v>
      </c>
      <c r="E915">
        <v>5</v>
      </c>
      <c r="F915">
        <v>5</v>
      </c>
      <c r="G915" s="15">
        <v>1</v>
      </c>
      <c r="H915" s="167">
        <f t="shared" si="28"/>
        <v>5.1413881748071976E-4</v>
      </c>
      <c r="I915" s="167"/>
      <c r="J915" s="167"/>
    </row>
    <row r="916" spans="2:10" x14ac:dyDescent="0.25">
      <c r="B916" s="169">
        <f t="shared" si="29"/>
        <v>0.4683804627249471</v>
      </c>
      <c r="C916">
        <v>4900</v>
      </c>
      <c r="E916">
        <v>5</v>
      </c>
      <c r="F916">
        <v>5</v>
      </c>
      <c r="G916" s="15">
        <v>1</v>
      </c>
      <c r="H916" s="167">
        <f t="shared" si="28"/>
        <v>5.1413881748071976E-4</v>
      </c>
      <c r="I916" s="167"/>
      <c r="J916" s="167"/>
    </row>
    <row r="917" spans="2:10" x14ac:dyDescent="0.25">
      <c r="B917" s="169">
        <f t="shared" si="29"/>
        <v>0.46889460154242785</v>
      </c>
      <c r="C917">
        <v>3896</v>
      </c>
      <c r="E917">
        <v>20</v>
      </c>
      <c r="F917">
        <v>20</v>
      </c>
      <c r="G917" s="15">
        <v>1</v>
      </c>
      <c r="H917" s="167">
        <f t="shared" si="28"/>
        <v>5.1413881748071976E-4</v>
      </c>
      <c r="I917" s="167"/>
      <c r="J917" s="167"/>
    </row>
    <row r="918" spans="2:10" x14ac:dyDescent="0.25">
      <c r="B918" s="169">
        <f t="shared" si="29"/>
        <v>0.46940874035990859</v>
      </c>
      <c r="C918">
        <v>5529</v>
      </c>
      <c r="E918">
        <v>1</v>
      </c>
      <c r="F918">
        <v>1</v>
      </c>
      <c r="G918" s="15">
        <v>1</v>
      </c>
      <c r="H918" s="167">
        <f t="shared" si="28"/>
        <v>5.1413881748071976E-4</v>
      </c>
      <c r="I918" s="167"/>
      <c r="J918" s="167"/>
    </row>
    <row r="919" spans="2:10" x14ac:dyDescent="0.25">
      <c r="B919" s="169">
        <f t="shared" si="29"/>
        <v>0.46992287917738934</v>
      </c>
      <c r="C919">
        <v>5647</v>
      </c>
      <c r="E919">
        <v>2</v>
      </c>
      <c r="F919">
        <v>2</v>
      </c>
      <c r="G919" s="15">
        <v>1</v>
      </c>
      <c r="H919" s="167">
        <f t="shared" si="28"/>
        <v>5.1413881748071976E-4</v>
      </c>
      <c r="I919" s="167"/>
      <c r="J919" s="167"/>
    </row>
    <row r="920" spans="2:10" x14ac:dyDescent="0.25">
      <c r="B920" s="169">
        <f t="shared" si="29"/>
        <v>0.47043701799487009</v>
      </c>
      <c r="C920">
        <v>2096</v>
      </c>
      <c r="E920">
        <v>5</v>
      </c>
      <c r="F920">
        <v>5</v>
      </c>
      <c r="G920" s="15">
        <v>1</v>
      </c>
      <c r="H920" s="167">
        <f t="shared" si="28"/>
        <v>5.1413881748071976E-4</v>
      </c>
      <c r="I920" s="167"/>
      <c r="J920" s="167"/>
    </row>
    <row r="921" spans="2:10" x14ac:dyDescent="0.25">
      <c r="B921" s="169">
        <f t="shared" si="29"/>
        <v>0.47095115681235084</v>
      </c>
      <c r="C921">
        <v>5648</v>
      </c>
      <c r="E921">
        <v>2</v>
      </c>
      <c r="F921">
        <v>2</v>
      </c>
      <c r="G921" s="15">
        <v>1</v>
      </c>
      <c r="H921" s="167">
        <f t="shared" si="28"/>
        <v>5.1413881748071976E-4</v>
      </c>
      <c r="I921" s="167"/>
      <c r="J921" s="167"/>
    </row>
    <row r="922" spans="2:10" x14ac:dyDescent="0.25">
      <c r="B922" s="169">
        <f t="shared" si="29"/>
        <v>0.47146529562983158</v>
      </c>
      <c r="C922">
        <v>3580</v>
      </c>
      <c r="E922">
        <v>1</v>
      </c>
      <c r="F922">
        <v>1</v>
      </c>
      <c r="G922" s="15">
        <v>1</v>
      </c>
      <c r="H922" s="167">
        <f t="shared" si="28"/>
        <v>5.1413881748071976E-4</v>
      </c>
      <c r="I922" s="167"/>
      <c r="J922" s="167"/>
    </row>
    <row r="923" spans="2:10" x14ac:dyDescent="0.25">
      <c r="B923" s="169">
        <f t="shared" si="29"/>
        <v>0.47197943444731233</v>
      </c>
      <c r="C923">
        <v>5991</v>
      </c>
      <c r="E923">
        <v>3</v>
      </c>
      <c r="F923">
        <v>3</v>
      </c>
      <c r="G923" s="15">
        <v>1</v>
      </c>
      <c r="H923" s="167">
        <f t="shared" si="28"/>
        <v>5.1413881748071976E-4</v>
      </c>
      <c r="I923" s="167"/>
      <c r="J923" s="167"/>
    </row>
    <row r="924" spans="2:10" x14ac:dyDescent="0.25">
      <c r="B924" s="169">
        <f t="shared" si="29"/>
        <v>0.47249357326479308</v>
      </c>
      <c r="C924">
        <v>2205</v>
      </c>
      <c r="E924">
        <v>1</v>
      </c>
      <c r="F924">
        <v>1</v>
      </c>
      <c r="G924" s="15">
        <v>1</v>
      </c>
      <c r="H924" s="167">
        <f t="shared" si="28"/>
        <v>5.1413881748071976E-4</v>
      </c>
      <c r="I924" s="167"/>
      <c r="J924" s="167"/>
    </row>
    <row r="925" spans="2:10" x14ac:dyDescent="0.25">
      <c r="B925" s="169">
        <f t="shared" si="29"/>
        <v>0.47300771208227382</v>
      </c>
      <c r="C925">
        <v>4926</v>
      </c>
      <c r="E925">
        <v>1</v>
      </c>
      <c r="F925">
        <v>1</v>
      </c>
      <c r="G925" s="15">
        <v>1</v>
      </c>
      <c r="H925" s="167">
        <f t="shared" si="28"/>
        <v>5.1413881748071976E-4</v>
      </c>
      <c r="I925" s="167"/>
      <c r="J925" s="167"/>
    </row>
    <row r="926" spans="2:10" x14ac:dyDescent="0.25">
      <c r="B926" s="169">
        <f t="shared" si="29"/>
        <v>0.47352185089975457</v>
      </c>
      <c r="C926">
        <v>5649</v>
      </c>
      <c r="E926">
        <v>1</v>
      </c>
      <c r="F926">
        <v>1</v>
      </c>
      <c r="G926" s="15">
        <v>1</v>
      </c>
      <c r="H926" s="167">
        <f t="shared" si="28"/>
        <v>5.1413881748071976E-4</v>
      </c>
      <c r="I926" s="167"/>
      <c r="J926" s="167"/>
    </row>
    <row r="927" spans="2:10" x14ac:dyDescent="0.25">
      <c r="B927" s="169">
        <f t="shared" si="29"/>
        <v>0.47403598971723532</v>
      </c>
      <c r="C927">
        <v>3811</v>
      </c>
      <c r="E927">
        <v>2</v>
      </c>
      <c r="F927">
        <v>2</v>
      </c>
      <c r="G927" s="15">
        <v>1</v>
      </c>
      <c r="H927" s="167">
        <f t="shared" si="28"/>
        <v>5.1413881748071976E-4</v>
      </c>
      <c r="I927" s="167"/>
      <c r="J927" s="167"/>
    </row>
    <row r="928" spans="2:10" x14ac:dyDescent="0.25">
      <c r="B928" s="169">
        <f t="shared" si="29"/>
        <v>0.47455012853471606</v>
      </c>
      <c r="C928">
        <v>5650</v>
      </c>
      <c r="E928">
        <v>1</v>
      </c>
      <c r="F928">
        <v>1</v>
      </c>
      <c r="G928" s="15">
        <v>1</v>
      </c>
      <c r="H928" s="167">
        <f t="shared" si="28"/>
        <v>5.1413881748071976E-4</v>
      </c>
      <c r="I928" s="167"/>
      <c r="J928" s="167"/>
    </row>
    <row r="929" spans="2:10" x14ac:dyDescent="0.25">
      <c r="B929" s="169">
        <f t="shared" si="29"/>
        <v>0.47506426735219681</v>
      </c>
      <c r="C929">
        <v>5651</v>
      </c>
      <c r="E929">
        <v>2</v>
      </c>
      <c r="F929">
        <v>2</v>
      </c>
      <c r="G929" s="15">
        <v>1</v>
      </c>
      <c r="H929" s="167">
        <f t="shared" si="28"/>
        <v>5.1413881748071976E-4</v>
      </c>
      <c r="I929" s="167"/>
      <c r="J929" s="167"/>
    </row>
    <row r="930" spans="2:10" x14ac:dyDescent="0.25">
      <c r="B930" s="169">
        <f t="shared" si="29"/>
        <v>0.47557840616967756</v>
      </c>
      <c r="C930">
        <v>3887</v>
      </c>
      <c r="E930">
        <v>10</v>
      </c>
      <c r="F930">
        <v>10</v>
      </c>
      <c r="G930" s="15">
        <v>1</v>
      </c>
      <c r="H930" s="167">
        <f t="shared" si="28"/>
        <v>5.1413881748071976E-4</v>
      </c>
      <c r="I930" s="167"/>
      <c r="J930" s="167"/>
    </row>
    <row r="931" spans="2:10" x14ac:dyDescent="0.25">
      <c r="B931" s="169">
        <f t="shared" si="29"/>
        <v>0.47609254498715831</v>
      </c>
      <c r="C931">
        <v>3581</v>
      </c>
      <c r="E931">
        <v>1</v>
      </c>
      <c r="F931">
        <v>1</v>
      </c>
      <c r="G931" s="15">
        <v>1</v>
      </c>
      <c r="H931" s="167">
        <f t="shared" si="28"/>
        <v>5.1413881748071976E-4</v>
      </c>
      <c r="I931" s="167"/>
      <c r="J931" s="167"/>
    </row>
    <row r="932" spans="2:10" x14ac:dyDescent="0.25">
      <c r="B932" s="169">
        <f t="shared" si="29"/>
        <v>0.47660668380463905</v>
      </c>
      <c r="C932">
        <v>5628</v>
      </c>
      <c r="E932">
        <v>1</v>
      </c>
      <c r="F932">
        <v>1</v>
      </c>
      <c r="G932" s="15">
        <v>1</v>
      </c>
      <c r="H932" s="167">
        <f t="shared" si="28"/>
        <v>5.1413881748071976E-4</v>
      </c>
      <c r="I932" s="167"/>
      <c r="J932" s="167"/>
    </row>
    <row r="933" spans="2:10" x14ac:dyDescent="0.25">
      <c r="B933" s="169">
        <f t="shared" si="29"/>
        <v>0.4771208226221198</v>
      </c>
      <c r="C933">
        <v>6001</v>
      </c>
      <c r="E933">
        <v>2</v>
      </c>
      <c r="F933">
        <v>2</v>
      </c>
      <c r="G933" s="15">
        <v>1</v>
      </c>
      <c r="H933" s="167">
        <f t="shared" si="28"/>
        <v>5.1413881748071976E-4</v>
      </c>
      <c r="I933" s="167"/>
      <c r="J933" s="167"/>
    </row>
    <row r="934" spans="2:10" x14ac:dyDescent="0.25">
      <c r="B934" s="169">
        <f t="shared" si="29"/>
        <v>0.47763496143960055</v>
      </c>
      <c r="C934">
        <v>5629</v>
      </c>
      <c r="E934">
        <v>1</v>
      </c>
      <c r="F934">
        <v>1</v>
      </c>
      <c r="G934" s="15">
        <v>1</v>
      </c>
      <c r="H934" s="167">
        <f t="shared" si="28"/>
        <v>5.1413881748071976E-4</v>
      </c>
      <c r="I934" s="167"/>
      <c r="J934" s="167"/>
    </row>
    <row r="935" spans="2:10" x14ac:dyDescent="0.25">
      <c r="B935" s="169">
        <f t="shared" si="29"/>
        <v>0.47814910025708129</v>
      </c>
      <c r="C935">
        <v>5656</v>
      </c>
      <c r="E935">
        <v>1</v>
      </c>
      <c r="F935">
        <v>1</v>
      </c>
      <c r="G935" s="15">
        <v>1</v>
      </c>
      <c r="H935" s="167">
        <f t="shared" si="28"/>
        <v>5.1413881748071976E-4</v>
      </c>
      <c r="I935" s="167"/>
      <c r="J935" s="167"/>
    </row>
    <row r="936" spans="2:10" x14ac:dyDescent="0.25">
      <c r="B936" s="169">
        <f t="shared" si="29"/>
        <v>0.47866323907456204</v>
      </c>
      <c r="C936">
        <v>5630</v>
      </c>
      <c r="E936">
        <v>1</v>
      </c>
      <c r="F936">
        <v>1</v>
      </c>
      <c r="G936" s="15">
        <v>1</v>
      </c>
      <c r="H936" s="167">
        <f t="shared" si="28"/>
        <v>5.1413881748071976E-4</v>
      </c>
      <c r="I936" s="167"/>
      <c r="J936" s="167"/>
    </row>
    <row r="937" spans="2:10" x14ac:dyDescent="0.25">
      <c r="B937" s="169">
        <f t="shared" si="29"/>
        <v>0.47917737789204279</v>
      </c>
      <c r="C937">
        <v>6000</v>
      </c>
      <c r="E937">
        <v>8</v>
      </c>
      <c r="F937">
        <v>8</v>
      </c>
      <c r="G937" s="15">
        <v>1</v>
      </c>
      <c r="H937" s="167">
        <f t="shared" si="28"/>
        <v>5.1413881748071976E-4</v>
      </c>
      <c r="I937" s="167"/>
      <c r="J937" s="167"/>
    </row>
    <row r="938" spans="2:10" x14ac:dyDescent="0.25">
      <c r="B938" s="169">
        <f t="shared" si="29"/>
        <v>0.47969151670952354</v>
      </c>
      <c r="C938">
        <v>4927</v>
      </c>
      <c r="E938">
        <v>1</v>
      </c>
      <c r="F938">
        <v>1</v>
      </c>
      <c r="G938" s="15">
        <v>1</v>
      </c>
      <c r="H938" s="167">
        <f t="shared" si="28"/>
        <v>5.1413881748071976E-4</v>
      </c>
      <c r="I938" s="167"/>
      <c r="J938" s="167"/>
    </row>
    <row r="939" spans="2:10" x14ac:dyDescent="0.25">
      <c r="B939" s="169">
        <f t="shared" si="29"/>
        <v>0.48020565552700428</v>
      </c>
      <c r="C939">
        <v>6027</v>
      </c>
      <c r="E939">
        <v>2</v>
      </c>
      <c r="F939">
        <v>2</v>
      </c>
      <c r="G939" s="15">
        <v>1</v>
      </c>
      <c r="H939" s="167">
        <f t="shared" si="28"/>
        <v>5.1413881748071976E-4</v>
      </c>
      <c r="I939" s="167"/>
      <c r="J939" s="167"/>
    </row>
    <row r="940" spans="2:10" x14ac:dyDescent="0.25">
      <c r="B940" s="169">
        <f t="shared" si="29"/>
        <v>0.48071979434448503</v>
      </c>
      <c r="C940">
        <v>6028</v>
      </c>
      <c r="E940">
        <v>1</v>
      </c>
      <c r="F940">
        <v>1</v>
      </c>
      <c r="G940" s="15">
        <v>1</v>
      </c>
      <c r="H940" s="167">
        <f t="shared" si="28"/>
        <v>5.1413881748071976E-4</v>
      </c>
      <c r="I940" s="167"/>
      <c r="J940" s="167"/>
    </row>
    <row r="941" spans="2:10" x14ac:dyDescent="0.25">
      <c r="B941" s="169">
        <f t="shared" si="29"/>
        <v>0.48123393316196578</v>
      </c>
      <c r="C941">
        <v>5631</v>
      </c>
      <c r="E941">
        <v>1</v>
      </c>
      <c r="F941">
        <v>1</v>
      </c>
      <c r="G941" s="15">
        <v>1</v>
      </c>
      <c r="H941" s="167">
        <f t="shared" si="28"/>
        <v>5.1413881748071976E-4</v>
      </c>
      <c r="I941" s="167"/>
      <c r="J941" s="167"/>
    </row>
    <row r="942" spans="2:10" x14ac:dyDescent="0.25">
      <c r="B942" s="169">
        <f t="shared" si="29"/>
        <v>0.48174807197944652</v>
      </c>
      <c r="C942">
        <v>5622</v>
      </c>
      <c r="E942">
        <v>1</v>
      </c>
      <c r="F942">
        <v>1</v>
      </c>
      <c r="G942" s="15">
        <v>1</v>
      </c>
      <c r="H942" s="167">
        <f t="shared" si="28"/>
        <v>5.1413881748071976E-4</v>
      </c>
      <c r="I942" s="167"/>
      <c r="J942" s="167"/>
    </row>
    <row r="943" spans="2:10" x14ac:dyDescent="0.25">
      <c r="B943" s="169">
        <f t="shared" si="29"/>
        <v>0.48226221079692727</v>
      </c>
      <c r="C943">
        <v>5632</v>
      </c>
      <c r="E943">
        <v>84</v>
      </c>
      <c r="F943">
        <v>84</v>
      </c>
      <c r="G943" s="15">
        <v>1</v>
      </c>
      <c r="H943" s="167">
        <f t="shared" si="28"/>
        <v>5.1413881748071976E-4</v>
      </c>
      <c r="I943" s="167"/>
      <c r="J943" s="167"/>
    </row>
    <row r="944" spans="2:10" x14ac:dyDescent="0.25">
      <c r="B944" s="169">
        <f t="shared" si="29"/>
        <v>0.48277634961440802</v>
      </c>
      <c r="C944">
        <v>5623</v>
      </c>
      <c r="E944">
        <v>9</v>
      </c>
      <c r="F944">
        <v>9</v>
      </c>
      <c r="G944" s="15">
        <v>1</v>
      </c>
      <c r="H944" s="167">
        <f t="shared" si="28"/>
        <v>5.1413881748071976E-4</v>
      </c>
      <c r="I944" s="167"/>
      <c r="J944" s="167"/>
    </row>
    <row r="945" spans="2:10" x14ac:dyDescent="0.25">
      <c r="B945" s="169">
        <f t="shared" si="29"/>
        <v>0.48329048843188877</v>
      </c>
      <c r="C945">
        <v>5625</v>
      </c>
      <c r="E945">
        <v>21</v>
      </c>
      <c r="F945">
        <v>21</v>
      </c>
      <c r="G945" s="15">
        <v>1</v>
      </c>
      <c r="H945" s="167">
        <f t="shared" si="28"/>
        <v>5.1413881748071976E-4</v>
      </c>
      <c r="I945" s="167"/>
      <c r="J945" s="167"/>
    </row>
    <row r="946" spans="2:10" x14ac:dyDescent="0.25">
      <c r="B946" s="169">
        <f t="shared" si="29"/>
        <v>0.48380462724936951</v>
      </c>
      <c r="C946">
        <v>5633</v>
      </c>
      <c r="E946">
        <v>1</v>
      </c>
      <c r="F946">
        <v>1</v>
      </c>
      <c r="G946" s="15">
        <v>1</v>
      </c>
      <c r="H946" s="167">
        <f t="shared" si="28"/>
        <v>5.1413881748071976E-4</v>
      </c>
      <c r="I946" s="167"/>
      <c r="J946" s="167"/>
    </row>
    <row r="947" spans="2:10" x14ac:dyDescent="0.25">
      <c r="B947" s="169">
        <f t="shared" si="29"/>
        <v>0.48431876606685026</v>
      </c>
      <c r="C947">
        <v>1912</v>
      </c>
      <c r="E947">
        <v>67</v>
      </c>
      <c r="F947">
        <v>67</v>
      </c>
      <c r="G947" s="15">
        <v>1</v>
      </c>
      <c r="H947" s="167">
        <f t="shared" si="28"/>
        <v>5.1413881748071976E-4</v>
      </c>
      <c r="I947" s="167"/>
      <c r="J947" s="167"/>
    </row>
    <row r="948" spans="2:10" x14ac:dyDescent="0.25">
      <c r="B948" s="169">
        <f t="shared" si="29"/>
        <v>0.48483290488433101</v>
      </c>
      <c r="C948">
        <v>6035</v>
      </c>
      <c r="E948">
        <v>5</v>
      </c>
      <c r="F948">
        <v>5</v>
      </c>
      <c r="G948" s="15">
        <v>1</v>
      </c>
      <c r="H948" s="167">
        <f t="shared" si="28"/>
        <v>5.1413881748071976E-4</v>
      </c>
      <c r="I948" s="167"/>
      <c r="J948" s="167"/>
    </row>
    <row r="949" spans="2:10" x14ac:dyDescent="0.25">
      <c r="B949" s="169">
        <f t="shared" si="29"/>
        <v>0.48534704370181175</v>
      </c>
      <c r="C949">
        <v>5624</v>
      </c>
      <c r="E949">
        <v>2</v>
      </c>
      <c r="F949">
        <v>2</v>
      </c>
      <c r="G949" s="15">
        <v>1</v>
      </c>
      <c r="H949" s="167">
        <f t="shared" si="28"/>
        <v>5.1413881748071976E-4</v>
      </c>
      <c r="I949" s="167"/>
      <c r="J949" s="167"/>
    </row>
    <row r="950" spans="2:10" x14ac:dyDescent="0.25">
      <c r="B950" s="169">
        <f t="shared" si="29"/>
        <v>0.4858611825192925</v>
      </c>
      <c r="C950">
        <v>6043</v>
      </c>
      <c r="E950">
        <v>15</v>
      </c>
      <c r="F950">
        <v>15</v>
      </c>
      <c r="G950" s="15">
        <v>1</v>
      </c>
      <c r="H950" s="167">
        <f t="shared" si="28"/>
        <v>5.1413881748071976E-4</v>
      </c>
      <c r="I950" s="167"/>
      <c r="J950" s="167"/>
    </row>
    <row r="951" spans="2:10" x14ac:dyDescent="0.25">
      <c r="B951" s="169">
        <f t="shared" si="29"/>
        <v>0.48637532133677325</v>
      </c>
      <c r="C951">
        <v>6008</v>
      </c>
      <c r="E951">
        <v>22</v>
      </c>
      <c r="F951">
        <v>22</v>
      </c>
      <c r="G951" s="15">
        <v>1</v>
      </c>
      <c r="H951" s="167">
        <f t="shared" si="28"/>
        <v>5.1413881748071976E-4</v>
      </c>
      <c r="I951" s="167"/>
      <c r="J951" s="167"/>
    </row>
    <row r="952" spans="2:10" x14ac:dyDescent="0.25">
      <c r="B952" s="169">
        <f t="shared" si="29"/>
        <v>0.48688946015425399</v>
      </c>
      <c r="C952">
        <v>4064</v>
      </c>
      <c r="E952">
        <v>4</v>
      </c>
      <c r="F952">
        <v>4</v>
      </c>
      <c r="G952" s="15">
        <v>1</v>
      </c>
      <c r="H952" s="167">
        <f t="shared" si="28"/>
        <v>5.1413881748071976E-4</v>
      </c>
      <c r="I952" s="167"/>
      <c r="J952" s="167"/>
    </row>
    <row r="953" spans="2:10" x14ac:dyDescent="0.25">
      <c r="B953" s="169">
        <f t="shared" si="29"/>
        <v>0.48740359897173474</v>
      </c>
      <c r="C953">
        <v>4085</v>
      </c>
      <c r="E953">
        <v>4</v>
      </c>
      <c r="F953">
        <v>4</v>
      </c>
      <c r="G953" s="15">
        <v>1</v>
      </c>
      <c r="H953" s="167">
        <f t="shared" si="28"/>
        <v>5.1413881748071976E-4</v>
      </c>
      <c r="I953" s="167"/>
      <c r="J953" s="167"/>
    </row>
    <row r="954" spans="2:10" x14ac:dyDescent="0.25">
      <c r="B954" s="169">
        <f t="shared" si="29"/>
        <v>0.48791773778921549</v>
      </c>
      <c r="C954">
        <v>6052</v>
      </c>
      <c r="E954">
        <v>1</v>
      </c>
      <c r="F954">
        <v>1</v>
      </c>
      <c r="G954" s="15">
        <v>1</v>
      </c>
      <c r="H954" s="167">
        <f t="shared" si="28"/>
        <v>5.1413881748071976E-4</v>
      </c>
      <c r="I954" s="167"/>
      <c r="J954" s="167"/>
    </row>
    <row r="955" spans="2:10" x14ac:dyDescent="0.25">
      <c r="B955" s="169">
        <f t="shared" si="29"/>
        <v>0.48843187660669624</v>
      </c>
      <c r="C955">
        <v>6047</v>
      </c>
      <c r="E955">
        <v>6</v>
      </c>
      <c r="F955">
        <v>6</v>
      </c>
      <c r="G955" s="15">
        <v>1</v>
      </c>
      <c r="H955" s="167">
        <f t="shared" si="28"/>
        <v>5.1413881748071976E-4</v>
      </c>
      <c r="I955" s="167"/>
      <c r="J955" s="167"/>
    </row>
    <row r="956" spans="2:10" x14ac:dyDescent="0.25">
      <c r="B956" s="169">
        <f t="shared" si="29"/>
        <v>0.48894601542417698</v>
      </c>
      <c r="C956">
        <v>6114</v>
      </c>
      <c r="E956">
        <v>68</v>
      </c>
      <c r="F956">
        <v>68</v>
      </c>
      <c r="G956" s="15">
        <v>1</v>
      </c>
      <c r="H956" s="167">
        <f t="shared" si="28"/>
        <v>5.1413881748071976E-4</v>
      </c>
      <c r="I956" s="167"/>
      <c r="J956" s="167"/>
    </row>
    <row r="957" spans="2:10" x14ac:dyDescent="0.25">
      <c r="B957" s="169">
        <f t="shared" si="29"/>
        <v>0.48946015424165773</v>
      </c>
      <c r="C957">
        <v>2484</v>
      </c>
      <c r="E957">
        <v>3</v>
      </c>
      <c r="F957">
        <v>3</v>
      </c>
      <c r="G957" s="15">
        <v>1</v>
      </c>
      <c r="H957" s="167">
        <f t="shared" si="28"/>
        <v>5.1413881748071976E-4</v>
      </c>
      <c r="I957" s="167"/>
      <c r="J957" s="167"/>
    </row>
    <row r="958" spans="2:10" x14ac:dyDescent="0.25">
      <c r="B958" s="169">
        <f t="shared" si="29"/>
        <v>0.48997429305913848</v>
      </c>
      <c r="C958">
        <v>3582</v>
      </c>
      <c r="E958">
        <v>1</v>
      </c>
      <c r="F958">
        <v>1</v>
      </c>
      <c r="G958" s="15">
        <v>1</v>
      </c>
      <c r="H958" s="167">
        <f t="shared" si="28"/>
        <v>5.1413881748071976E-4</v>
      </c>
      <c r="I958" s="167"/>
      <c r="J958" s="167"/>
    </row>
    <row r="959" spans="2:10" x14ac:dyDescent="0.25">
      <c r="B959" s="169">
        <f t="shared" si="29"/>
        <v>0.49048843187661922</v>
      </c>
      <c r="C959">
        <v>5634</v>
      </c>
      <c r="E959">
        <v>1</v>
      </c>
      <c r="F959">
        <v>1</v>
      </c>
      <c r="G959" s="15">
        <v>1</v>
      </c>
      <c r="H959" s="167">
        <f t="shared" si="28"/>
        <v>5.1413881748071976E-4</v>
      </c>
      <c r="I959" s="167"/>
      <c r="J959" s="167"/>
    </row>
    <row r="960" spans="2:10" x14ac:dyDescent="0.25">
      <c r="B960" s="169">
        <f t="shared" si="29"/>
        <v>0.49100257069409997</v>
      </c>
      <c r="C960">
        <v>2097</v>
      </c>
      <c r="E960">
        <v>5</v>
      </c>
      <c r="F960">
        <v>5</v>
      </c>
      <c r="G960" s="15">
        <v>1</v>
      </c>
      <c r="H960" s="167">
        <f t="shared" si="28"/>
        <v>5.1413881748071976E-4</v>
      </c>
      <c r="I960" s="167"/>
      <c r="J960" s="167"/>
    </row>
    <row r="961" spans="2:10" x14ac:dyDescent="0.25">
      <c r="B961" s="169">
        <f t="shared" si="29"/>
        <v>0.49151670951158072</v>
      </c>
      <c r="C961">
        <v>3325</v>
      </c>
      <c r="E961">
        <v>3</v>
      </c>
      <c r="F961">
        <v>3</v>
      </c>
      <c r="G961" s="15">
        <v>1</v>
      </c>
      <c r="H961" s="167">
        <f t="shared" si="28"/>
        <v>5.1413881748071976E-4</v>
      </c>
      <c r="I961" s="167"/>
      <c r="J961" s="167"/>
    </row>
    <row r="962" spans="2:10" x14ac:dyDescent="0.25">
      <c r="B962" s="169">
        <f t="shared" si="29"/>
        <v>0.49203084832906147</v>
      </c>
      <c r="C962">
        <v>3786</v>
      </c>
      <c r="E962">
        <v>2</v>
      </c>
      <c r="F962">
        <v>2</v>
      </c>
      <c r="G962" s="15">
        <v>1</v>
      </c>
      <c r="H962" s="167">
        <f t="shared" si="28"/>
        <v>5.1413881748071976E-4</v>
      </c>
      <c r="I962" s="167"/>
      <c r="J962" s="167"/>
    </row>
    <row r="963" spans="2:10" x14ac:dyDescent="0.25">
      <c r="B963" s="169">
        <f t="shared" si="29"/>
        <v>0.49254498714654221</v>
      </c>
      <c r="C963">
        <v>3785</v>
      </c>
      <c r="E963">
        <v>3</v>
      </c>
      <c r="F963">
        <v>3</v>
      </c>
      <c r="G963" s="15">
        <v>1</v>
      </c>
      <c r="H963" s="167">
        <f t="shared" si="28"/>
        <v>5.1413881748071976E-4</v>
      </c>
      <c r="I963" s="167"/>
      <c r="J963" s="167"/>
    </row>
    <row r="964" spans="2:10" x14ac:dyDescent="0.25">
      <c r="B964" s="169">
        <f t="shared" si="29"/>
        <v>0.49305912596402296</v>
      </c>
      <c r="C964">
        <v>6074</v>
      </c>
      <c r="E964">
        <v>7</v>
      </c>
      <c r="F964">
        <v>7</v>
      </c>
      <c r="G964" s="15">
        <v>1</v>
      </c>
      <c r="H964" s="167">
        <f t="shared" si="28"/>
        <v>5.1413881748071976E-4</v>
      </c>
      <c r="I964" s="167"/>
      <c r="J964" s="167"/>
    </row>
    <row r="965" spans="2:10" x14ac:dyDescent="0.25">
      <c r="B965" s="169">
        <f t="shared" si="29"/>
        <v>0.49357326478150371</v>
      </c>
      <c r="C965">
        <v>2811</v>
      </c>
      <c r="E965">
        <v>1</v>
      </c>
      <c r="F965">
        <v>1</v>
      </c>
      <c r="G965" s="15">
        <v>1</v>
      </c>
      <c r="H965" s="167">
        <f t="shared" si="28"/>
        <v>5.1413881748071976E-4</v>
      </c>
      <c r="I965" s="167"/>
      <c r="J965" s="167"/>
    </row>
    <row r="966" spans="2:10" x14ac:dyDescent="0.25">
      <c r="B966" s="169">
        <f t="shared" si="29"/>
        <v>0.49408740359898445</v>
      </c>
      <c r="C966">
        <v>2812</v>
      </c>
      <c r="E966">
        <v>1</v>
      </c>
      <c r="F966">
        <v>1</v>
      </c>
      <c r="G966" s="15">
        <v>1</v>
      </c>
      <c r="H966" s="167">
        <f t="shared" ref="H966:H1029" si="30">1/$L$6</f>
        <v>5.1413881748071976E-4</v>
      </c>
      <c r="I966" s="167"/>
      <c r="J966" s="167"/>
    </row>
    <row r="967" spans="2:10" x14ac:dyDescent="0.25">
      <c r="B967" s="169">
        <f t="shared" ref="B967:B1030" si="31">B966+H967</f>
        <v>0.4946015424164652</v>
      </c>
      <c r="C967">
        <v>2813</v>
      </c>
      <c r="E967">
        <v>1</v>
      </c>
      <c r="F967">
        <v>1</v>
      </c>
      <c r="G967" s="15">
        <v>1</v>
      </c>
      <c r="H967" s="167">
        <f t="shared" si="30"/>
        <v>5.1413881748071976E-4</v>
      </c>
      <c r="I967" s="167"/>
      <c r="J967" s="167"/>
    </row>
    <row r="968" spans="2:10" x14ac:dyDescent="0.25">
      <c r="B968" s="169">
        <f t="shared" si="31"/>
        <v>0.49511568123394595</v>
      </c>
      <c r="C968">
        <v>2814</v>
      </c>
      <c r="E968">
        <v>1</v>
      </c>
      <c r="F968">
        <v>1</v>
      </c>
      <c r="G968" s="15">
        <v>1</v>
      </c>
      <c r="H968" s="167">
        <f t="shared" si="30"/>
        <v>5.1413881748071976E-4</v>
      </c>
      <c r="I968" s="167"/>
      <c r="J968" s="167"/>
    </row>
    <row r="969" spans="2:10" x14ac:dyDescent="0.25">
      <c r="B969" s="169">
        <f t="shared" si="31"/>
        <v>0.49562982005142669</v>
      </c>
      <c r="C969">
        <v>4007</v>
      </c>
      <c r="E969">
        <v>1</v>
      </c>
      <c r="F969">
        <v>1</v>
      </c>
      <c r="G969" s="15">
        <v>1</v>
      </c>
      <c r="H969" s="167">
        <f t="shared" si="30"/>
        <v>5.1413881748071976E-4</v>
      </c>
      <c r="I969" s="167"/>
      <c r="J969" s="167"/>
    </row>
    <row r="970" spans="2:10" x14ac:dyDescent="0.25">
      <c r="B970" s="169">
        <f t="shared" si="31"/>
        <v>0.49614395886890744</v>
      </c>
      <c r="C970">
        <v>3583</v>
      </c>
      <c r="E970">
        <v>1</v>
      </c>
      <c r="F970">
        <v>1</v>
      </c>
      <c r="G970" s="15">
        <v>1</v>
      </c>
      <c r="H970" s="167">
        <f t="shared" si="30"/>
        <v>5.1413881748071976E-4</v>
      </c>
      <c r="I970" s="167"/>
      <c r="J970" s="167"/>
    </row>
    <row r="971" spans="2:10" x14ac:dyDescent="0.25">
      <c r="B971" s="169">
        <f t="shared" si="31"/>
        <v>0.49665809768638819</v>
      </c>
      <c r="C971">
        <v>4083</v>
      </c>
      <c r="E971">
        <v>4</v>
      </c>
      <c r="F971">
        <v>4</v>
      </c>
      <c r="G971" s="15">
        <v>1</v>
      </c>
      <c r="H971" s="167">
        <f t="shared" si="30"/>
        <v>5.1413881748071976E-4</v>
      </c>
      <c r="I971" s="167"/>
      <c r="J971" s="167"/>
    </row>
    <row r="972" spans="2:10" x14ac:dyDescent="0.25">
      <c r="B972" s="169">
        <f t="shared" si="31"/>
        <v>0.49717223650386894</v>
      </c>
      <c r="C972">
        <v>2173</v>
      </c>
      <c r="E972">
        <v>2</v>
      </c>
      <c r="F972">
        <v>2</v>
      </c>
      <c r="G972" s="15">
        <v>1</v>
      </c>
      <c r="H972" s="167">
        <f t="shared" si="30"/>
        <v>5.1413881748071976E-4</v>
      </c>
      <c r="I972" s="167"/>
      <c r="J972" s="167"/>
    </row>
    <row r="973" spans="2:10" x14ac:dyDescent="0.25">
      <c r="B973" s="169">
        <f t="shared" si="31"/>
        <v>0.49768637532134968</v>
      </c>
      <c r="C973">
        <v>6048</v>
      </c>
      <c r="E973">
        <v>24</v>
      </c>
      <c r="F973">
        <v>24</v>
      </c>
      <c r="G973" s="15">
        <v>1</v>
      </c>
      <c r="H973" s="167">
        <f t="shared" si="30"/>
        <v>5.1413881748071976E-4</v>
      </c>
      <c r="I973" s="167"/>
      <c r="J973" s="167"/>
    </row>
    <row r="974" spans="2:10" x14ac:dyDescent="0.25">
      <c r="B974" s="169">
        <f t="shared" si="31"/>
        <v>0.49820051413883043</v>
      </c>
      <c r="C974">
        <v>6096</v>
      </c>
      <c r="E974">
        <v>5</v>
      </c>
      <c r="F974">
        <v>5</v>
      </c>
      <c r="G974" s="15">
        <v>1</v>
      </c>
      <c r="H974" s="167">
        <f t="shared" si="30"/>
        <v>5.1413881748071976E-4</v>
      </c>
      <c r="I974" s="167"/>
      <c r="J974" s="167"/>
    </row>
    <row r="975" spans="2:10" x14ac:dyDescent="0.25">
      <c r="B975" s="169">
        <f t="shared" si="31"/>
        <v>0.49871465295631118</v>
      </c>
      <c r="C975">
        <v>6057</v>
      </c>
      <c r="E975">
        <v>6</v>
      </c>
      <c r="F975">
        <v>6</v>
      </c>
      <c r="G975" s="15">
        <v>1</v>
      </c>
      <c r="H975" s="167">
        <f t="shared" si="30"/>
        <v>5.1413881748071976E-4</v>
      </c>
      <c r="I975" s="167"/>
      <c r="J975" s="167"/>
    </row>
    <row r="976" spans="2:10" x14ac:dyDescent="0.25">
      <c r="B976" s="169">
        <f t="shared" si="31"/>
        <v>0.49922879177379192</v>
      </c>
      <c r="C976">
        <v>6099</v>
      </c>
      <c r="E976">
        <v>6</v>
      </c>
      <c r="F976">
        <v>6</v>
      </c>
      <c r="G976" s="15">
        <v>1</v>
      </c>
      <c r="H976" s="167">
        <f t="shared" si="30"/>
        <v>5.1413881748071976E-4</v>
      </c>
      <c r="I976" s="167"/>
      <c r="J976" s="167"/>
    </row>
    <row r="977" spans="2:10" x14ac:dyDescent="0.25">
      <c r="B977" s="169">
        <f t="shared" si="31"/>
        <v>0.49974293059127267</v>
      </c>
      <c r="C977">
        <v>6100</v>
      </c>
      <c r="E977">
        <v>7</v>
      </c>
      <c r="F977">
        <v>7</v>
      </c>
      <c r="G977" s="15">
        <v>1</v>
      </c>
      <c r="H977" s="167">
        <f t="shared" si="30"/>
        <v>5.1413881748071976E-4</v>
      </c>
      <c r="I977" s="167"/>
      <c r="J977" s="167"/>
    </row>
    <row r="978" spans="2:10" x14ac:dyDescent="0.25">
      <c r="B978" s="169">
        <f t="shared" si="31"/>
        <v>0.50025706940875336</v>
      </c>
      <c r="C978">
        <v>6545</v>
      </c>
      <c r="E978">
        <v>210</v>
      </c>
      <c r="F978">
        <v>210</v>
      </c>
      <c r="G978" s="15">
        <v>1</v>
      </c>
      <c r="H978" s="167">
        <f t="shared" si="30"/>
        <v>5.1413881748071976E-4</v>
      </c>
      <c r="I978" s="167"/>
      <c r="J978" s="167"/>
    </row>
    <row r="979" spans="2:10" x14ac:dyDescent="0.25">
      <c r="B979" s="169">
        <f t="shared" si="31"/>
        <v>0.50077120822623411</v>
      </c>
      <c r="C979">
        <v>3584</v>
      </c>
      <c r="E979">
        <v>1</v>
      </c>
      <c r="F979">
        <v>1</v>
      </c>
      <c r="G979" s="15">
        <v>1</v>
      </c>
      <c r="H979" s="167">
        <f t="shared" si="30"/>
        <v>5.1413881748071976E-4</v>
      </c>
      <c r="I979" s="167"/>
      <c r="J979" s="167"/>
    </row>
    <row r="980" spans="2:10" x14ac:dyDescent="0.25">
      <c r="B980" s="169">
        <f t="shared" si="31"/>
        <v>0.50128534704371486</v>
      </c>
      <c r="C980">
        <v>6097</v>
      </c>
      <c r="E980">
        <v>6</v>
      </c>
      <c r="F980">
        <v>6</v>
      </c>
      <c r="G980" s="15">
        <v>1</v>
      </c>
      <c r="H980" s="167">
        <f t="shared" si="30"/>
        <v>5.1413881748071976E-4</v>
      </c>
      <c r="I980" s="167"/>
      <c r="J980" s="167"/>
    </row>
    <row r="981" spans="2:10" x14ac:dyDescent="0.25">
      <c r="B981" s="169">
        <f t="shared" si="31"/>
        <v>0.5017994858611956</v>
      </c>
      <c r="C981">
        <v>3459</v>
      </c>
      <c r="E981">
        <v>26</v>
      </c>
      <c r="F981">
        <v>26</v>
      </c>
      <c r="G981" s="15">
        <v>1</v>
      </c>
      <c r="H981" s="167">
        <f t="shared" si="30"/>
        <v>5.1413881748071976E-4</v>
      </c>
      <c r="I981" s="167"/>
      <c r="J981" s="167"/>
    </row>
    <row r="982" spans="2:10" x14ac:dyDescent="0.25">
      <c r="B982" s="169">
        <f t="shared" si="31"/>
        <v>0.50231362467867635</v>
      </c>
      <c r="C982">
        <v>5927</v>
      </c>
      <c r="E982">
        <v>69</v>
      </c>
      <c r="F982">
        <v>69</v>
      </c>
      <c r="G982" s="15">
        <v>1</v>
      </c>
      <c r="H982" s="167">
        <f t="shared" si="30"/>
        <v>5.1413881748071976E-4</v>
      </c>
      <c r="I982" s="167"/>
      <c r="J982" s="167"/>
    </row>
    <row r="983" spans="2:10" x14ac:dyDescent="0.25">
      <c r="B983" s="169">
        <f t="shared" si="31"/>
        <v>0.5028277634961571</v>
      </c>
      <c r="C983">
        <v>2195</v>
      </c>
      <c r="E983">
        <v>3</v>
      </c>
      <c r="F983">
        <v>3</v>
      </c>
      <c r="G983" s="15">
        <v>1</v>
      </c>
      <c r="H983" s="167">
        <f t="shared" si="30"/>
        <v>5.1413881748071976E-4</v>
      </c>
      <c r="I983" s="167"/>
      <c r="J983" s="167"/>
    </row>
    <row r="984" spans="2:10" x14ac:dyDescent="0.25">
      <c r="B984" s="169">
        <f t="shared" si="31"/>
        <v>0.50334190231363785</v>
      </c>
      <c r="C984">
        <v>2196</v>
      </c>
      <c r="E984">
        <v>1</v>
      </c>
      <c r="F984">
        <v>1</v>
      </c>
      <c r="G984" s="15">
        <v>1</v>
      </c>
      <c r="H984" s="167">
        <f t="shared" si="30"/>
        <v>5.1413881748071976E-4</v>
      </c>
      <c r="I984" s="167"/>
      <c r="J984" s="167"/>
    </row>
    <row r="985" spans="2:10" x14ac:dyDescent="0.25">
      <c r="B985" s="169">
        <f t="shared" si="31"/>
        <v>0.50385604113111859</v>
      </c>
      <c r="C985">
        <v>5754</v>
      </c>
      <c r="E985">
        <v>1</v>
      </c>
      <c r="F985">
        <v>1</v>
      </c>
      <c r="G985" s="15">
        <v>1</v>
      </c>
      <c r="H985" s="167">
        <f t="shared" si="30"/>
        <v>5.1413881748071976E-4</v>
      </c>
      <c r="I985" s="167"/>
      <c r="J985" s="167"/>
    </row>
    <row r="986" spans="2:10" x14ac:dyDescent="0.25">
      <c r="B986" s="169">
        <f t="shared" si="31"/>
        <v>0.50437017994859934</v>
      </c>
      <c r="C986">
        <v>1914</v>
      </c>
      <c r="E986">
        <v>58</v>
      </c>
      <c r="F986">
        <v>58</v>
      </c>
      <c r="G986" s="15">
        <v>1</v>
      </c>
      <c r="H986" s="167">
        <f t="shared" si="30"/>
        <v>5.1413881748071976E-4</v>
      </c>
      <c r="I986" s="167"/>
      <c r="J986" s="167"/>
    </row>
    <row r="987" spans="2:10" x14ac:dyDescent="0.25">
      <c r="B987" s="169">
        <f t="shared" si="31"/>
        <v>0.50488431876608009</v>
      </c>
      <c r="C987">
        <v>5755</v>
      </c>
      <c r="E987">
        <v>1</v>
      </c>
      <c r="F987">
        <v>1</v>
      </c>
      <c r="G987" s="15">
        <v>1</v>
      </c>
      <c r="H987" s="167">
        <f t="shared" si="30"/>
        <v>5.1413881748071976E-4</v>
      </c>
      <c r="I987" s="167"/>
      <c r="J987" s="167"/>
    </row>
    <row r="988" spans="2:10" x14ac:dyDescent="0.25">
      <c r="B988" s="169">
        <f t="shared" si="31"/>
        <v>0.50539845758356083</v>
      </c>
      <c r="C988">
        <v>5756</v>
      </c>
      <c r="E988">
        <v>1</v>
      </c>
      <c r="F988">
        <v>1</v>
      </c>
      <c r="G988" s="15">
        <v>1</v>
      </c>
      <c r="H988" s="167">
        <f t="shared" si="30"/>
        <v>5.1413881748071976E-4</v>
      </c>
      <c r="I988" s="167"/>
      <c r="J988" s="167"/>
    </row>
    <row r="989" spans="2:10" x14ac:dyDescent="0.25">
      <c r="B989" s="169">
        <f t="shared" si="31"/>
        <v>0.50591259640104158</v>
      </c>
      <c r="C989">
        <v>6109</v>
      </c>
      <c r="E989">
        <v>7</v>
      </c>
      <c r="F989">
        <v>7</v>
      </c>
      <c r="G989" s="15">
        <v>1</v>
      </c>
      <c r="H989" s="167">
        <f t="shared" si="30"/>
        <v>5.1413881748071976E-4</v>
      </c>
      <c r="I989" s="167"/>
      <c r="J989" s="167"/>
    </row>
    <row r="990" spans="2:10" x14ac:dyDescent="0.25">
      <c r="B990" s="169">
        <f t="shared" si="31"/>
        <v>0.50642673521852233</v>
      </c>
      <c r="C990">
        <v>3585</v>
      </c>
      <c r="E990">
        <v>1</v>
      </c>
      <c r="F990">
        <v>1</v>
      </c>
      <c r="G990" s="15">
        <v>1</v>
      </c>
      <c r="H990" s="167">
        <f t="shared" si="30"/>
        <v>5.1413881748071976E-4</v>
      </c>
      <c r="I990" s="167"/>
      <c r="J990" s="167"/>
    </row>
    <row r="991" spans="2:10" x14ac:dyDescent="0.25">
      <c r="B991" s="169">
        <f t="shared" si="31"/>
        <v>0.50694087403600308</v>
      </c>
      <c r="C991">
        <v>6452</v>
      </c>
      <c r="E991">
        <v>13</v>
      </c>
      <c r="F991">
        <v>13</v>
      </c>
      <c r="G991" s="15">
        <v>1</v>
      </c>
      <c r="H991" s="167">
        <f t="shared" si="30"/>
        <v>5.1413881748071976E-4</v>
      </c>
      <c r="I991" s="167"/>
      <c r="J991" s="167"/>
    </row>
    <row r="992" spans="2:10" x14ac:dyDescent="0.25">
      <c r="B992" s="169">
        <f t="shared" si="31"/>
        <v>0.50745501285348382</v>
      </c>
      <c r="C992">
        <v>6453</v>
      </c>
      <c r="E992">
        <v>13</v>
      </c>
      <c r="F992">
        <v>13</v>
      </c>
      <c r="G992" s="15">
        <v>1</v>
      </c>
      <c r="H992" s="167">
        <f t="shared" si="30"/>
        <v>5.1413881748071976E-4</v>
      </c>
      <c r="I992" s="167"/>
      <c r="J992" s="167"/>
    </row>
    <row r="993" spans="2:10" x14ac:dyDescent="0.25">
      <c r="B993" s="169">
        <f t="shared" si="31"/>
        <v>0.50796915167096457</v>
      </c>
      <c r="C993">
        <v>3806</v>
      </c>
      <c r="E993">
        <v>2</v>
      </c>
      <c r="F993">
        <v>2</v>
      </c>
      <c r="G993" s="15">
        <v>1</v>
      </c>
      <c r="H993" s="167">
        <f t="shared" si="30"/>
        <v>5.1413881748071976E-4</v>
      </c>
      <c r="I993" s="167"/>
      <c r="J993" s="167"/>
    </row>
    <row r="994" spans="2:10" x14ac:dyDescent="0.25">
      <c r="B994" s="169">
        <f t="shared" si="31"/>
        <v>0.50848329048844532</v>
      </c>
      <c r="C994">
        <v>6130</v>
      </c>
      <c r="E994">
        <v>6</v>
      </c>
      <c r="F994">
        <v>6</v>
      </c>
      <c r="G994" s="15">
        <v>1</v>
      </c>
      <c r="H994" s="167">
        <f t="shared" si="30"/>
        <v>5.1413881748071976E-4</v>
      </c>
      <c r="I994" s="167"/>
      <c r="J994" s="167"/>
    </row>
    <row r="995" spans="2:10" x14ac:dyDescent="0.25">
      <c r="B995" s="169">
        <f t="shared" si="31"/>
        <v>0.50899742930592606</v>
      </c>
      <c r="C995">
        <v>6497</v>
      </c>
      <c r="E995">
        <v>100</v>
      </c>
      <c r="F995">
        <v>100</v>
      </c>
      <c r="G995" s="15">
        <v>1</v>
      </c>
      <c r="H995" s="167">
        <f t="shared" si="30"/>
        <v>5.1413881748071976E-4</v>
      </c>
      <c r="I995" s="167"/>
      <c r="J995" s="167"/>
    </row>
    <row r="996" spans="2:10" x14ac:dyDescent="0.25">
      <c r="B996" s="169">
        <f t="shared" si="31"/>
        <v>0.50951156812340681</v>
      </c>
      <c r="C996">
        <v>638</v>
      </c>
      <c r="E996">
        <v>1</v>
      </c>
      <c r="F996">
        <v>1</v>
      </c>
      <c r="G996" s="15">
        <v>1</v>
      </c>
      <c r="H996" s="167">
        <f t="shared" si="30"/>
        <v>5.1413881748071976E-4</v>
      </c>
      <c r="I996" s="167"/>
      <c r="J996" s="167"/>
    </row>
    <row r="997" spans="2:10" x14ac:dyDescent="0.25">
      <c r="B997" s="169">
        <f t="shared" si="31"/>
        <v>0.51002570694088756</v>
      </c>
      <c r="C997">
        <v>6077</v>
      </c>
      <c r="E997">
        <v>1</v>
      </c>
      <c r="F997">
        <v>1</v>
      </c>
      <c r="G997" s="15">
        <v>1</v>
      </c>
      <c r="H997" s="167">
        <f t="shared" si="30"/>
        <v>5.1413881748071976E-4</v>
      </c>
      <c r="I997" s="167"/>
      <c r="J997" s="167"/>
    </row>
    <row r="998" spans="2:10" x14ac:dyDescent="0.25">
      <c r="B998" s="169">
        <f t="shared" si="31"/>
        <v>0.5105398457583683</v>
      </c>
      <c r="C998">
        <v>6110</v>
      </c>
      <c r="E998">
        <v>7</v>
      </c>
      <c r="F998">
        <v>7</v>
      </c>
      <c r="G998" s="15">
        <v>1</v>
      </c>
      <c r="H998" s="167">
        <f t="shared" si="30"/>
        <v>5.1413881748071976E-4</v>
      </c>
      <c r="I998" s="167"/>
      <c r="J998" s="167"/>
    </row>
    <row r="999" spans="2:10" x14ac:dyDescent="0.25">
      <c r="B999" s="169">
        <f t="shared" si="31"/>
        <v>0.51105398457584905</v>
      </c>
      <c r="C999">
        <v>6480</v>
      </c>
      <c r="E999">
        <v>75</v>
      </c>
      <c r="F999">
        <v>75</v>
      </c>
      <c r="G999" s="15">
        <v>1</v>
      </c>
      <c r="H999" s="167">
        <f t="shared" si="30"/>
        <v>5.1413881748071976E-4</v>
      </c>
      <c r="I999" s="167"/>
      <c r="J999" s="167"/>
    </row>
    <row r="1000" spans="2:10" x14ac:dyDescent="0.25">
      <c r="B1000" s="169">
        <f t="shared" si="31"/>
        <v>0.5115681233933298</v>
      </c>
      <c r="C1000">
        <v>5925</v>
      </c>
      <c r="E1000">
        <v>42</v>
      </c>
      <c r="F1000">
        <v>42</v>
      </c>
      <c r="G1000" s="15">
        <v>1</v>
      </c>
      <c r="H1000" s="167">
        <f t="shared" si="30"/>
        <v>5.1413881748071976E-4</v>
      </c>
      <c r="I1000" s="167"/>
      <c r="J1000" s="167"/>
    </row>
    <row r="1001" spans="2:10" x14ac:dyDescent="0.25">
      <c r="B1001" s="169">
        <f t="shared" si="31"/>
        <v>0.51208226221081055</v>
      </c>
      <c r="C1001">
        <v>6112</v>
      </c>
      <c r="E1001">
        <v>2</v>
      </c>
      <c r="F1001">
        <v>2</v>
      </c>
      <c r="G1001" s="15">
        <v>1</v>
      </c>
      <c r="H1001" s="167">
        <f t="shared" si="30"/>
        <v>5.1413881748071976E-4</v>
      </c>
      <c r="I1001" s="167"/>
      <c r="J1001" s="167"/>
    </row>
    <row r="1002" spans="2:10" x14ac:dyDescent="0.25">
      <c r="B1002" s="169">
        <f t="shared" si="31"/>
        <v>0.51259640102829129</v>
      </c>
      <c r="C1002">
        <v>6455</v>
      </c>
      <c r="E1002">
        <v>41</v>
      </c>
      <c r="F1002">
        <v>41</v>
      </c>
      <c r="G1002" s="15">
        <v>1</v>
      </c>
      <c r="H1002" s="167">
        <f t="shared" si="30"/>
        <v>5.1413881748071976E-4</v>
      </c>
      <c r="I1002" s="167"/>
      <c r="J1002" s="167"/>
    </row>
    <row r="1003" spans="2:10" x14ac:dyDescent="0.25">
      <c r="B1003" s="169">
        <f t="shared" si="31"/>
        <v>0.51311053984577204</v>
      </c>
      <c r="C1003">
        <v>6132</v>
      </c>
      <c r="E1003">
        <v>10</v>
      </c>
      <c r="F1003">
        <v>10</v>
      </c>
      <c r="G1003" s="15">
        <v>1</v>
      </c>
      <c r="H1003" s="167">
        <f t="shared" si="30"/>
        <v>5.1413881748071976E-4</v>
      </c>
      <c r="I1003" s="167"/>
      <c r="J1003" s="167"/>
    </row>
    <row r="1004" spans="2:10" x14ac:dyDescent="0.25">
      <c r="B1004" s="169">
        <f t="shared" si="31"/>
        <v>0.51362467866325279</v>
      </c>
      <c r="C1004">
        <v>6456</v>
      </c>
      <c r="E1004">
        <v>18</v>
      </c>
      <c r="F1004">
        <v>18</v>
      </c>
      <c r="G1004" s="15">
        <v>1</v>
      </c>
      <c r="H1004" s="167">
        <f t="shared" si="30"/>
        <v>5.1413881748071976E-4</v>
      </c>
      <c r="I1004" s="167"/>
      <c r="J1004" s="167"/>
    </row>
    <row r="1005" spans="2:10" x14ac:dyDescent="0.25">
      <c r="B1005" s="169">
        <f t="shared" si="31"/>
        <v>0.51413881748073353</v>
      </c>
      <c r="C1005">
        <v>6392</v>
      </c>
      <c r="E1005">
        <v>1</v>
      </c>
      <c r="F1005">
        <v>1</v>
      </c>
      <c r="G1005" s="15">
        <v>1</v>
      </c>
      <c r="H1005" s="167">
        <f t="shared" si="30"/>
        <v>5.1413881748071976E-4</v>
      </c>
      <c r="I1005" s="167"/>
      <c r="J1005" s="167"/>
    </row>
    <row r="1006" spans="2:10" x14ac:dyDescent="0.25">
      <c r="B1006" s="169">
        <f t="shared" si="31"/>
        <v>0.51465295629821428</v>
      </c>
      <c r="C1006">
        <v>3586</v>
      </c>
      <c r="E1006">
        <v>1</v>
      </c>
      <c r="F1006">
        <v>1</v>
      </c>
      <c r="G1006" s="15">
        <v>1</v>
      </c>
      <c r="H1006" s="167">
        <f t="shared" si="30"/>
        <v>5.1413881748071976E-4</v>
      </c>
      <c r="I1006" s="167"/>
      <c r="J1006" s="167"/>
    </row>
    <row r="1007" spans="2:10" x14ac:dyDescent="0.25">
      <c r="B1007" s="169">
        <f t="shared" si="31"/>
        <v>0.51516709511569503</v>
      </c>
      <c r="C1007">
        <v>6536</v>
      </c>
      <c r="E1007">
        <v>45</v>
      </c>
      <c r="F1007">
        <v>45</v>
      </c>
      <c r="G1007" s="15">
        <v>1</v>
      </c>
      <c r="H1007" s="167">
        <f t="shared" si="30"/>
        <v>5.1413881748071976E-4</v>
      </c>
      <c r="I1007" s="167"/>
      <c r="J1007" s="167"/>
    </row>
    <row r="1008" spans="2:10" x14ac:dyDescent="0.25">
      <c r="B1008" s="169">
        <f t="shared" si="31"/>
        <v>0.51568123393317578</v>
      </c>
      <c r="C1008">
        <v>6549</v>
      </c>
      <c r="E1008">
        <v>146</v>
      </c>
      <c r="F1008">
        <v>146</v>
      </c>
      <c r="G1008" s="15">
        <v>1</v>
      </c>
      <c r="H1008" s="167">
        <f t="shared" si="30"/>
        <v>5.1413881748071976E-4</v>
      </c>
      <c r="I1008" s="167"/>
      <c r="J1008" s="167"/>
    </row>
    <row r="1009" spans="2:10" x14ac:dyDescent="0.25">
      <c r="B1009" s="169">
        <f t="shared" si="31"/>
        <v>0.51619537275065652</v>
      </c>
      <c r="C1009">
        <v>6550</v>
      </c>
      <c r="E1009">
        <v>104</v>
      </c>
      <c r="F1009">
        <v>104</v>
      </c>
      <c r="G1009" s="15">
        <v>1</v>
      </c>
      <c r="H1009" s="167">
        <f t="shared" si="30"/>
        <v>5.1413881748071976E-4</v>
      </c>
      <c r="I1009" s="167"/>
      <c r="J1009" s="167"/>
    </row>
    <row r="1010" spans="2:10" x14ac:dyDescent="0.25">
      <c r="B1010" s="169">
        <f t="shared" si="31"/>
        <v>0.51670951156813727</v>
      </c>
      <c r="C1010">
        <v>6457</v>
      </c>
      <c r="E1010">
        <v>23</v>
      </c>
      <c r="F1010">
        <v>23</v>
      </c>
      <c r="G1010" s="15">
        <v>1</v>
      </c>
      <c r="H1010" s="167">
        <f t="shared" si="30"/>
        <v>5.1413881748071976E-4</v>
      </c>
      <c r="I1010" s="167"/>
      <c r="J1010" s="167"/>
    </row>
    <row r="1011" spans="2:10" x14ac:dyDescent="0.25">
      <c r="B1011" s="169">
        <f t="shared" si="31"/>
        <v>0.51722365038561802</v>
      </c>
      <c r="C1011">
        <v>6458</v>
      </c>
      <c r="E1011">
        <v>32</v>
      </c>
      <c r="F1011">
        <v>32</v>
      </c>
      <c r="G1011" s="15">
        <v>1</v>
      </c>
      <c r="H1011" s="167">
        <f t="shared" si="30"/>
        <v>5.1413881748071976E-4</v>
      </c>
      <c r="I1011" s="167"/>
      <c r="J1011" s="167"/>
    </row>
    <row r="1012" spans="2:10" x14ac:dyDescent="0.25">
      <c r="B1012" s="169">
        <f t="shared" si="31"/>
        <v>0.51773778920309876</v>
      </c>
      <c r="C1012">
        <v>6459</v>
      </c>
      <c r="E1012">
        <v>21</v>
      </c>
      <c r="F1012">
        <v>21</v>
      </c>
      <c r="G1012" s="15">
        <v>1</v>
      </c>
      <c r="H1012" s="167">
        <f t="shared" si="30"/>
        <v>5.1413881748071976E-4</v>
      </c>
      <c r="I1012" s="167"/>
      <c r="J1012" s="167"/>
    </row>
    <row r="1013" spans="2:10" x14ac:dyDescent="0.25">
      <c r="B1013" s="169">
        <f t="shared" si="31"/>
        <v>0.51825192802057951</v>
      </c>
      <c r="C1013">
        <v>6460</v>
      </c>
      <c r="E1013">
        <v>28</v>
      </c>
      <c r="F1013">
        <v>28</v>
      </c>
      <c r="G1013" s="15">
        <v>1</v>
      </c>
      <c r="H1013" s="167">
        <f t="shared" si="30"/>
        <v>5.1413881748071976E-4</v>
      </c>
      <c r="I1013" s="167"/>
      <c r="J1013" s="167"/>
    </row>
    <row r="1014" spans="2:10" x14ac:dyDescent="0.25">
      <c r="B1014" s="169">
        <f t="shared" si="31"/>
        <v>0.51876606683806026</v>
      </c>
      <c r="C1014">
        <v>3802</v>
      </c>
      <c r="E1014">
        <v>3</v>
      </c>
      <c r="F1014">
        <v>3</v>
      </c>
      <c r="G1014" s="15">
        <v>1</v>
      </c>
      <c r="H1014" s="167">
        <f t="shared" si="30"/>
        <v>5.1413881748071976E-4</v>
      </c>
      <c r="I1014" s="167"/>
      <c r="J1014" s="167"/>
    </row>
    <row r="1015" spans="2:10" x14ac:dyDescent="0.25">
      <c r="B1015" s="169">
        <f t="shared" si="31"/>
        <v>0.51928020565554101</v>
      </c>
      <c r="C1015">
        <v>6461</v>
      </c>
      <c r="E1015">
        <v>57</v>
      </c>
      <c r="F1015">
        <v>57</v>
      </c>
      <c r="G1015" s="15">
        <v>1</v>
      </c>
      <c r="H1015" s="167">
        <f t="shared" si="30"/>
        <v>5.1413881748071976E-4</v>
      </c>
      <c r="I1015" s="167"/>
      <c r="J1015" s="167"/>
    </row>
    <row r="1016" spans="2:10" x14ac:dyDescent="0.25">
      <c r="B1016" s="169">
        <f t="shared" si="31"/>
        <v>0.51979434447302175</v>
      </c>
      <c r="C1016">
        <v>2169</v>
      </c>
      <c r="E1016">
        <v>3</v>
      </c>
      <c r="F1016">
        <v>3</v>
      </c>
      <c r="G1016" s="15">
        <v>1</v>
      </c>
      <c r="H1016" s="167">
        <f t="shared" si="30"/>
        <v>5.1413881748071976E-4</v>
      </c>
      <c r="I1016" s="167"/>
      <c r="J1016" s="167"/>
    </row>
    <row r="1017" spans="2:10" x14ac:dyDescent="0.25">
      <c r="B1017" s="169">
        <f t="shared" si="31"/>
        <v>0.5203084832905025</v>
      </c>
      <c r="C1017">
        <v>6546</v>
      </c>
      <c r="E1017">
        <v>155</v>
      </c>
      <c r="F1017">
        <v>155</v>
      </c>
      <c r="G1017" s="15">
        <v>1</v>
      </c>
      <c r="H1017" s="167">
        <f t="shared" si="30"/>
        <v>5.1413881748071976E-4</v>
      </c>
      <c r="I1017" s="167"/>
      <c r="J1017" s="167"/>
    </row>
    <row r="1018" spans="2:10" x14ac:dyDescent="0.25">
      <c r="B1018" s="169">
        <f t="shared" si="31"/>
        <v>0.52082262210798325</v>
      </c>
      <c r="C1018">
        <v>6465</v>
      </c>
      <c r="E1018">
        <v>34</v>
      </c>
      <c r="F1018">
        <v>34</v>
      </c>
      <c r="G1018" s="15">
        <v>1</v>
      </c>
      <c r="H1018" s="167">
        <f t="shared" si="30"/>
        <v>5.1413881748071976E-4</v>
      </c>
      <c r="I1018" s="167"/>
      <c r="J1018" s="167"/>
    </row>
    <row r="1019" spans="2:10" x14ac:dyDescent="0.25">
      <c r="B1019" s="169">
        <f t="shared" si="31"/>
        <v>0.52133676092546399</v>
      </c>
      <c r="C1019">
        <v>6479</v>
      </c>
      <c r="E1019">
        <v>50</v>
      </c>
      <c r="F1019">
        <v>50</v>
      </c>
      <c r="G1019" s="15">
        <v>1</v>
      </c>
      <c r="H1019" s="167">
        <f t="shared" si="30"/>
        <v>5.1413881748071976E-4</v>
      </c>
      <c r="I1019" s="167"/>
      <c r="J1019" s="167"/>
    </row>
    <row r="1020" spans="2:10" x14ac:dyDescent="0.25">
      <c r="B1020" s="169">
        <f t="shared" si="31"/>
        <v>0.52185089974294474</v>
      </c>
      <c r="C1020">
        <v>5921</v>
      </c>
      <c r="E1020">
        <v>6</v>
      </c>
      <c r="F1020">
        <v>6</v>
      </c>
      <c r="G1020" s="15">
        <v>1</v>
      </c>
      <c r="H1020" s="167">
        <f t="shared" si="30"/>
        <v>5.1413881748071976E-4</v>
      </c>
      <c r="I1020" s="167"/>
      <c r="J1020" s="167"/>
    </row>
    <row r="1021" spans="2:10" x14ac:dyDescent="0.25">
      <c r="B1021" s="169">
        <f t="shared" si="31"/>
        <v>0.52236503856042549</v>
      </c>
      <c r="C1021">
        <v>3956</v>
      </c>
      <c r="E1021">
        <v>3</v>
      </c>
      <c r="F1021">
        <v>3</v>
      </c>
      <c r="G1021" s="15">
        <v>1</v>
      </c>
      <c r="H1021" s="167">
        <f t="shared" si="30"/>
        <v>5.1413881748071976E-4</v>
      </c>
      <c r="I1021" s="167"/>
      <c r="J1021" s="167"/>
    </row>
    <row r="1022" spans="2:10" x14ac:dyDescent="0.25">
      <c r="B1022" s="169">
        <f t="shared" si="31"/>
        <v>0.52287917737790623</v>
      </c>
      <c r="C1022">
        <v>2170</v>
      </c>
      <c r="E1022">
        <v>3</v>
      </c>
      <c r="F1022">
        <v>3</v>
      </c>
      <c r="G1022" s="15">
        <v>1</v>
      </c>
      <c r="H1022" s="167">
        <f t="shared" si="30"/>
        <v>5.1413881748071976E-4</v>
      </c>
      <c r="I1022" s="167"/>
      <c r="J1022" s="167"/>
    </row>
    <row r="1023" spans="2:10" x14ac:dyDescent="0.25">
      <c r="B1023" s="169">
        <f t="shared" si="31"/>
        <v>0.52339331619538698</v>
      </c>
      <c r="C1023">
        <v>6468</v>
      </c>
      <c r="E1023">
        <v>27</v>
      </c>
      <c r="F1023">
        <v>27</v>
      </c>
      <c r="G1023" s="15">
        <v>1</v>
      </c>
      <c r="H1023" s="167">
        <f t="shared" si="30"/>
        <v>5.1413881748071976E-4</v>
      </c>
      <c r="I1023" s="167"/>
      <c r="J1023" s="167"/>
    </row>
    <row r="1024" spans="2:10" x14ac:dyDescent="0.25">
      <c r="B1024" s="169">
        <f t="shared" si="31"/>
        <v>0.52390745501286773</v>
      </c>
      <c r="C1024">
        <v>6134</v>
      </c>
      <c r="E1024">
        <v>22</v>
      </c>
      <c r="F1024">
        <v>22</v>
      </c>
      <c r="G1024" s="15">
        <v>1</v>
      </c>
      <c r="H1024" s="167">
        <f t="shared" si="30"/>
        <v>5.1413881748071976E-4</v>
      </c>
      <c r="I1024" s="167"/>
      <c r="J1024" s="167"/>
    </row>
    <row r="1025" spans="2:10" x14ac:dyDescent="0.25">
      <c r="B1025" s="169">
        <f t="shared" si="31"/>
        <v>0.52442159383034848</v>
      </c>
      <c r="C1025">
        <v>5922</v>
      </c>
      <c r="E1025">
        <v>12</v>
      </c>
      <c r="F1025">
        <v>12</v>
      </c>
      <c r="G1025" s="15">
        <v>1</v>
      </c>
      <c r="H1025" s="167">
        <f t="shared" si="30"/>
        <v>5.1413881748071976E-4</v>
      </c>
      <c r="I1025" s="167"/>
      <c r="J1025" s="167"/>
    </row>
    <row r="1026" spans="2:10" x14ac:dyDescent="0.25">
      <c r="B1026" s="169">
        <f t="shared" si="31"/>
        <v>0.52493573264782922</v>
      </c>
      <c r="C1026">
        <v>6116</v>
      </c>
      <c r="E1026">
        <v>20</v>
      </c>
      <c r="F1026">
        <v>20</v>
      </c>
      <c r="G1026" s="15">
        <v>1</v>
      </c>
      <c r="H1026" s="167">
        <f t="shared" si="30"/>
        <v>5.1413881748071976E-4</v>
      </c>
      <c r="I1026" s="167"/>
      <c r="J1026" s="167"/>
    </row>
    <row r="1027" spans="2:10" x14ac:dyDescent="0.25">
      <c r="B1027" s="169">
        <f t="shared" si="31"/>
        <v>0.52544987146530997</v>
      </c>
      <c r="C1027">
        <v>6469</v>
      </c>
      <c r="E1027">
        <v>3</v>
      </c>
      <c r="F1027">
        <v>3</v>
      </c>
      <c r="G1027" s="15">
        <v>1</v>
      </c>
      <c r="H1027" s="167">
        <f t="shared" si="30"/>
        <v>5.1413881748071976E-4</v>
      </c>
      <c r="I1027" s="167"/>
      <c r="J1027" s="167"/>
    </row>
    <row r="1028" spans="2:10" x14ac:dyDescent="0.25">
      <c r="B1028" s="169">
        <f t="shared" si="31"/>
        <v>0.52596401028279072</v>
      </c>
      <c r="C1028">
        <v>6537</v>
      </c>
      <c r="E1028">
        <v>53</v>
      </c>
      <c r="F1028">
        <v>53</v>
      </c>
      <c r="G1028" s="15">
        <v>1</v>
      </c>
      <c r="H1028" s="167">
        <f t="shared" si="30"/>
        <v>5.1413881748071976E-4</v>
      </c>
      <c r="I1028" s="167"/>
      <c r="J1028" s="167"/>
    </row>
    <row r="1029" spans="2:10" x14ac:dyDescent="0.25">
      <c r="B1029" s="169">
        <f t="shared" si="31"/>
        <v>0.52647814910027146</v>
      </c>
      <c r="C1029">
        <v>6075</v>
      </c>
      <c r="E1029">
        <v>1</v>
      </c>
      <c r="F1029">
        <v>1</v>
      </c>
      <c r="G1029" s="15">
        <v>1</v>
      </c>
      <c r="H1029" s="167">
        <f t="shared" si="30"/>
        <v>5.1413881748071976E-4</v>
      </c>
      <c r="I1029" s="167"/>
      <c r="J1029" s="167"/>
    </row>
    <row r="1030" spans="2:10" x14ac:dyDescent="0.25">
      <c r="B1030" s="169">
        <f t="shared" si="31"/>
        <v>0.52699228791775221</v>
      </c>
      <c r="C1030">
        <v>6030</v>
      </c>
      <c r="E1030">
        <v>2</v>
      </c>
      <c r="F1030">
        <v>2</v>
      </c>
      <c r="G1030" s="15">
        <v>1</v>
      </c>
      <c r="H1030" s="167">
        <f t="shared" ref="H1030:H1093" si="32">1/$L$6</f>
        <v>5.1413881748071976E-4</v>
      </c>
      <c r="I1030" s="167"/>
      <c r="J1030" s="167"/>
    </row>
    <row r="1031" spans="2:10" x14ac:dyDescent="0.25">
      <c r="B1031" s="169">
        <f t="shared" ref="B1031:B1094" si="33">B1030+H1031</f>
        <v>0.52750642673523296</v>
      </c>
      <c r="C1031">
        <v>6544</v>
      </c>
      <c r="E1031">
        <v>37</v>
      </c>
      <c r="F1031">
        <v>37</v>
      </c>
      <c r="G1031" s="15">
        <v>1</v>
      </c>
      <c r="H1031" s="167">
        <f t="shared" si="32"/>
        <v>5.1413881748071976E-4</v>
      </c>
      <c r="I1031" s="167"/>
      <c r="J1031" s="167"/>
    </row>
    <row r="1032" spans="2:10" x14ac:dyDescent="0.25">
      <c r="B1032" s="169">
        <f t="shared" si="33"/>
        <v>0.52802056555271371</v>
      </c>
      <c r="C1032">
        <v>3587</v>
      </c>
      <c r="E1032">
        <v>1</v>
      </c>
      <c r="F1032">
        <v>1</v>
      </c>
      <c r="G1032" s="15">
        <v>1</v>
      </c>
      <c r="H1032" s="167">
        <f t="shared" si="32"/>
        <v>5.1413881748071976E-4</v>
      </c>
      <c r="I1032" s="167"/>
      <c r="J1032" s="167"/>
    </row>
    <row r="1033" spans="2:10" x14ac:dyDescent="0.25">
      <c r="B1033" s="169">
        <f t="shared" si="33"/>
        <v>0.52853470437019445</v>
      </c>
      <c r="C1033">
        <v>6113</v>
      </c>
      <c r="E1033">
        <v>1</v>
      </c>
      <c r="F1033">
        <v>1</v>
      </c>
      <c r="G1033" s="15">
        <v>1</v>
      </c>
      <c r="H1033" s="167">
        <f t="shared" si="32"/>
        <v>5.1413881748071976E-4</v>
      </c>
      <c r="I1033" s="167"/>
      <c r="J1033" s="167"/>
    </row>
    <row r="1034" spans="2:10" x14ac:dyDescent="0.25">
      <c r="B1034" s="169">
        <f t="shared" si="33"/>
        <v>0.5290488431876752</v>
      </c>
      <c r="C1034">
        <v>6473</v>
      </c>
      <c r="E1034">
        <v>3</v>
      </c>
      <c r="F1034">
        <v>3</v>
      </c>
      <c r="G1034" s="15">
        <v>1</v>
      </c>
      <c r="H1034" s="167">
        <f t="shared" si="32"/>
        <v>5.1413881748071976E-4</v>
      </c>
      <c r="I1034" s="167"/>
      <c r="J1034" s="167"/>
    </row>
    <row r="1035" spans="2:10" x14ac:dyDescent="0.25">
      <c r="B1035" s="169">
        <f t="shared" si="33"/>
        <v>0.52956298200515595</v>
      </c>
      <c r="C1035">
        <v>5484</v>
      </c>
      <c r="E1035">
        <v>5</v>
      </c>
      <c r="F1035">
        <v>5</v>
      </c>
      <c r="G1035" s="15">
        <v>1</v>
      </c>
      <c r="H1035" s="167">
        <f t="shared" si="32"/>
        <v>5.1413881748071976E-4</v>
      </c>
      <c r="I1035" s="167"/>
      <c r="J1035" s="167"/>
    </row>
    <row r="1036" spans="2:10" x14ac:dyDescent="0.25">
      <c r="B1036" s="169">
        <f t="shared" si="33"/>
        <v>0.53007712082263669</v>
      </c>
      <c r="C1036">
        <v>6391</v>
      </c>
      <c r="E1036">
        <v>1</v>
      </c>
      <c r="F1036">
        <v>1</v>
      </c>
      <c r="G1036" s="15">
        <v>1</v>
      </c>
      <c r="H1036" s="167">
        <f t="shared" si="32"/>
        <v>5.1413881748071976E-4</v>
      </c>
      <c r="I1036" s="167"/>
      <c r="J1036" s="167"/>
    </row>
    <row r="1037" spans="2:10" x14ac:dyDescent="0.25">
      <c r="B1037" s="169">
        <f t="shared" si="33"/>
        <v>0.53059125964011744</v>
      </c>
      <c r="C1037">
        <v>6547</v>
      </c>
      <c r="E1037">
        <v>81</v>
      </c>
      <c r="F1037">
        <v>81</v>
      </c>
      <c r="G1037" s="15">
        <v>1</v>
      </c>
      <c r="H1037" s="167">
        <f t="shared" si="32"/>
        <v>5.1413881748071976E-4</v>
      </c>
      <c r="I1037" s="167"/>
      <c r="J1037" s="167"/>
    </row>
    <row r="1038" spans="2:10" x14ac:dyDescent="0.25">
      <c r="B1038" s="169">
        <f t="shared" si="33"/>
        <v>0.53110539845759819</v>
      </c>
      <c r="C1038">
        <v>6573</v>
      </c>
      <c r="E1038">
        <v>1</v>
      </c>
      <c r="F1038">
        <v>1</v>
      </c>
      <c r="G1038" s="15">
        <v>1</v>
      </c>
      <c r="H1038" s="167">
        <f t="shared" si="32"/>
        <v>5.1413881748071976E-4</v>
      </c>
      <c r="I1038" s="167"/>
      <c r="J1038" s="167"/>
    </row>
    <row r="1039" spans="2:10" x14ac:dyDescent="0.25">
      <c r="B1039" s="169">
        <f t="shared" si="33"/>
        <v>0.53161953727507893</v>
      </c>
      <c r="C1039">
        <v>6520</v>
      </c>
      <c r="E1039">
        <v>4</v>
      </c>
      <c r="F1039">
        <v>4</v>
      </c>
      <c r="G1039" s="15">
        <v>1</v>
      </c>
      <c r="H1039" s="167">
        <f t="shared" si="32"/>
        <v>5.1413881748071976E-4</v>
      </c>
      <c r="I1039" s="167"/>
      <c r="J1039" s="167"/>
    </row>
    <row r="1040" spans="2:10" x14ac:dyDescent="0.25">
      <c r="B1040" s="169">
        <f t="shared" si="33"/>
        <v>0.53213367609255968</v>
      </c>
      <c r="C1040">
        <v>6538</v>
      </c>
      <c r="E1040">
        <v>71</v>
      </c>
      <c r="F1040">
        <v>71</v>
      </c>
      <c r="G1040" s="15">
        <v>1</v>
      </c>
      <c r="H1040" s="167">
        <f t="shared" si="32"/>
        <v>5.1413881748071976E-4</v>
      </c>
      <c r="I1040" s="167"/>
      <c r="J1040" s="167"/>
    </row>
    <row r="1041" spans="2:10" x14ac:dyDescent="0.25">
      <c r="B1041" s="169">
        <f t="shared" si="33"/>
        <v>0.53264781491004043</v>
      </c>
      <c r="C1041">
        <v>6474</v>
      </c>
      <c r="E1041">
        <v>4</v>
      </c>
      <c r="F1041">
        <v>4</v>
      </c>
      <c r="G1041" s="15">
        <v>1</v>
      </c>
      <c r="H1041" s="167">
        <f t="shared" si="32"/>
        <v>5.1413881748071976E-4</v>
      </c>
      <c r="I1041" s="167"/>
      <c r="J1041" s="167"/>
    </row>
    <row r="1042" spans="2:10" x14ac:dyDescent="0.25">
      <c r="B1042" s="169">
        <f t="shared" si="33"/>
        <v>0.53316195372752118</v>
      </c>
      <c r="C1042">
        <v>6574</v>
      </c>
      <c r="E1042">
        <v>3</v>
      </c>
      <c r="F1042">
        <v>3</v>
      </c>
      <c r="G1042" s="15">
        <v>1</v>
      </c>
      <c r="H1042" s="167">
        <f t="shared" si="32"/>
        <v>5.1413881748071976E-4</v>
      </c>
      <c r="I1042" s="167"/>
      <c r="J1042" s="167"/>
    </row>
    <row r="1043" spans="2:10" x14ac:dyDescent="0.25">
      <c r="B1043" s="169">
        <f t="shared" si="33"/>
        <v>0.53367609254500192</v>
      </c>
      <c r="C1043">
        <v>6080</v>
      </c>
      <c r="E1043">
        <v>15</v>
      </c>
      <c r="F1043">
        <v>15</v>
      </c>
      <c r="G1043" s="15">
        <v>1</v>
      </c>
      <c r="H1043" s="167">
        <f t="shared" si="32"/>
        <v>5.1413881748071976E-4</v>
      </c>
      <c r="I1043" s="167"/>
      <c r="J1043" s="167"/>
    </row>
    <row r="1044" spans="2:10" x14ac:dyDescent="0.25">
      <c r="B1044" s="169">
        <f t="shared" si="33"/>
        <v>0.53419023136248267</v>
      </c>
      <c r="C1044">
        <v>6539</v>
      </c>
      <c r="E1044">
        <v>89</v>
      </c>
      <c r="F1044">
        <v>89</v>
      </c>
      <c r="G1044" s="15">
        <v>1</v>
      </c>
      <c r="H1044" s="167">
        <f t="shared" si="32"/>
        <v>5.1413881748071976E-4</v>
      </c>
      <c r="I1044" s="167"/>
      <c r="J1044" s="167"/>
    </row>
    <row r="1045" spans="2:10" x14ac:dyDescent="0.25">
      <c r="B1045" s="169">
        <f t="shared" si="33"/>
        <v>0.53470437017996342</v>
      </c>
      <c r="C1045">
        <v>3910</v>
      </c>
      <c r="E1045">
        <v>5</v>
      </c>
      <c r="F1045">
        <v>5</v>
      </c>
      <c r="G1045" s="15">
        <v>1</v>
      </c>
      <c r="H1045" s="167">
        <f t="shared" si="32"/>
        <v>5.1413881748071976E-4</v>
      </c>
      <c r="I1045" s="167"/>
      <c r="J1045" s="167"/>
    </row>
    <row r="1046" spans="2:10" x14ac:dyDescent="0.25">
      <c r="B1046" s="169">
        <f t="shared" si="33"/>
        <v>0.53521850899744416</v>
      </c>
      <c r="C1046">
        <v>6493</v>
      </c>
      <c r="E1046">
        <v>51</v>
      </c>
      <c r="F1046">
        <v>51</v>
      </c>
      <c r="G1046" s="15">
        <v>1</v>
      </c>
      <c r="H1046" s="167">
        <f t="shared" si="32"/>
        <v>5.1413881748071976E-4</v>
      </c>
      <c r="I1046" s="167"/>
      <c r="J1046" s="167"/>
    </row>
    <row r="1047" spans="2:10" x14ac:dyDescent="0.25">
      <c r="B1047" s="169">
        <f t="shared" si="33"/>
        <v>0.53573264781492491</v>
      </c>
      <c r="C1047">
        <v>2052</v>
      </c>
      <c r="E1047">
        <v>2</v>
      </c>
      <c r="F1047">
        <v>2</v>
      </c>
      <c r="G1047" s="15">
        <v>1</v>
      </c>
      <c r="H1047" s="167">
        <f t="shared" si="32"/>
        <v>5.1413881748071976E-4</v>
      </c>
      <c r="I1047" s="167"/>
      <c r="J1047" s="167"/>
    </row>
    <row r="1048" spans="2:10" x14ac:dyDescent="0.25">
      <c r="B1048" s="169">
        <f t="shared" si="33"/>
        <v>0.53624678663240566</v>
      </c>
      <c r="C1048">
        <v>6475</v>
      </c>
      <c r="E1048">
        <v>6</v>
      </c>
      <c r="F1048">
        <v>6</v>
      </c>
      <c r="G1048" s="15">
        <v>1</v>
      </c>
      <c r="H1048" s="167">
        <f t="shared" si="32"/>
        <v>5.1413881748071976E-4</v>
      </c>
      <c r="I1048" s="167"/>
      <c r="J1048" s="167"/>
    </row>
    <row r="1049" spans="2:10" x14ac:dyDescent="0.25">
      <c r="B1049" s="169">
        <f t="shared" si="33"/>
        <v>0.53676092544988641</v>
      </c>
      <c r="C1049">
        <v>1918</v>
      </c>
      <c r="E1049">
        <v>1</v>
      </c>
      <c r="F1049">
        <v>1</v>
      </c>
      <c r="G1049" s="15">
        <v>1</v>
      </c>
      <c r="H1049" s="167">
        <f t="shared" si="32"/>
        <v>5.1413881748071976E-4</v>
      </c>
      <c r="I1049" s="167"/>
      <c r="J1049" s="167"/>
    </row>
    <row r="1050" spans="2:10" x14ac:dyDescent="0.25">
      <c r="B1050" s="169">
        <f t="shared" si="33"/>
        <v>0.53727506426736715</v>
      </c>
      <c r="C1050">
        <v>1927</v>
      </c>
      <c r="E1050">
        <v>1</v>
      </c>
      <c r="F1050">
        <v>1</v>
      </c>
      <c r="G1050" s="15">
        <v>1</v>
      </c>
      <c r="H1050" s="167">
        <f t="shared" si="32"/>
        <v>5.1413881748071976E-4</v>
      </c>
      <c r="I1050" s="167"/>
      <c r="J1050" s="167"/>
    </row>
    <row r="1051" spans="2:10" x14ac:dyDescent="0.25">
      <c r="B1051" s="169">
        <f t="shared" si="33"/>
        <v>0.5377892030848479</v>
      </c>
      <c r="C1051">
        <v>1936</v>
      </c>
      <c r="E1051">
        <v>1</v>
      </c>
      <c r="F1051">
        <v>1</v>
      </c>
      <c r="G1051" s="15">
        <v>1</v>
      </c>
      <c r="H1051" s="167">
        <f t="shared" si="32"/>
        <v>5.1413881748071976E-4</v>
      </c>
      <c r="I1051" s="167"/>
      <c r="J1051" s="167"/>
    </row>
    <row r="1052" spans="2:10" x14ac:dyDescent="0.25">
      <c r="B1052" s="169">
        <f t="shared" si="33"/>
        <v>0.53830334190232865</v>
      </c>
      <c r="C1052">
        <v>1945</v>
      </c>
      <c r="E1052">
        <v>1</v>
      </c>
      <c r="F1052">
        <v>1</v>
      </c>
      <c r="G1052" s="15">
        <v>1</v>
      </c>
      <c r="H1052" s="167">
        <f t="shared" si="32"/>
        <v>5.1413881748071976E-4</v>
      </c>
      <c r="I1052" s="167"/>
      <c r="J1052" s="167"/>
    </row>
    <row r="1053" spans="2:10" x14ac:dyDescent="0.25">
      <c r="B1053" s="169">
        <f t="shared" si="33"/>
        <v>0.53881748071980939</v>
      </c>
      <c r="C1053">
        <v>4988</v>
      </c>
      <c r="E1053">
        <v>1</v>
      </c>
      <c r="F1053">
        <v>1</v>
      </c>
      <c r="G1053" s="15">
        <v>1</v>
      </c>
      <c r="H1053" s="167">
        <f t="shared" si="32"/>
        <v>5.1413881748071976E-4</v>
      </c>
      <c r="I1053" s="167"/>
      <c r="J1053" s="167"/>
    </row>
    <row r="1054" spans="2:10" x14ac:dyDescent="0.25">
      <c r="B1054" s="169">
        <f t="shared" si="33"/>
        <v>0.53933161953729014</v>
      </c>
      <c r="C1054">
        <v>5983</v>
      </c>
      <c r="E1054">
        <v>10</v>
      </c>
      <c r="F1054">
        <v>10</v>
      </c>
      <c r="G1054" s="15">
        <v>1</v>
      </c>
      <c r="H1054" s="167">
        <f t="shared" si="32"/>
        <v>5.1413881748071976E-4</v>
      </c>
      <c r="I1054" s="167"/>
      <c r="J1054" s="167"/>
    </row>
    <row r="1055" spans="2:10" x14ac:dyDescent="0.25">
      <c r="B1055" s="169">
        <f t="shared" si="33"/>
        <v>0.53984575835477089</v>
      </c>
      <c r="C1055">
        <v>3588</v>
      </c>
      <c r="E1055">
        <v>1</v>
      </c>
      <c r="F1055">
        <v>1</v>
      </c>
      <c r="G1055" s="15">
        <v>1</v>
      </c>
      <c r="H1055" s="167">
        <f t="shared" si="32"/>
        <v>5.1413881748071976E-4</v>
      </c>
      <c r="I1055" s="167"/>
      <c r="J1055" s="167"/>
    </row>
    <row r="1056" spans="2:10" x14ac:dyDescent="0.25">
      <c r="B1056" s="169">
        <f t="shared" si="33"/>
        <v>0.54035989717225164</v>
      </c>
      <c r="C1056">
        <v>4093</v>
      </c>
      <c r="E1056">
        <v>4</v>
      </c>
      <c r="F1056">
        <v>4</v>
      </c>
      <c r="G1056" s="15">
        <v>1</v>
      </c>
      <c r="H1056" s="167">
        <f t="shared" si="32"/>
        <v>5.1413881748071976E-4</v>
      </c>
      <c r="I1056" s="167"/>
      <c r="J1056" s="167"/>
    </row>
    <row r="1057" spans="2:10" x14ac:dyDescent="0.25">
      <c r="B1057" s="169">
        <f t="shared" si="33"/>
        <v>0.54087403598973238</v>
      </c>
      <c r="C1057">
        <v>6477</v>
      </c>
      <c r="E1057">
        <v>18</v>
      </c>
      <c r="F1057">
        <v>18</v>
      </c>
      <c r="G1057" s="15">
        <v>1</v>
      </c>
      <c r="H1057" s="167">
        <f t="shared" si="32"/>
        <v>5.1413881748071976E-4</v>
      </c>
      <c r="I1057" s="167"/>
      <c r="J1057" s="167"/>
    </row>
    <row r="1058" spans="2:10" x14ac:dyDescent="0.25">
      <c r="B1058" s="169">
        <f t="shared" si="33"/>
        <v>0.54138817480721313</v>
      </c>
      <c r="C1058">
        <v>6478</v>
      </c>
      <c r="E1058">
        <v>19</v>
      </c>
      <c r="F1058">
        <v>19</v>
      </c>
      <c r="G1058" s="15">
        <v>1</v>
      </c>
      <c r="H1058" s="167">
        <f t="shared" si="32"/>
        <v>5.1413881748071976E-4</v>
      </c>
      <c r="I1058" s="167"/>
      <c r="J1058" s="167"/>
    </row>
    <row r="1059" spans="2:10" x14ac:dyDescent="0.25">
      <c r="B1059" s="169">
        <f t="shared" si="33"/>
        <v>0.54190231362469388</v>
      </c>
      <c r="C1059">
        <v>6444</v>
      </c>
      <c r="E1059">
        <v>4</v>
      </c>
      <c r="F1059">
        <v>4</v>
      </c>
      <c r="G1059" s="15">
        <v>1</v>
      </c>
      <c r="H1059" s="167">
        <f t="shared" si="32"/>
        <v>5.1413881748071976E-4</v>
      </c>
      <c r="I1059" s="167"/>
      <c r="J1059" s="167"/>
    </row>
    <row r="1060" spans="2:10" x14ac:dyDescent="0.25">
      <c r="B1060" s="169">
        <f t="shared" si="33"/>
        <v>0.54241645244217462</v>
      </c>
      <c r="C1060">
        <v>6521</v>
      </c>
      <c r="E1060">
        <v>19</v>
      </c>
      <c r="F1060">
        <v>19</v>
      </c>
      <c r="G1060" s="15">
        <v>1</v>
      </c>
      <c r="H1060" s="167">
        <f t="shared" si="32"/>
        <v>5.1413881748071976E-4</v>
      </c>
      <c r="I1060" s="167"/>
      <c r="J1060" s="167"/>
    </row>
    <row r="1061" spans="2:10" x14ac:dyDescent="0.25">
      <c r="B1061" s="169">
        <f t="shared" si="33"/>
        <v>0.54293059125965537</v>
      </c>
      <c r="C1061">
        <v>6522</v>
      </c>
      <c r="E1061">
        <v>21</v>
      </c>
      <c r="F1061">
        <v>21</v>
      </c>
      <c r="G1061" s="15">
        <v>1</v>
      </c>
      <c r="H1061" s="167">
        <f t="shared" si="32"/>
        <v>5.1413881748071976E-4</v>
      </c>
      <c r="I1061" s="167"/>
      <c r="J1061" s="167"/>
    </row>
    <row r="1062" spans="2:10" x14ac:dyDescent="0.25">
      <c r="B1062" s="169">
        <f t="shared" si="33"/>
        <v>0.54344473007713612</v>
      </c>
      <c r="C1062">
        <v>6523</v>
      </c>
      <c r="E1062">
        <v>21</v>
      </c>
      <c r="F1062">
        <v>21</v>
      </c>
      <c r="G1062" s="15">
        <v>1</v>
      </c>
      <c r="H1062" s="167">
        <f t="shared" si="32"/>
        <v>5.1413881748071976E-4</v>
      </c>
      <c r="I1062" s="167"/>
      <c r="J1062" s="167"/>
    </row>
    <row r="1063" spans="2:10" x14ac:dyDescent="0.25">
      <c r="B1063" s="169">
        <f t="shared" si="33"/>
        <v>0.54395886889461686</v>
      </c>
      <c r="C1063">
        <v>4016</v>
      </c>
      <c r="E1063">
        <v>15</v>
      </c>
      <c r="F1063">
        <v>15</v>
      </c>
      <c r="G1063" s="15">
        <v>1</v>
      </c>
      <c r="H1063" s="167">
        <f t="shared" si="32"/>
        <v>5.1413881748071976E-4</v>
      </c>
      <c r="I1063" s="167"/>
      <c r="J1063" s="167"/>
    </row>
    <row r="1064" spans="2:10" x14ac:dyDescent="0.25">
      <c r="B1064" s="169">
        <f t="shared" si="33"/>
        <v>0.54447300771209761</v>
      </c>
      <c r="C1064">
        <v>6541</v>
      </c>
      <c r="E1064">
        <v>14</v>
      </c>
      <c r="F1064">
        <v>14</v>
      </c>
      <c r="G1064" s="15">
        <v>1</v>
      </c>
      <c r="H1064" s="167">
        <f t="shared" si="32"/>
        <v>5.1413881748071976E-4</v>
      </c>
      <c r="I1064" s="167"/>
      <c r="J1064" s="167"/>
    </row>
    <row r="1065" spans="2:10" x14ac:dyDescent="0.25">
      <c r="B1065" s="169">
        <f t="shared" si="33"/>
        <v>0.54498714652957836</v>
      </c>
      <c r="C1065">
        <v>5761</v>
      </c>
      <c r="E1065">
        <v>4</v>
      </c>
      <c r="F1065">
        <v>4</v>
      </c>
      <c r="G1065" s="15">
        <v>1</v>
      </c>
      <c r="H1065" s="167">
        <f t="shared" si="32"/>
        <v>5.1413881748071976E-4</v>
      </c>
      <c r="I1065" s="167"/>
      <c r="J1065" s="167"/>
    </row>
    <row r="1066" spans="2:10" x14ac:dyDescent="0.25">
      <c r="B1066" s="169">
        <f t="shared" si="33"/>
        <v>0.54550128534705911</v>
      </c>
      <c r="C1066">
        <v>6575</v>
      </c>
      <c r="E1066">
        <v>1</v>
      </c>
      <c r="F1066">
        <v>1</v>
      </c>
      <c r="G1066" s="15">
        <v>1</v>
      </c>
      <c r="H1066" s="167">
        <f t="shared" si="32"/>
        <v>5.1413881748071976E-4</v>
      </c>
      <c r="I1066" s="167"/>
      <c r="J1066" s="167"/>
    </row>
    <row r="1067" spans="2:10" x14ac:dyDescent="0.25">
      <c r="B1067" s="169">
        <f t="shared" si="33"/>
        <v>0.54601542416453985</v>
      </c>
      <c r="C1067">
        <v>6576</v>
      </c>
      <c r="E1067">
        <v>7</v>
      </c>
      <c r="F1067">
        <v>7</v>
      </c>
      <c r="G1067" s="15">
        <v>1</v>
      </c>
      <c r="H1067" s="167">
        <f t="shared" si="32"/>
        <v>5.1413881748071976E-4</v>
      </c>
      <c r="I1067" s="167"/>
      <c r="J1067" s="167"/>
    </row>
    <row r="1068" spans="2:10" x14ac:dyDescent="0.25">
      <c r="B1068" s="169">
        <f t="shared" si="33"/>
        <v>0.5465295629820206</v>
      </c>
      <c r="C1068">
        <v>6540</v>
      </c>
      <c r="E1068">
        <v>70</v>
      </c>
      <c r="F1068">
        <v>70</v>
      </c>
      <c r="G1068" s="15">
        <v>1</v>
      </c>
      <c r="H1068" s="167">
        <f t="shared" si="32"/>
        <v>5.1413881748071976E-4</v>
      </c>
      <c r="I1068" s="167"/>
      <c r="J1068" s="167"/>
    </row>
    <row r="1069" spans="2:10" x14ac:dyDescent="0.25">
      <c r="B1069" s="169">
        <f t="shared" si="33"/>
        <v>0.54704370179950135</v>
      </c>
      <c r="C1069">
        <v>6577</v>
      </c>
      <c r="E1069">
        <v>1</v>
      </c>
      <c r="F1069">
        <v>1</v>
      </c>
      <c r="G1069" s="15">
        <v>1</v>
      </c>
      <c r="H1069" s="167">
        <f t="shared" si="32"/>
        <v>5.1413881748071976E-4</v>
      </c>
      <c r="I1069" s="167"/>
      <c r="J1069" s="167"/>
    </row>
    <row r="1070" spans="2:10" x14ac:dyDescent="0.25">
      <c r="B1070" s="169">
        <f t="shared" si="33"/>
        <v>0.54755784061698209</v>
      </c>
      <c r="C1070">
        <v>3589</v>
      </c>
      <c r="E1070">
        <v>1</v>
      </c>
      <c r="F1070">
        <v>1</v>
      </c>
      <c r="G1070" s="15">
        <v>1</v>
      </c>
      <c r="H1070" s="167">
        <f t="shared" si="32"/>
        <v>5.1413881748071976E-4</v>
      </c>
      <c r="I1070" s="167"/>
      <c r="J1070" s="167"/>
    </row>
    <row r="1071" spans="2:10" x14ac:dyDescent="0.25">
      <c r="B1071" s="169">
        <f t="shared" si="33"/>
        <v>0.54807197943446284</v>
      </c>
      <c r="C1071">
        <v>6578</v>
      </c>
      <c r="E1071">
        <v>3</v>
      </c>
      <c r="F1071">
        <v>3</v>
      </c>
      <c r="G1071" s="15">
        <v>1</v>
      </c>
      <c r="H1071" s="167">
        <f t="shared" si="32"/>
        <v>5.1413881748071976E-4</v>
      </c>
      <c r="I1071" s="167"/>
      <c r="J1071" s="167"/>
    </row>
    <row r="1072" spans="2:10" x14ac:dyDescent="0.25">
      <c r="B1072" s="169">
        <f t="shared" si="33"/>
        <v>0.54858611825194359</v>
      </c>
      <c r="C1072">
        <v>6513</v>
      </c>
      <c r="E1072">
        <v>5</v>
      </c>
      <c r="F1072">
        <v>5</v>
      </c>
      <c r="G1072" s="15">
        <v>1</v>
      </c>
      <c r="H1072" s="167">
        <f t="shared" si="32"/>
        <v>5.1413881748071976E-4</v>
      </c>
      <c r="I1072" s="167"/>
      <c r="J1072" s="167"/>
    </row>
    <row r="1073" spans="2:10" x14ac:dyDescent="0.25">
      <c r="B1073" s="169">
        <f t="shared" si="33"/>
        <v>0.54910025706942434</v>
      </c>
      <c r="C1073">
        <v>5691</v>
      </c>
      <c r="E1073">
        <v>1</v>
      </c>
      <c r="F1073">
        <v>1</v>
      </c>
      <c r="G1073" s="15">
        <v>1</v>
      </c>
      <c r="H1073" s="167">
        <f t="shared" si="32"/>
        <v>5.1413881748071976E-4</v>
      </c>
      <c r="I1073" s="167"/>
      <c r="J1073" s="167"/>
    </row>
    <row r="1074" spans="2:10" x14ac:dyDescent="0.25">
      <c r="B1074" s="169">
        <f t="shared" si="33"/>
        <v>0.54961439588690508</v>
      </c>
      <c r="C1074">
        <v>6042</v>
      </c>
      <c r="E1074">
        <v>5</v>
      </c>
      <c r="F1074">
        <v>5</v>
      </c>
      <c r="G1074" s="15">
        <v>1</v>
      </c>
      <c r="H1074" s="167">
        <f t="shared" si="32"/>
        <v>5.1413881748071976E-4</v>
      </c>
      <c r="I1074" s="167"/>
      <c r="J1074" s="167"/>
    </row>
    <row r="1075" spans="2:10" x14ac:dyDescent="0.25">
      <c r="B1075" s="169">
        <f t="shared" si="33"/>
        <v>0.55012853470438583</v>
      </c>
      <c r="C1075">
        <v>2579</v>
      </c>
      <c r="E1075">
        <v>1</v>
      </c>
      <c r="F1075">
        <v>1</v>
      </c>
      <c r="G1075" s="15">
        <v>1</v>
      </c>
      <c r="H1075" s="167">
        <f t="shared" si="32"/>
        <v>5.1413881748071976E-4</v>
      </c>
      <c r="I1075" s="167"/>
      <c r="J1075" s="167"/>
    </row>
    <row r="1076" spans="2:10" x14ac:dyDescent="0.25">
      <c r="B1076" s="169">
        <f t="shared" si="33"/>
        <v>0.55064267352186658</v>
      </c>
      <c r="C1076">
        <v>6487</v>
      </c>
      <c r="E1076">
        <v>30</v>
      </c>
      <c r="F1076">
        <v>30</v>
      </c>
      <c r="G1076" s="15">
        <v>1</v>
      </c>
      <c r="H1076" s="167">
        <f t="shared" si="32"/>
        <v>5.1413881748071976E-4</v>
      </c>
      <c r="I1076" s="167"/>
      <c r="J1076" s="167"/>
    </row>
    <row r="1077" spans="2:10" x14ac:dyDescent="0.25">
      <c r="B1077" s="169">
        <f t="shared" si="33"/>
        <v>0.55115681233934732</v>
      </c>
      <c r="C1077">
        <v>6488</v>
      </c>
      <c r="E1077">
        <v>35</v>
      </c>
      <c r="F1077">
        <v>35</v>
      </c>
      <c r="G1077" s="15">
        <v>1</v>
      </c>
      <c r="H1077" s="167">
        <f t="shared" si="32"/>
        <v>5.1413881748071976E-4</v>
      </c>
      <c r="I1077" s="167"/>
      <c r="J1077" s="167"/>
    </row>
    <row r="1078" spans="2:10" x14ac:dyDescent="0.25">
      <c r="B1078" s="169">
        <f t="shared" si="33"/>
        <v>0.55167095115682807</v>
      </c>
      <c r="C1078">
        <v>6489</v>
      </c>
      <c r="E1078">
        <v>35</v>
      </c>
      <c r="F1078">
        <v>35</v>
      </c>
      <c r="G1078" s="15">
        <v>1</v>
      </c>
      <c r="H1078" s="167">
        <f t="shared" si="32"/>
        <v>5.1413881748071976E-4</v>
      </c>
      <c r="I1078" s="167"/>
      <c r="J1078" s="167"/>
    </row>
    <row r="1079" spans="2:10" x14ac:dyDescent="0.25">
      <c r="B1079" s="169">
        <f t="shared" si="33"/>
        <v>0.55218508997430882</v>
      </c>
      <c r="C1079">
        <v>6490</v>
      </c>
      <c r="E1079">
        <v>54</v>
      </c>
      <c r="F1079">
        <v>54</v>
      </c>
      <c r="G1079" s="15">
        <v>1</v>
      </c>
      <c r="H1079" s="167">
        <f t="shared" si="32"/>
        <v>5.1413881748071976E-4</v>
      </c>
      <c r="I1079" s="167"/>
      <c r="J1079" s="167"/>
    </row>
    <row r="1080" spans="2:10" x14ac:dyDescent="0.25">
      <c r="B1080" s="169">
        <f t="shared" si="33"/>
        <v>0.55269922879178957</v>
      </c>
      <c r="C1080">
        <v>6491</v>
      </c>
      <c r="E1080">
        <v>30</v>
      </c>
      <c r="F1080">
        <v>30</v>
      </c>
      <c r="G1080" s="15">
        <v>1</v>
      </c>
      <c r="H1080" s="167">
        <f t="shared" si="32"/>
        <v>5.1413881748071976E-4</v>
      </c>
      <c r="I1080" s="167"/>
      <c r="J1080" s="167"/>
    </row>
    <row r="1081" spans="2:10" x14ac:dyDescent="0.25">
      <c r="B1081" s="169">
        <f t="shared" si="33"/>
        <v>0.55321336760927031</v>
      </c>
      <c r="C1081">
        <v>6492</v>
      </c>
      <c r="E1081">
        <v>30</v>
      </c>
      <c r="F1081">
        <v>30</v>
      </c>
      <c r="G1081" s="15">
        <v>1</v>
      </c>
      <c r="H1081" s="167">
        <f t="shared" si="32"/>
        <v>5.1413881748071976E-4</v>
      </c>
      <c r="I1081" s="167"/>
      <c r="J1081" s="167"/>
    </row>
    <row r="1082" spans="2:10" x14ac:dyDescent="0.25">
      <c r="B1082" s="169">
        <f t="shared" si="33"/>
        <v>0.55372750642675106</v>
      </c>
      <c r="C1082">
        <v>6494</v>
      </c>
      <c r="E1082">
        <v>55</v>
      </c>
      <c r="F1082">
        <v>55</v>
      </c>
      <c r="G1082" s="15">
        <v>1</v>
      </c>
      <c r="H1082" s="167">
        <f t="shared" si="32"/>
        <v>5.1413881748071976E-4</v>
      </c>
      <c r="I1082" s="167"/>
      <c r="J1082" s="167"/>
    </row>
    <row r="1083" spans="2:10" x14ac:dyDescent="0.25">
      <c r="B1083" s="169">
        <f t="shared" si="33"/>
        <v>0.55424164524423181</v>
      </c>
      <c r="C1083">
        <v>6495</v>
      </c>
      <c r="E1083">
        <v>25</v>
      </c>
      <c r="F1083">
        <v>25</v>
      </c>
      <c r="G1083" s="15">
        <v>1</v>
      </c>
      <c r="H1083" s="167">
        <f t="shared" si="32"/>
        <v>5.1413881748071976E-4</v>
      </c>
      <c r="I1083" s="167"/>
      <c r="J1083" s="167"/>
    </row>
    <row r="1084" spans="2:10" x14ac:dyDescent="0.25">
      <c r="B1084" s="169">
        <f t="shared" si="33"/>
        <v>0.55475578406171255</v>
      </c>
      <c r="C1084">
        <v>6500</v>
      </c>
      <c r="E1084">
        <v>25</v>
      </c>
      <c r="F1084">
        <v>25</v>
      </c>
      <c r="G1084" s="15">
        <v>1</v>
      </c>
      <c r="H1084" s="167">
        <f t="shared" si="32"/>
        <v>5.1413881748071976E-4</v>
      </c>
      <c r="I1084" s="167"/>
      <c r="J1084" s="167"/>
    </row>
    <row r="1085" spans="2:10" x14ac:dyDescent="0.25">
      <c r="B1085" s="169">
        <f t="shared" si="33"/>
        <v>0.5552699228791933</v>
      </c>
      <c r="C1085">
        <v>6503</v>
      </c>
      <c r="E1085">
        <v>50</v>
      </c>
      <c r="F1085">
        <v>50</v>
      </c>
      <c r="G1085" s="15">
        <v>1</v>
      </c>
      <c r="H1085" s="167">
        <f t="shared" si="32"/>
        <v>5.1413881748071976E-4</v>
      </c>
      <c r="I1085" s="167"/>
      <c r="J1085" s="167"/>
    </row>
    <row r="1086" spans="2:10" x14ac:dyDescent="0.25">
      <c r="B1086" s="169">
        <f t="shared" si="33"/>
        <v>0.55578406169667405</v>
      </c>
      <c r="C1086">
        <v>6507</v>
      </c>
      <c r="E1086">
        <v>16</v>
      </c>
      <c r="F1086">
        <v>16</v>
      </c>
      <c r="G1086" s="15">
        <v>1</v>
      </c>
      <c r="H1086" s="167">
        <f t="shared" si="32"/>
        <v>5.1413881748071976E-4</v>
      </c>
      <c r="I1086" s="167"/>
      <c r="J1086" s="167"/>
    </row>
    <row r="1087" spans="2:10" x14ac:dyDescent="0.25">
      <c r="B1087" s="169">
        <f t="shared" si="33"/>
        <v>0.55629820051415479</v>
      </c>
      <c r="C1087">
        <v>6508</v>
      </c>
      <c r="E1087">
        <v>60</v>
      </c>
      <c r="F1087">
        <v>60</v>
      </c>
      <c r="G1087" s="15">
        <v>1</v>
      </c>
      <c r="H1087" s="167">
        <f t="shared" si="32"/>
        <v>5.1413881748071976E-4</v>
      </c>
      <c r="I1087" s="167"/>
      <c r="J1087" s="167"/>
    </row>
    <row r="1088" spans="2:10" x14ac:dyDescent="0.25">
      <c r="B1088" s="169">
        <f t="shared" si="33"/>
        <v>0.55681233933163554</v>
      </c>
      <c r="C1088">
        <v>6509</v>
      </c>
      <c r="E1088">
        <v>65</v>
      </c>
      <c r="F1088">
        <v>65</v>
      </c>
      <c r="G1088" s="15">
        <v>1</v>
      </c>
      <c r="H1088" s="167">
        <f t="shared" si="32"/>
        <v>5.1413881748071976E-4</v>
      </c>
      <c r="I1088" s="167"/>
      <c r="J1088" s="167"/>
    </row>
    <row r="1089" spans="2:10" x14ac:dyDescent="0.25">
      <c r="B1089" s="169">
        <f t="shared" si="33"/>
        <v>0.55732647814911629</v>
      </c>
      <c r="C1089">
        <v>6580</v>
      </c>
      <c r="E1089">
        <v>1</v>
      </c>
      <c r="F1089">
        <v>1</v>
      </c>
      <c r="G1089" s="15">
        <v>1</v>
      </c>
      <c r="H1089" s="167">
        <f t="shared" si="32"/>
        <v>5.1413881748071976E-4</v>
      </c>
      <c r="I1089" s="167"/>
      <c r="J1089" s="167"/>
    </row>
    <row r="1090" spans="2:10" x14ac:dyDescent="0.25">
      <c r="B1090" s="169">
        <f t="shared" si="33"/>
        <v>0.55784061696659704</v>
      </c>
      <c r="C1090">
        <v>4078</v>
      </c>
      <c r="E1090">
        <v>4</v>
      </c>
      <c r="F1090">
        <v>4</v>
      </c>
      <c r="G1090" s="15">
        <v>1</v>
      </c>
      <c r="H1090" s="167">
        <f t="shared" si="32"/>
        <v>5.1413881748071976E-4</v>
      </c>
      <c r="I1090" s="167"/>
      <c r="J1090" s="167"/>
    </row>
    <row r="1091" spans="2:10" x14ac:dyDescent="0.25">
      <c r="B1091" s="169">
        <f t="shared" si="33"/>
        <v>0.55835475578407778</v>
      </c>
      <c r="C1091">
        <v>4082</v>
      </c>
      <c r="E1091">
        <v>4</v>
      </c>
      <c r="F1091">
        <v>4</v>
      </c>
      <c r="G1091" s="15">
        <v>1</v>
      </c>
      <c r="H1091" s="167">
        <f t="shared" si="32"/>
        <v>5.1413881748071976E-4</v>
      </c>
      <c r="I1091" s="167"/>
      <c r="J1091" s="167"/>
    </row>
    <row r="1092" spans="2:10" x14ac:dyDescent="0.25">
      <c r="B1092" s="169">
        <f t="shared" si="33"/>
        <v>0.55886889460155853</v>
      </c>
      <c r="C1092">
        <v>6496</v>
      </c>
      <c r="E1092">
        <v>20</v>
      </c>
      <c r="F1092">
        <v>20</v>
      </c>
      <c r="G1092" s="15">
        <v>1</v>
      </c>
      <c r="H1092" s="167">
        <f t="shared" si="32"/>
        <v>5.1413881748071976E-4</v>
      </c>
      <c r="I1092" s="167"/>
      <c r="J1092" s="167"/>
    </row>
    <row r="1093" spans="2:10" x14ac:dyDescent="0.25">
      <c r="B1093" s="169">
        <f t="shared" si="33"/>
        <v>0.55938303341903928</v>
      </c>
      <c r="C1093">
        <v>6524</v>
      </c>
      <c r="E1093">
        <v>16</v>
      </c>
      <c r="F1093">
        <v>16</v>
      </c>
      <c r="G1093" s="15">
        <v>1</v>
      </c>
      <c r="H1093" s="167">
        <f t="shared" si="32"/>
        <v>5.1413881748071976E-4</v>
      </c>
      <c r="I1093" s="167"/>
      <c r="J1093" s="167"/>
    </row>
    <row r="1094" spans="2:10" x14ac:dyDescent="0.25">
      <c r="B1094" s="169">
        <f t="shared" si="33"/>
        <v>0.55989717223652002</v>
      </c>
      <c r="C1094">
        <v>6622</v>
      </c>
      <c r="E1094">
        <v>6</v>
      </c>
      <c r="F1094">
        <v>6</v>
      </c>
      <c r="G1094" s="15">
        <v>1</v>
      </c>
      <c r="H1094" s="167">
        <f t="shared" ref="H1094:H1157" si="34">1/$L$6</f>
        <v>5.1413881748071976E-4</v>
      </c>
      <c r="I1094" s="167"/>
      <c r="J1094" s="167"/>
    </row>
    <row r="1095" spans="2:10" x14ac:dyDescent="0.25">
      <c r="B1095" s="169">
        <f t="shared" ref="B1095:B1158" si="35">B1094+H1095</f>
        <v>0.56041131105400077</v>
      </c>
      <c r="C1095">
        <v>6498</v>
      </c>
      <c r="E1095">
        <v>50</v>
      </c>
      <c r="F1095">
        <v>50</v>
      </c>
      <c r="G1095" s="15">
        <v>1</v>
      </c>
      <c r="H1095" s="167">
        <f t="shared" si="34"/>
        <v>5.1413881748071976E-4</v>
      </c>
      <c r="I1095" s="167"/>
      <c r="J1095" s="167"/>
    </row>
    <row r="1096" spans="2:10" x14ac:dyDescent="0.25">
      <c r="B1096" s="169">
        <f t="shared" si="35"/>
        <v>0.56092544987148152</v>
      </c>
      <c r="C1096">
        <v>6499</v>
      </c>
      <c r="E1096">
        <v>30</v>
      </c>
      <c r="F1096">
        <v>30</v>
      </c>
      <c r="G1096" s="15">
        <v>1</v>
      </c>
      <c r="H1096" s="167">
        <f t="shared" si="34"/>
        <v>5.1413881748071976E-4</v>
      </c>
      <c r="I1096" s="167"/>
      <c r="J1096" s="167"/>
    </row>
    <row r="1097" spans="2:10" x14ac:dyDescent="0.25">
      <c r="B1097" s="169">
        <f t="shared" si="35"/>
        <v>0.56143958868896227</v>
      </c>
      <c r="C1097">
        <v>6501</v>
      </c>
      <c r="E1097">
        <v>60</v>
      </c>
      <c r="F1097">
        <v>60</v>
      </c>
      <c r="G1097" s="15">
        <v>1</v>
      </c>
      <c r="H1097" s="167">
        <f t="shared" si="34"/>
        <v>5.1413881748071976E-4</v>
      </c>
      <c r="I1097" s="167"/>
      <c r="J1097" s="167"/>
    </row>
    <row r="1098" spans="2:10" x14ac:dyDescent="0.25">
      <c r="B1098" s="169">
        <f t="shared" si="35"/>
        <v>0.56195372750644301</v>
      </c>
      <c r="C1098">
        <v>6502</v>
      </c>
      <c r="E1098">
        <v>40</v>
      </c>
      <c r="F1098">
        <v>40</v>
      </c>
      <c r="G1098" s="15">
        <v>1</v>
      </c>
      <c r="H1098" s="167">
        <f t="shared" si="34"/>
        <v>5.1413881748071976E-4</v>
      </c>
      <c r="I1098" s="167"/>
      <c r="J1098" s="167"/>
    </row>
    <row r="1099" spans="2:10" x14ac:dyDescent="0.25">
      <c r="B1099" s="169">
        <f t="shared" si="35"/>
        <v>0.56246786632392376</v>
      </c>
      <c r="C1099">
        <v>6506</v>
      </c>
      <c r="E1099">
        <v>25</v>
      </c>
      <c r="F1099">
        <v>25</v>
      </c>
      <c r="G1099" s="15">
        <v>1</v>
      </c>
      <c r="H1099" s="167">
        <f t="shared" si="34"/>
        <v>5.1413881748071976E-4</v>
      </c>
      <c r="I1099" s="167"/>
      <c r="J1099" s="167"/>
    </row>
    <row r="1100" spans="2:10" x14ac:dyDescent="0.25">
      <c r="B1100" s="169">
        <f t="shared" si="35"/>
        <v>0.56298200514140451</v>
      </c>
      <c r="C1100">
        <v>6826</v>
      </c>
      <c r="E1100">
        <v>5</v>
      </c>
      <c r="F1100">
        <v>5</v>
      </c>
      <c r="G1100" s="15">
        <v>1</v>
      </c>
      <c r="H1100" s="167">
        <f t="shared" si="34"/>
        <v>5.1413881748071976E-4</v>
      </c>
      <c r="I1100" s="167"/>
      <c r="J1100" s="167"/>
    </row>
    <row r="1101" spans="2:10" x14ac:dyDescent="0.25">
      <c r="B1101" s="169">
        <f t="shared" si="35"/>
        <v>0.56349614395888525</v>
      </c>
      <c r="C1101">
        <v>6073</v>
      </c>
      <c r="E1101">
        <v>2</v>
      </c>
      <c r="F1101">
        <v>2</v>
      </c>
      <c r="G1101" s="15">
        <v>1</v>
      </c>
      <c r="H1101" s="167">
        <f t="shared" si="34"/>
        <v>5.1413881748071976E-4</v>
      </c>
      <c r="I1101" s="167"/>
      <c r="J1101" s="167"/>
    </row>
    <row r="1102" spans="2:10" x14ac:dyDescent="0.25">
      <c r="B1102" s="169">
        <f t="shared" si="35"/>
        <v>0.564010282776366</v>
      </c>
      <c r="C1102">
        <v>6554</v>
      </c>
      <c r="E1102">
        <v>12</v>
      </c>
      <c r="F1102">
        <v>12</v>
      </c>
      <c r="G1102" s="15">
        <v>1</v>
      </c>
      <c r="H1102" s="167">
        <f t="shared" si="34"/>
        <v>5.1413881748071976E-4</v>
      </c>
      <c r="I1102" s="167"/>
      <c r="J1102" s="167"/>
    </row>
    <row r="1103" spans="2:10" x14ac:dyDescent="0.25">
      <c r="B1103" s="169">
        <f t="shared" si="35"/>
        <v>0.56452442159384675</v>
      </c>
      <c r="C1103">
        <v>3590</v>
      </c>
      <c r="E1103">
        <v>1</v>
      </c>
      <c r="F1103">
        <v>1</v>
      </c>
      <c r="G1103" s="15">
        <v>1</v>
      </c>
      <c r="H1103" s="167">
        <f t="shared" si="34"/>
        <v>5.1413881748071976E-4</v>
      </c>
      <c r="I1103" s="167"/>
      <c r="J1103" s="167"/>
    </row>
    <row r="1104" spans="2:10" x14ac:dyDescent="0.25">
      <c r="B1104" s="169">
        <f t="shared" si="35"/>
        <v>0.5650385604113275</v>
      </c>
      <c r="C1104">
        <v>2646</v>
      </c>
      <c r="E1104">
        <v>4</v>
      </c>
      <c r="F1104">
        <v>4</v>
      </c>
      <c r="G1104" s="15">
        <v>1</v>
      </c>
      <c r="H1104" s="167">
        <f t="shared" si="34"/>
        <v>5.1413881748071976E-4</v>
      </c>
      <c r="I1104" s="167"/>
      <c r="J1104" s="167"/>
    </row>
    <row r="1105" spans="2:10" x14ac:dyDescent="0.25">
      <c r="B1105" s="169">
        <f t="shared" si="35"/>
        <v>0.56555269922880824</v>
      </c>
      <c r="C1105">
        <v>6623</v>
      </c>
      <c r="E1105">
        <v>3</v>
      </c>
      <c r="F1105">
        <v>3</v>
      </c>
      <c r="G1105" s="15">
        <v>1</v>
      </c>
      <c r="H1105" s="167">
        <f t="shared" si="34"/>
        <v>5.1413881748071976E-4</v>
      </c>
      <c r="I1105" s="167"/>
      <c r="J1105" s="167"/>
    </row>
    <row r="1106" spans="2:10" x14ac:dyDescent="0.25">
      <c r="B1106" s="169">
        <f t="shared" si="35"/>
        <v>0.56606683804628899</v>
      </c>
      <c r="C1106">
        <v>6591</v>
      </c>
      <c r="E1106">
        <v>1</v>
      </c>
      <c r="F1106">
        <v>1</v>
      </c>
      <c r="G1106" s="15">
        <v>1</v>
      </c>
      <c r="H1106" s="167">
        <f t="shared" si="34"/>
        <v>5.1413881748071976E-4</v>
      </c>
      <c r="I1106" s="167"/>
      <c r="J1106" s="167"/>
    </row>
    <row r="1107" spans="2:10" x14ac:dyDescent="0.25">
      <c r="B1107" s="169">
        <f t="shared" si="35"/>
        <v>0.56658097686376974</v>
      </c>
      <c r="C1107">
        <v>6565</v>
      </c>
      <c r="E1107">
        <v>8</v>
      </c>
      <c r="F1107">
        <v>8</v>
      </c>
      <c r="G1107" s="15">
        <v>1</v>
      </c>
      <c r="H1107" s="167">
        <f t="shared" si="34"/>
        <v>5.1413881748071976E-4</v>
      </c>
      <c r="I1107" s="167"/>
      <c r="J1107" s="167"/>
    </row>
    <row r="1108" spans="2:10" x14ac:dyDescent="0.25">
      <c r="B1108" s="169">
        <f t="shared" si="35"/>
        <v>0.56709511568125048</v>
      </c>
      <c r="C1108">
        <v>6527</v>
      </c>
      <c r="E1108">
        <v>8</v>
      </c>
      <c r="F1108">
        <v>8</v>
      </c>
      <c r="G1108" s="15">
        <v>1</v>
      </c>
      <c r="H1108" s="167">
        <f t="shared" si="34"/>
        <v>5.1413881748071976E-4</v>
      </c>
      <c r="I1108" s="167"/>
      <c r="J1108" s="167"/>
    </row>
    <row r="1109" spans="2:10" x14ac:dyDescent="0.25">
      <c r="B1109" s="169">
        <f t="shared" si="35"/>
        <v>0.56760925449873123</v>
      </c>
      <c r="C1109">
        <v>6825</v>
      </c>
      <c r="E1109">
        <v>14</v>
      </c>
      <c r="F1109">
        <v>14</v>
      </c>
      <c r="G1109" s="15">
        <v>1</v>
      </c>
      <c r="H1109" s="167">
        <f t="shared" si="34"/>
        <v>5.1413881748071976E-4</v>
      </c>
      <c r="I1109" s="167"/>
      <c r="J1109" s="167"/>
    </row>
    <row r="1110" spans="2:10" x14ac:dyDescent="0.25">
      <c r="B1110" s="169">
        <f t="shared" si="35"/>
        <v>0.56812339331621198</v>
      </c>
      <c r="C1110">
        <v>6543</v>
      </c>
      <c r="E1110">
        <v>71</v>
      </c>
      <c r="F1110">
        <v>71</v>
      </c>
      <c r="G1110" s="15">
        <v>1</v>
      </c>
      <c r="H1110" s="167">
        <f t="shared" si="34"/>
        <v>5.1413881748071976E-4</v>
      </c>
      <c r="I1110" s="167"/>
      <c r="J1110" s="167"/>
    </row>
    <row r="1111" spans="2:10" x14ac:dyDescent="0.25">
      <c r="B1111" s="169">
        <f t="shared" si="35"/>
        <v>0.56863753213369272</v>
      </c>
      <c r="C1111">
        <v>6528</v>
      </c>
      <c r="E1111">
        <v>3</v>
      </c>
      <c r="F1111">
        <v>3</v>
      </c>
      <c r="G1111" s="15">
        <v>1</v>
      </c>
      <c r="H1111" s="167">
        <f t="shared" si="34"/>
        <v>5.1413881748071976E-4</v>
      </c>
      <c r="I1111" s="167"/>
      <c r="J1111" s="167"/>
    </row>
    <row r="1112" spans="2:10" x14ac:dyDescent="0.25">
      <c r="B1112" s="169">
        <f t="shared" si="35"/>
        <v>0.56915167095117347</v>
      </c>
      <c r="C1112">
        <v>6555</v>
      </c>
      <c r="E1112">
        <v>6</v>
      </c>
      <c r="F1112">
        <v>6</v>
      </c>
      <c r="G1112" s="15">
        <v>1</v>
      </c>
      <c r="H1112" s="167">
        <f t="shared" si="34"/>
        <v>5.1413881748071976E-4</v>
      </c>
      <c r="I1112" s="167"/>
      <c r="J1112" s="167"/>
    </row>
    <row r="1113" spans="2:10" x14ac:dyDescent="0.25">
      <c r="B1113" s="169">
        <f t="shared" si="35"/>
        <v>0.56966580976865422</v>
      </c>
      <c r="C1113">
        <v>2469</v>
      </c>
      <c r="E1113">
        <v>21</v>
      </c>
      <c r="F1113">
        <v>21</v>
      </c>
      <c r="G1113" s="15">
        <v>1</v>
      </c>
      <c r="H1113" s="167">
        <f t="shared" si="34"/>
        <v>5.1413881748071976E-4</v>
      </c>
      <c r="I1113" s="167"/>
      <c r="J1113" s="167"/>
    </row>
    <row r="1114" spans="2:10" x14ac:dyDescent="0.25">
      <c r="B1114" s="169">
        <f t="shared" si="35"/>
        <v>0.57017994858613497</v>
      </c>
      <c r="C1114">
        <v>2470</v>
      </c>
      <c r="E1114">
        <v>21</v>
      </c>
      <c r="F1114">
        <v>21</v>
      </c>
      <c r="G1114" s="15">
        <v>1</v>
      </c>
      <c r="H1114" s="167">
        <f t="shared" si="34"/>
        <v>5.1413881748071976E-4</v>
      </c>
      <c r="I1114" s="167"/>
      <c r="J1114" s="167"/>
    </row>
    <row r="1115" spans="2:10" x14ac:dyDescent="0.25">
      <c r="B1115" s="169">
        <f t="shared" si="35"/>
        <v>0.57069408740361571</v>
      </c>
      <c r="C1115">
        <v>4700</v>
      </c>
      <c r="E1115">
        <v>1</v>
      </c>
      <c r="F1115">
        <v>1</v>
      </c>
      <c r="G1115" s="15">
        <v>1</v>
      </c>
      <c r="H1115" s="167">
        <f t="shared" si="34"/>
        <v>5.1413881748071976E-4</v>
      </c>
      <c r="I1115" s="167"/>
      <c r="J1115" s="167"/>
    </row>
    <row r="1116" spans="2:10" x14ac:dyDescent="0.25">
      <c r="B1116" s="169">
        <f t="shared" si="35"/>
        <v>0.57120822622109646</v>
      </c>
      <c r="C1116">
        <v>3591</v>
      </c>
      <c r="E1116">
        <v>1</v>
      </c>
      <c r="F1116">
        <v>1</v>
      </c>
      <c r="G1116" s="15">
        <v>1</v>
      </c>
      <c r="H1116" s="167">
        <f t="shared" si="34"/>
        <v>5.1413881748071976E-4</v>
      </c>
      <c r="I1116" s="167"/>
      <c r="J1116" s="167"/>
    </row>
    <row r="1117" spans="2:10" x14ac:dyDescent="0.25">
      <c r="B1117" s="169">
        <f t="shared" si="35"/>
        <v>0.57172236503857721</v>
      </c>
      <c r="C1117">
        <v>5482</v>
      </c>
      <c r="E1117">
        <v>1</v>
      </c>
      <c r="F1117">
        <v>1</v>
      </c>
      <c r="G1117" s="15">
        <v>1</v>
      </c>
      <c r="H1117" s="167">
        <f t="shared" si="34"/>
        <v>5.1413881748071976E-4</v>
      </c>
      <c r="I1117" s="167"/>
      <c r="J1117" s="167"/>
    </row>
    <row r="1118" spans="2:10" x14ac:dyDescent="0.25">
      <c r="B1118" s="169">
        <f t="shared" si="35"/>
        <v>0.57223650385605795</v>
      </c>
      <c r="C1118">
        <v>6557</v>
      </c>
      <c r="E1118">
        <v>5</v>
      </c>
      <c r="F1118">
        <v>5</v>
      </c>
      <c r="G1118" s="15">
        <v>1</v>
      </c>
      <c r="H1118" s="167">
        <f t="shared" si="34"/>
        <v>5.1413881748071976E-4</v>
      </c>
      <c r="I1118" s="167"/>
      <c r="J1118" s="167"/>
    </row>
    <row r="1119" spans="2:10" x14ac:dyDescent="0.25">
      <c r="B1119" s="169">
        <f t="shared" si="35"/>
        <v>0.5727506426735387</v>
      </c>
      <c r="C1119">
        <v>6566</v>
      </c>
      <c r="E1119">
        <v>11</v>
      </c>
      <c r="F1119">
        <v>11</v>
      </c>
      <c r="G1119" s="15">
        <v>1</v>
      </c>
      <c r="H1119" s="167">
        <f t="shared" si="34"/>
        <v>5.1413881748071976E-4</v>
      </c>
      <c r="I1119" s="167"/>
      <c r="J1119" s="167"/>
    </row>
    <row r="1120" spans="2:10" x14ac:dyDescent="0.25">
      <c r="B1120" s="169">
        <f t="shared" si="35"/>
        <v>0.57326478149101945</v>
      </c>
      <c r="C1120">
        <v>6525</v>
      </c>
      <c r="E1120">
        <v>11</v>
      </c>
      <c r="F1120">
        <v>11</v>
      </c>
      <c r="G1120" s="15">
        <v>1</v>
      </c>
      <c r="H1120" s="167">
        <f t="shared" si="34"/>
        <v>5.1413881748071976E-4</v>
      </c>
      <c r="I1120" s="167"/>
      <c r="J1120" s="167"/>
    </row>
    <row r="1121" spans="2:10" x14ac:dyDescent="0.25">
      <c r="B1121" s="169">
        <f t="shared" si="35"/>
        <v>0.5737789203085002</v>
      </c>
      <c r="C1121">
        <v>6526</v>
      </c>
      <c r="E1121">
        <v>17</v>
      </c>
      <c r="F1121">
        <v>17</v>
      </c>
      <c r="G1121" s="15">
        <v>1</v>
      </c>
      <c r="H1121" s="167">
        <f t="shared" si="34"/>
        <v>5.1413881748071976E-4</v>
      </c>
      <c r="I1121" s="167"/>
      <c r="J1121" s="167"/>
    </row>
    <row r="1122" spans="2:10" x14ac:dyDescent="0.25">
      <c r="B1122" s="169">
        <f t="shared" si="35"/>
        <v>0.57429305912598094</v>
      </c>
      <c r="C1122">
        <v>6441</v>
      </c>
      <c r="E1122">
        <v>2</v>
      </c>
      <c r="F1122">
        <v>2</v>
      </c>
      <c r="G1122" s="15">
        <v>1</v>
      </c>
      <c r="H1122" s="167">
        <f t="shared" si="34"/>
        <v>5.1413881748071976E-4</v>
      </c>
      <c r="I1122" s="167"/>
      <c r="J1122" s="167"/>
    </row>
    <row r="1123" spans="2:10" x14ac:dyDescent="0.25">
      <c r="B1123" s="169">
        <f t="shared" si="35"/>
        <v>0.57480719794346169</v>
      </c>
      <c r="C1123">
        <v>6548</v>
      </c>
      <c r="E1123">
        <v>45</v>
      </c>
      <c r="F1123">
        <v>45</v>
      </c>
      <c r="G1123" s="15">
        <v>1</v>
      </c>
      <c r="H1123" s="167">
        <f t="shared" si="34"/>
        <v>5.1413881748071976E-4</v>
      </c>
      <c r="I1123" s="167"/>
      <c r="J1123" s="167"/>
    </row>
    <row r="1124" spans="2:10" x14ac:dyDescent="0.25">
      <c r="B1124" s="169">
        <f t="shared" si="35"/>
        <v>0.57532133676094244</v>
      </c>
      <c r="C1124">
        <v>6556</v>
      </c>
      <c r="E1124">
        <v>15</v>
      </c>
      <c r="F1124">
        <v>15</v>
      </c>
      <c r="G1124" s="15">
        <v>1</v>
      </c>
      <c r="H1124" s="167">
        <f t="shared" si="34"/>
        <v>5.1413881748071976E-4</v>
      </c>
      <c r="I1124" s="167"/>
      <c r="J1124" s="167"/>
    </row>
    <row r="1125" spans="2:10" x14ac:dyDescent="0.25">
      <c r="B1125" s="169">
        <f t="shared" si="35"/>
        <v>0.57583547557842318</v>
      </c>
      <c r="C1125">
        <v>3947</v>
      </c>
      <c r="E1125">
        <v>15</v>
      </c>
      <c r="F1125">
        <v>15</v>
      </c>
      <c r="G1125" s="15">
        <v>1</v>
      </c>
      <c r="H1125" s="167">
        <f t="shared" si="34"/>
        <v>5.1413881748071976E-4</v>
      </c>
      <c r="I1125" s="167"/>
      <c r="J1125" s="167"/>
    </row>
    <row r="1126" spans="2:10" x14ac:dyDescent="0.25">
      <c r="B1126" s="169">
        <f t="shared" si="35"/>
        <v>0.57634961439590393</v>
      </c>
      <c r="C1126">
        <v>2485</v>
      </c>
      <c r="E1126">
        <v>2</v>
      </c>
      <c r="F1126">
        <v>2</v>
      </c>
      <c r="G1126" s="15">
        <v>1</v>
      </c>
      <c r="H1126" s="167">
        <f t="shared" si="34"/>
        <v>5.1413881748071976E-4</v>
      </c>
      <c r="I1126" s="167"/>
      <c r="J1126" s="167"/>
    </row>
    <row r="1127" spans="2:10" x14ac:dyDescent="0.25">
      <c r="B1127" s="169">
        <f t="shared" si="35"/>
        <v>0.57686375321338468</v>
      </c>
      <c r="C1127">
        <v>2651</v>
      </c>
      <c r="E1127">
        <v>18</v>
      </c>
      <c r="F1127">
        <v>18</v>
      </c>
      <c r="G1127" s="15">
        <v>1</v>
      </c>
      <c r="H1127" s="167">
        <f t="shared" si="34"/>
        <v>5.1413881748071976E-4</v>
      </c>
      <c r="I1127" s="167"/>
      <c r="J1127" s="167"/>
    </row>
    <row r="1128" spans="2:10" x14ac:dyDescent="0.25">
      <c r="B1128" s="169">
        <f t="shared" si="35"/>
        <v>0.57737789203086542</v>
      </c>
      <c r="C1128">
        <v>6792</v>
      </c>
      <c r="E1128">
        <v>2</v>
      </c>
      <c r="F1128">
        <v>2</v>
      </c>
      <c r="G1128" s="15">
        <v>1</v>
      </c>
      <c r="H1128" s="167">
        <f t="shared" si="34"/>
        <v>5.1413881748071976E-4</v>
      </c>
      <c r="I1128" s="167"/>
      <c r="J1128" s="167"/>
    </row>
    <row r="1129" spans="2:10" x14ac:dyDescent="0.25">
      <c r="B1129" s="169">
        <f t="shared" si="35"/>
        <v>0.57789203084834617</v>
      </c>
      <c r="C1129">
        <v>2486</v>
      </c>
      <c r="E1129">
        <v>2</v>
      </c>
      <c r="F1129">
        <v>2</v>
      </c>
      <c r="G1129" s="15">
        <v>1</v>
      </c>
      <c r="H1129" s="167">
        <f t="shared" si="34"/>
        <v>5.1413881748071976E-4</v>
      </c>
      <c r="I1129" s="167"/>
      <c r="J1129" s="167"/>
    </row>
    <row r="1130" spans="2:10" x14ac:dyDescent="0.25">
      <c r="B1130" s="169">
        <f t="shared" si="35"/>
        <v>0.57840616966582692</v>
      </c>
      <c r="C1130">
        <v>4065</v>
      </c>
      <c r="E1130">
        <v>4</v>
      </c>
      <c r="F1130">
        <v>4</v>
      </c>
      <c r="G1130" s="15">
        <v>1</v>
      </c>
      <c r="H1130" s="167">
        <f t="shared" si="34"/>
        <v>5.1413881748071976E-4</v>
      </c>
      <c r="I1130" s="167"/>
      <c r="J1130" s="167"/>
    </row>
    <row r="1131" spans="2:10" x14ac:dyDescent="0.25">
      <c r="B1131" s="169">
        <f t="shared" si="35"/>
        <v>0.57892030848330767</v>
      </c>
      <c r="C1131">
        <v>4073</v>
      </c>
      <c r="E1131">
        <v>4</v>
      </c>
      <c r="F1131">
        <v>4</v>
      </c>
      <c r="G1131" s="15">
        <v>1</v>
      </c>
      <c r="H1131" s="167">
        <f t="shared" si="34"/>
        <v>5.1413881748071976E-4</v>
      </c>
      <c r="I1131" s="167"/>
      <c r="J1131" s="167"/>
    </row>
    <row r="1132" spans="2:10" x14ac:dyDescent="0.25">
      <c r="B1132" s="169">
        <f t="shared" si="35"/>
        <v>0.57943444730078841</v>
      </c>
      <c r="C1132">
        <v>4074</v>
      </c>
      <c r="E1132">
        <v>4</v>
      </c>
      <c r="F1132">
        <v>4</v>
      </c>
      <c r="G1132" s="15">
        <v>1</v>
      </c>
      <c r="H1132" s="167">
        <f t="shared" si="34"/>
        <v>5.1413881748071976E-4</v>
      </c>
      <c r="I1132" s="167"/>
      <c r="J1132" s="167"/>
    </row>
    <row r="1133" spans="2:10" x14ac:dyDescent="0.25">
      <c r="B1133" s="169">
        <f t="shared" si="35"/>
        <v>0.57994858611826916</v>
      </c>
      <c r="C1133">
        <v>5664</v>
      </c>
      <c r="E1133">
        <v>4</v>
      </c>
      <c r="F1133">
        <v>4</v>
      </c>
      <c r="G1133" s="15">
        <v>1</v>
      </c>
      <c r="H1133" s="167">
        <f t="shared" si="34"/>
        <v>5.1413881748071976E-4</v>
      </c>
      <c r="I1133" s="167"/>
      <c r="J1133" s="167"/>
    </row>
    <row r="1134" spans="2:10" x14ac:dyDescent="0.25">
      <c r="B1134" s="169">
        <f t="shared" si="35"/>
        <v>0.58046272493574991</v>
      </c>
      <c r="C1134">
        <v>3592</v>
      </c>
      <c r="E1134">
        <v>1</v>
      </c>
      <c r="F1134">
        <v>1</v>
      </c>
      <c r="G1134" s="15">
        <v>1</v>
      </c>
      <c r="H1134" s="167">
        <f t="shared" si="34"/>
        <v>5.1413881748071976E-4</v>
      </c>
      <c r="I1134" s="167"/>
      <c r="J1134" s="167"/>
    </row>
    <row r="1135" spans="2:10" x14ac:dyDescent="0.25">
      <c r="B1135" s="169">
        <f t="shared" si="35"/>
        <v>0.58097686375323065</v>
      </c>
      <c r="C1135">
        <v>2487</v>
      </c>
      <c r="E1135">
        <v>1</v>
      </c>
      <c r="F1135">
        <v>1</v>
      </c>
      <c r="G1135" s="15">
        <v>1</v>
      </c>
      <c r="H1135" s="167">
        <f t="shared" si="34"/>
        <v>5.1413881748071976E-4</v>
      </c>
      <c r="I1135" s="167"/>
      <c r="J1135" s="167"/>
    </row>
    <row r="1136" spans="2:10" x14ac:dyDescent="0.25">
      <c r="B1136" s="169">
        <f t="shared" si="35"/>
        <v>0.5814910025707114</v>
      </c>
      <c r="C1136">
        <v>2488</v>
      </c>
      <c r="E1136">
        <v>3</v>
      </c>
      <c r="F1136">
        <v>3</v>
      </c>
      <c r="G1136" s="15">
        <v>1</v>
      </c>
      <c r="H1136" s="167">
        <f t="shared" si="34"/>
        <v>5.1413881748071976E-4</v>
      </c>
      <c r="I1136" s="167"/>
      <c r="J1136" s="167"/>
    </row>
    <row r="1137" spans="2:10" x14ac:dyDescent="0.25">
      <c r="B1137" s="169">
        <f t="shared" si="35"/>
        <v>0.58200514138819215</v>
      </c>
      <c r="C1137">
        <v>4096</v>
      </c>
      <c r="E1137">
        <v>1</v>
      </c>
      <c r="F1137">
        <v>1</v>
      </c>
      <c r="G1137" s="15">
        <v>1</v>
      </c>
      <c r="H1137" s="167">
        <f t="shared" si="34"/>
        <v>5.1413881748071976E-4</v>
      </c>
      <c r="I1137" s="167"/>
      <c r="J1137" s="167"/>
    </row>
    <row r="1138" spans="2:10" x14ac:dyDescent="0.25">
      <c r="B1138" s="169">
        <f t="shared" si="35"/>
        <v>0.5825192802056729</v>
      </c>
      <c r="C1138">
        <v>4097</v>
      </c>
      <c r="E1138">
        <v>2</v>
      </c>
      <c r="F1138">
        <v>2</v>
      </c>
      <c r="G1138" s="15">
        <v>1</v>
      </c>
      <c r="H1138" s="167">
        <f t="shared" si="34"/>
        <v>5.1413881748071976E-4</v>
      </c>
      <c r="I1138" s="167"/>
      <c r="J1138" s="167"/>
    </row>
    <row r="1139" spans="2:10" x14ac:dyDescent="0.25">
      <c r="B1139" s="169">
        <f t="shared" si="35"/>
        <v>0.58303341902315364</v>
      </c>
      <c r="C1139">
        <v>5895</v>
      </c>
      <c r="E1139">
        <v>1</v>
      </c>
      <c r="F1139">
        <v>1</v>
      </c>
      <c r="G1139" s="15">
        <v>1</v>
      </c>
      <c r="H1139" s="167">
        <f t="shared" si="34"/>
        <v>5.1413881748071976E-4</v>
      </c>
      <c r="I1139" s="167"/>
      <c r="J1139" s="167"/>
    </row>
    <row r="1140" spans="2:10" x14ac:dyDescent="0.25">
      <c r="B1140" s="169">
        <f t="shared" si="35"/>
        <v>0.58354755784063439</v>
      </c>
      <c r="C1140">
        <v>6542</v>
      </c>
      <c r="E1140">
        <v>30</v>
      </c>
      <c r="F1140">
        <v>30</v>
      </c>
      <c r="G1140" s="15">
        <v>1</v>
      </c>
      <c r="H1140" s="167">
        <f t="shared" si="34"/>
        <v>5.1413881748071976E-4</v>
      </c>
      <c r="I1140" s="167"/>
      <c r="J1140" s="167"/>
    </row>
    <row r="1141" spans="2:10" x14ac:dyDescent="0.25">
      <c r="B1141" s="169">
        <f t="shared" si="35"/>
        <v>0.58406169665811514</v>
      </c>
      <c r="C1141">
        <v>4100</v>
      </c>
      <c r="E1141">
        <v>8</v>
      </c>
      <c r="F1141">
        <v>8</v>
      </c>
      <c r="G1141" s="15">
        <v>1</v>
      </c>
      <c r="H1141" s="167">
        <f t="shared" si="34"/>
        <v>5.1413881748071976E-4</v>
      </c>
      <c r="I1141" s="167"/>
      <c r="J1141" s="167"/>
    </row>
    <row r="1142" spans="2:10" x14ac:dyDescent="0.25">
      <c r="B1142" s="169">
        <f t="shared" si="35"/>
        <v>0.58457583547559588</v>
      </c>
      <c r="C1142">
        <v>4067</v>
      </c>
      <c r="E1142">
        <v>4</v>
      </c>
      <c r="F1142">
        <v>4</v>
      </c>
      <c r="G1142" s="15">
        <v>1</v>
      </c>
      <c r="H1142" s="167">
        <f t="shared" si="34"/>
        <v>5.1413881748071976E-4</v>
      </c>
      <c r="I1142" s="167"/>
      <c r="J1142" s="167"/>
    </row>
    <row r="1143" spans="2:10" x14ac:dyDescent="0.25">
      <c r="B1143" s="169">
        <f t="shared" si="35"/>
        <v>0.58508997429307663</v>
      </c>
      <c r="C1143">
        <v>6530</v>
      </c>
      <c r="E1143">
        <v>2</v>
      </c>
      <c r="F1143">
        <v>2</v>
      </c>
      <c r="G1143" s="15">
        <v>1</v>
      </c>
      <c r="H1143" s="167">
        <f t="shared" si="34"/>
        <v>5.1413881748071976E-4</v>
      </c>
      <c r="I1143" s="167"/>
      <c r="J1143" s="167"/>
    </row>
    <row r="1144" spans="2:10" x14ac:dyDescent="0.25">
      <c r="B1144" s="169">
        <f t="shared" si="35"/>
        <v>0.58560411311055738</v>
      </c>
      <c r="C1144">
        <v>6799</v>
      </c>
      <c r="E1144">
        <v>4</v>
      </c>
      <c r="F1144">
        <v>4</v>
      </c>
      <c r="G1144" s="15">
        <v>1</v>
      </c>
      <c r="H1144" s="167">
        <f t="shared" si="34"/>
        <v>5.1413881748071976E-4</v>
      </c>
      <c r="I1144" s="167"/>
      <c r="J1144" s="167"/>
    </row>
    <row r="1145" spans="2:10" x14ac:dyDescent="0.25">
      <c r="B1145" s="169">
        <f t="shared" si="35"/>
        <v>0.58611825192803813</v>
      </c>
      <c r="C1145">
        <v>6910</v>
      </c>
      <c r="E1145">
        <v>17</v>
      </c>
      <c r="F1145">
        <v>17</v>
      </c>
      <c r="G1145" s="15">
        <v>1</v>
      </c>
      <c r="H1145" s="167">
        <f t="shared" si="34"/>
        <v>5.1413881748071976E-4</v>
      </c>
      <c r="I1145" s="167"/>
      <c r="J1145" s="167"/>
    </row>
    <row r="1146" spans="2:10" x14ac:dyDescent="0.25">
      <c r="B1146" s="169">
        <f t="shared" si="35"/>
        <v>0.58663239074551887</v>
      </c>
      <c r="C1146">
        <v>6798</v>
      </c>
      <c r="E1146">
        <v>1</v>
      </c>
      <c r="F1146">
        <v>1</v>
      </c>
      <c r="G1146" s="15">
        <v>1</v>
      </c>
      <c r="H1146" s="167">
        <f t="shared" si="34"/>
        <v>5.1413881748071976E-4</v>
      </c>
      <c r="I1146" s="167"/>
      <c r="J1146" s="167"/>
    </row>
    <row r="1147" spans="2:10" x14ac:dyDescent="0.25">
      <c r="B1147" s="169">
        <f t="shared" si="35"/>
        <v>0.58714652956299962</v>
      </c>
      <c r="C1147">
        <v>2490</v>
      </c>
      <c r="E1147">
        <v>4</v>
      </c>
      <c r="F1147">
        <v>4</v>
      </c>
      <c r="G1147" s="15">
        <v>1</v>
      </c>
      <c r="H1147" s="167">
        <f t="shared" si="34"/>
        <v>5.1413881748071976E-4</v>
      </c>
      <c r="I1147" s="167"/>
      <c r="J1147" s="167"/>
    </row>
    <row r="1148" spans="2:10" x14ac:dyDescent="0.25">
      <c r="B1148" s="169">
        <f t="shared" si="35"/>
        <v>0.58766066838048037</v>
      </c>
      <c r="C1148">
        <v>6659</v>
      </c>
      <c r="E1148">
        <v>2</v>
      </c>
      <c r="F1148">
        <v>2</v>
      </c>
      <c r="G1148" s="15">
        <v>1</v>
      </c>
      <c r="H1148" s="167">
        <f t="shared" si="34"/>
        <v>5.1413881748071976E-4</v>
      </c>
      <c r="I1148" s="167"/>
      <c r="J1148" s="167"/>
    </row>
    <row r="1149" spans="2:10" x14ac:dyDescent="0.25">
      <c r="B1149" s="169">
        <f t="shared" si="35"/>
        <v>0.58817480719796111</v>
      </c>
      <c r="C1149">
        <v>2491</v>
      </c>
      <c r="E1149">
        <v>4</v>
      </c>
      <c r="F1149">
        <v>4</v>
      </c>
      <c r="G1149" s="15">
        <v>1</v>
      </c>
      <c r="H1149" s="167">
        <f t="shared" si="34"/>
        <v>5.1413881748071976E-4</v>
      </c>
      <c r="I1149" s="167"/>
      <c r="J1149" s="167"/>
    </row>
    <row r="1150" spans="2:10" x14ac:dyDescent="0.25">
      <c r="B1150" s="169">
        <f t="shared" si="35"/>
        <v>0.58868894601544186</v>
      </c>
      <c r="C1150">
        <v>6860</v>
      </c>
      <c r="E1150">
        <v>20</v>
      </c>
      <c r="F1150">
        <v>20</v>
      </c>
      <c r="G1150" s="15">
        <v>1</v>
      </c>
      <c r="H1150" s="167">
        <f t="shared" si="34"/>
        <v>5.1413881748071976E-4</v>
      </c>
      <c r="I1150" s="167"/>
      <c r="J1150" s="167"/>
    </row>
    <row r="1151" spans="2:10" x14ac:dyDescent="0.25">
      <c r="B1151" s="169">
        <f t="shared" si="35"/>
        <v>0.58920308483292261</v>
      </c>
      <c r="C1151">
        <v>3832</v>
      </c>
      <c r="E1151">
        <v>3</v>
      </c>
      <c r="F1151">
        <v>3</v>
      </c>
      <c r="G1151" s="15">
        <v>1</v>
      </c>
      <c r="H1151" s="167">
        <f t="shared" si="34"/>
        <v>5.1413881748071976E-4</v>
      </c>
      <c r="I1151" s="167"/>
      <c r="J1151" s="167"/>
    </row>
    <row r="1152" spans="2:10" x14ac:dyDescent="0.25">
      <c r="B1152" s="169">
        <f t="shared" si="35"/>
        <v>0.58971722365040335</v>
      </c>
      <c r="C1152">
        <v>3833</v>
      </c>
      <c r="E1152">
        <v>3</v>
      </c>
      <c r="F1152">
        <v>3</v>
      </c>
      <c r="G1152" s="15">
        <v>1</v>
      </c>
      <c r="H1152" s="167">
        <f t="shared" si="34"/>
        <v>5.1413881748071976E-4</v>
      </c>
      <c r="I1152" s="167"/>
      <c r="J1152" s="167"/>
    </row>
    <row r="1153" spans="2:10" x14ac:dyDescent="0.25">
      <c r="B1153" s="169">
        <f t="shared" si="35"/>
        <v>0.5902313624678841</v>
      </c>
      <c r="C1153">
        <v>6929</v>
      </c>
      <c r="E1153">
        <v>91</v>
      </c>
      <c r="F1153">
        <v>91</v>
      </c>
      <c r="G1153" s="15">
        <v>1</v>
      </c>
      <c r="H1153" s="167">
        <f t="shared" si="34"/>
        <v>5.1413881748071976E-4</v>
      </c>
      <c r="I1153" s="167"/>
      <c r="J1153" s="167"/>
    </row>
    <row r="1154" spans="2:10" x14ac:dyDescent="0.25">
      <c r="B1154" s="169">
        <f t="shared" si="35"/>
        <v>0.59074550128536485</v>
      </c>
      <c r="C1154">
        <v>7020</v>
      </c>
      <c r="E1154">
        <v>2</v>
      </c>
      <c r="F1154">
        <v>2</v>
      </c>
      <c r="G1154" s="15">
        <v>1</v>
      </c>
      <c r="H1154" s="167">
        <f t="shared" si="34"/>
        <v>5.1413881748071976E-4</v>
      </c>
      <c r="I1154" s="167"/>
      <c r="J1154" s="167"/>
    </row>
    <row r="1155" spans="2:10" x14ac:dyDescent="0.25">
      <c r="B1155" s="169">
        <f t="shared" si="35"/>
        <v>0.5912596401028456</v>
      </c>
      <c r="C1155">
        <v>6594</v>
      </c>
      <c r="E1155">
        <v>12</v>
      </c>
      <c r="F1155">
        <v>12</v>
      </c>
      <c r="G1155" s="15">
        <v>1</v>
      </c>
      <c r="H1155" s="167">
        <f t="shared" si="34"/>
        <v>5.1413881748071976E-4</v>
      </c>
      <c r="I1155" s="167"/>
      <c r="J1155" s="167"/>
    </row>
    <row r="1156" spans="2:10" x14ac:dyDescent="0.25">
      <c r="B1156" s="169">
        <f t="shared" si="35"/>
        <v>0.59177377892032634</v>
      </c>
      <c r="C1156">
        <v>6595</v>
      </c>
      <c r="E1156">
        <v>12</v>
      </c>
      <c r="F1156">
        <v>12</v>
      </c>
      <c r="G1156" s="15">
        <v>1</v>
      </c>
      <c r="H1156" s="167">
        <f t="shared" si="34"/>
        <v>5.1413881748071976E-4</v>
      </c>
      <c r="I1156" s="167"/>
      <c r="J1156" s="167"/>
    </row>
    <row r="1157" spans="2:10" x14ac:dyDescent="0.25">
      <c r="B1157" s="169">
        <f t="shared" si="35"/>
        <v>0.59228791773780709</v>
      </c>
      <c r="C1157">
        <v>6596</v>
      </c>
      <c r="E1157">
        <v>27</v>
      </c>
      <c r="F1157">
        <v>27</v>
      </c>
      <c r="G1157" s="15">
        <v>1</v>
      </c>
      <c r="H1157" s="167">
        <f t="shared" si="34"/>
        <v>5.1413881748071976E-4</v>
      </c>
      <c r="I1157" s="167"/>
      <c r="J1157" s="167"/>
    </row>
    <row r="1158" spans="2:10" x14ac:dyDescent="0.25">
      <c r="B1158" s="169">
        <f t="shared" si="35"/>
        <v>0.59280205655528784</v>
      </c>
      <c r="C1158">
        <v>6793</v>
      </c>
      <c r="E1158">
        <v>3</v>
      </c>
      <c r="F1158">
        <v>3</v>
      </c>
      <c r="G1158" s="15">
        <v>1</v>
      </c>
      <c r="H1158" s="167">
        <f t="shared" ref="H1158:H1221" si="36">1/$L$6</f>
        <v>5.1413881748071976E-4</v>
      </c>
      <c r="I1158" s="167"/>
      <c r="J1158" s="167"/>
    </row>
    <row r="1159" spans="2:10" x14ac:dyDescent="0.25">
      <c r="B1159" s="169">
        <f t="shared" ref="B1159:B1222" si="37">B1158+H1159</f>
        <v>0.59331619537276858</v>
      </c>
      <c r="C1159">
        <v>6794</v>
      </c>
      <c r="E1159">
        <v>2</v>
      </c>
      <c r="F1159">
        <v>2</v>
      </c>
      <c r="G1159" s="15">
        <v>1</v>
      </c>
      <c r="H1159" s="167">
        <f t="shared" si="36"/>
        <v>5.1413881748071976E-4</v>
      </c>
      <c r="I1159" s="167"/>
      <c r="J1159" s="167"/>
    </row>
    <row r="1160" spans="2:10" x14ac:dyDescent="0.25">
      <c r="B1160" s="169">
        <f t="shared" si="37"/>
        <v>0.59383033419024933</v>
      </c>
      <c r="C1160">
        <v>3593</v>
      </c>
      <c r="E1160">
        <v>1</v>
      </c>
      <c r="F1160">
        <v>1</v>
      </c>
      <c r="G1160" s="15">
        <v>1</v>
      </c>
      <c r="H1160" s="167">
        <f t="shared" si="36"/>
        <v>5.1413881748071976E-4</v>
      </c>
      <c r="I1160" s="167"/>
      <c r="J1160" s="167"/>
    </row>
    <row r="1161" spans="2:10" x14ac:dyDescent="0.25">
      <c r="B1161" s="169">
        <f t="shared" si="37"/>
        <v>0.59434447300773008</v>
      </c>
      <c r="C1161">
        <v>5693</v>
      </c>
      <c r="E1161">
        <v>2</v>
      </c>
      <c r="F1161">
        <v>2</v>
      </c>
      <c r="G1161" s="15">
        <v>1</v>
      </c>
      <c r="H1161" s="167">
        <f t="shared" si="36"/>
        <v>5.1413881748071976E-4</v>
      </c>
      <c r="I1161" s="167"/>
      <c r="J1161" s="167"/>
    </row>
    <row r="1162" spans="2:10" x14ac:dyDescent="0.25">
      <c r="B1162" s="169">
        <f t="shared" si="37"/>
        <v>0.59485861182521083</v>
      </c>
      <c r="C1162">
        <v>7021</v>
      </c>
      <c r="E1162">
        <v>3</v>
      </c>
      <c r="F1162">
        <v>3</v>
      </c>
      <c r="G1162" s="15">
        <v>1</v>
      </c>
      <c r="H1162" s="167">
        <f t="shared" si="36"/>
        <v>5.1413881748071976E-4</v>
      </c>
      <c r="I1162" s="167"/>
      <c r="J1162" s="167"/>
    </row>
    <row r="1163" spans="2:10" x14ac:dyDescent="0.25">
      <c r="B1163" s="169">
        <f t="shared" si="37"/>
        <v>0.59537275064269157</v>
      </c>
      <c r="C1163">
        <v>529</v>
      </c>
      <c r="E1163">
        <v>1</v>
      </c>
      <c r="F1163">
        <v>1</v>
      </c>
      <c r="G1163" s="15">
        <v>1</v>
      </c>
      <c r="H1163" s="167">
        <f t="shared" si="36"/>
        <v>5.1413881748071976E-4</v>
      </c>
      <c r="I1163" s="167"/>
      <c r="J1163" s="167"/>
    </row>
    <row r="1164" spans="2:10" x14ac:dyDescent="0.25">
      <c r="B1164" s="169">
        <f t="shared" si="37"/>
        <v>0.59588688946017232</v>
      </c>
      <c r="C1164">
        <v>535</v>
      </c>
      <c r="E1164">
        <v>1</v>
      </c>
      <c r="F1164">
        <v>1</v>
      </c>
      <c r="G1164" s="15">
        <v>1</v>
      </c>
      <c r="H1164" s="167">
        <f t="shared" si="36"/>
        <v>5.1413881748071976E-4</v>
      </c>
      <c r="I1164" s="167"/>
      <c r="J1164" s="167"/>
    </row>
    <row r="1165" spans="2:10" x14ac:dyDescent="0.25">
      <c r="B1165" s="169">
        <f t="shared" si="37"/>
        <v>0.59640102827765307</v>
      </c>
      <c r="C1165">
        <v>590</v>
      </c>
      <c r="E1165">
        <v>1</v>
      </c>
      <c r="F1165">
        <v>1</v>
      </c>
      <c r="G1165" s="15">
        <v>1</v>
      </c>
      <c r="H1165" s="167">
        <f t="shared" si="36"/>
        <v>5.1413881748071976E-4</v>
      </c>
      <c r="I1165" s="167"/>
      <c r="J1165" s="167"/>
    </row>
    <row r="1166" spans="2:10" x14ac:dyDescent="0.25">
      <c r="B1166" s="169">
        <f t="shared" si="37"/>
        <v>0.59691516709513381</v>
      </c>
      <c r="C1166">
        <v>621</v>
      </c>
      <c r="E1166">
        <v>1</v>
      </c>
      <c r="F1166">
        <v>1</v>
      </c>
      <c r="G1166" s="15">
        <v>1</v>
      </c>
      <c r="H1166" s="167">
        <f t="shared" si="36"/>
        <v>5.1413881748071976E-4</v>
      </c>
      <c r="I1166" s="167"/>
      <c r="J1166" s="167"/>
    </row>
    <row r="1167" spans="2:10" x14ac:dyDescent="0.25">
      <c r="B1167" s="169">
        <f t="shared" si="37"/>
        <v>0.59742930591261456</v>
      </c>
      <c r="C1167">
        <v>6558</v>
      </c>
      <c r="E1167">
        <v>25</v>
      </c>
      <c r="F1167">
        <v>25</v>
      </c>
      <c r="G1167" s="15">
        <v>1</v>
      </c>
      <c r="H1167" s="167">
        <f t="shared" si="36"/>
        <v>5.1413881748071976E-4</v>
      </c>
      <c r="I1167" s="167"/>
      <c r="J1167" s="167"/>
    </row>
    <row r="1168" spans="2:10" x14ac:dyDescent="0.25">
      <c r="B1168" s="169">
        <f t="shared" si="37"/>
        <v>0.59794344473009531</v>
      </c>
      <c r="C1168">
        <v>6801</v>
      </c>
      <c r="E1168">
        <v>1</v>
      </c>
      <c r="F1168">
        <v>1</v>
      </c>
      <c r="G1168" s="15">
        <v>1</v>
      </c>
      <c r="H1168" s="167">
        <f t="shared" si="36"/>
        <v>5.1413881748071976E-4</v>
      </c>
      <c r="I1168" s="167"/>
      <c r="J1168" s="167"/>
    </row>
    <row r="1169" spans="2:10" x14ac:dyDescent="0.25">
      <c r="B1169" s="169">
        <f t="shared" si="37"/>
        <v>0.59845758354757606</v>
      </c>
      <c r="C1169">
        <v>3966</v>
      </c>
      <c r="E1169">
        <v>5</v>
      </c>
      <c r="F1169">
        <v>5</v>
      </c>
      <c r="G1169" s="15">
        <v>1</v>
      </c>
      <c r="H1169" s="167">
        <f t="shared" si="36"/>
        <v>5.1413881748071976E-4</v>
      </c>
      <c r="I1169" s="167"/>
      <c r="J1169" s="167"/>
    </row>
    <row r="1170" spans="2:10" x14ac:dyDescent="0.25">
      <c r="B1170" s="169">
        <f t="shared" si="37"/>
        <v>0.5989717223650568</v>
      </c>
      <c r="C1170">
        <v>6911</v>
      </c>
      <c r="E1170">
        <v>1</v>
      </c>
      <c r="F1170">
        <v>1</v>
      </c>
      <c r="G1170" s="15">
        <v>1</v>
      </c>
      <c r="H1170" s="167">
        <f t="shared" si="36"/>
        <v>5.1413881748071976E-4</v>
      </c>
      <c r="I1170" s="167"/>
      <c r="J1170" s="167"/>
    </row>
    <row r="1171" spans="2:10" x14ac:dyDescent="0.25">
      <c r="B1171" s="169">
        <f t="shared" si="37"/>
        <v>0.59948586118253755</v>
      </c>
      <c r="C1171">
        <v>4104</v>
      </c>
      <c r="E1171">
        <v>1</v>
      </c>
      <c r="F1171">
        <v>1</v>
      </c>
      <c r="G1171" s="15">
        <v>1</v>
      </c>
      <c r="H1171" s="167">
        <f t="shared" si="36"/>
        <v>5.1413881748071976E-4</v>
      </c>
      <c r="I1171" s="167"/>
      <c r="J1171" s="167"/>
    </row>
    <row r="1172" spans="2:10" x14ac:dyDescent="0.25">
      <c r="B1172" s="169">
        <f t="shared" si="37"/>
        <v>0.6000000000000183</v>
      </c>
      <c r="C1172">
        <v>3831</v>
      </c>
      <c r="E1172">
        <v>3</v>
      </c>
      <c r="F1172">
        <v>3</v>
      </c>
      <c r="G1172" s="15">
        <v>1</v>
      </c>
      <c r="H1172" s="167">
        <f t="shared" si="36"/>
        <v>5.1413881748071976E-4</v>
      </c>
      <c r="I1172" s="167"/>
      <c r="J1172" s="167"/>
    </row>
    <row r="1173" spans="2:10" x14ac:dyDescent="0.25">
      <c r="B1173" s="169">
        <f t="shared" si="37"/>
        <v>0.60051413881749904</v>
      </c>
      <c r="C1173">
        <v>6912</v>
      </c>
      <c r="E1173">
        <v>5</v>
      </c>
      <c r="F1173">
        <v>5</v>
      </c>
      <c r="G1173" s="15">
        <v>1</v>
      </c>
      <c r="H1173" s="167">
        <f t="shared" si="36"/>
        <v>5.1413881748071976E-4</v>
      </c>
      <c r="I1173" s="167"/>
      <c r="J1173" s="167"/>
    </row>
    <row r="1174" spans="2:10" x14ac:dyDescent="0.25">
      <c r="B1174" s="169">
        <f t="shared" si="37"/>
        <v>0.60102827763497979</v>
      </c>
      <c r="C1174">
        <v>6931</v>
      </c>
      <c r="E1174">
        <v>2</v>
      </c>
      <c r="F1174">
        <v>2</v>
      </c>
      <c r="G1174" s="15">
        <v>1</v>
      </c>
      <c r="H1174" s="167">
        <f t="shared" si="36"/>
        <v>5.1413881748071976E-4</v>
      </c>
      <c r="I1174" s="167"/>
      <c r="J1174" s="167"/>
    </row>
    <row r="1175" spans="2:10" x14ac:dyDescent="0.25">
      <c r="B1175" s="169">
        <f t="shared" si="37"/>
        <v>0.60154241645246054</v>
      </c>
      <c r="C1175">
        <v>3835</v>
      </c>
      <c r="E1175">
        <v>2</v>
      </c>
      <c r="F1175">
        <v>2</v>
      </c>
      <c r="G1175" s="15">
        <v>1</v>
      </c>
      <c r="H1175" s="167">
        <f t="shared" si="36"/>
        <v>5.1413881748071976E-4</v>
      </c>
      <c r="I1175" s="167"/>
      <c r="J1175" s="167"/>
    </row>
    <row r="1176" spans="2:10" x14ac:dyDescent="0.25">
      <c r="B1176" s="169">
        <f t="shared" si="37"/>
        <v>0.60205655526994128</v>
      </c>
      <c r="C1176">
        <v>4077</v>
      </c>
      <c r="E1176">
        <v>4</v>
      </c>
      <c r="F1176">
        <v>4</v>
      </c>
      <c r="G1176" s="15">
        <v>1</v>
      </c>
      <c r="H1176" s="167">
        <f t="shared" si="36"/>
        <v>5.1413881748071976E-4</v>
      </c>
      <c r="I1176" s="167"/>
      <c r="J1176" s="167"/>
    </row>
    <row r="1177" spans="2:10" x14ac:dyDescent="0.25">
      <c r="B1177" s="169">
        <f t="shared" si="37"/>
        <v>0.60257069408742203</v>
      </c>
      <c r="C1177">
        <v>4079</v>
      </c>
      <c r="E1177">
        <v>4</v>
      </c>
      <c r="F1177">
        <v>4</v>
      </c>
      <c r="G1177" s="15">
        <v>1</v>
      </c>
      <c r="H1177" s="167">
        <f t="shared" si="36"/>
        <v>5.1413881748071976E-4</v>
      </c>
      <c r="I1177" s="167"/>
      <c r="J1177" s="167"/>
    </row>
    <row r="1178" spans="2:10" x14ac:dyDescent="0.25">
      <c r="B1178" s="169">
        <f t="shared" si="37"/>
        <v>0.60308483290490278</v>
      </c>
      <c r="C1178">
        <v>4080</v>
      </c>
      <c r="E1178">
        <v>4</v>
      </c>
      <c r="F1178">
        <v>4</v>
      </c>
      <c r="G1178" s="15">
        <v>1</v>
      </c>
      <c r="H1178" s="167">
        <f t="shared" si="36"/>
        <v>5.1413881748071976E-4</v>
      </c>
      <c r="I1178" s="167"/>
      <c r="J1178" s="167"/>
    </row>
    <row r="1179" spans="2:10" x14ac:dyDescent="0.25">
      <c r="B1179" s="169">
        <f t="shared" si="37"/>
        <v>0.60359897172238353</v>
      </c>
      <c r="C1179">
        <v>5665</v>
      </c>
      <c r="E1179">
        <v>4</v>
      </c>
      <c r="F1179">
        <v>4</v>
      </c>
      <c r="G1179" s="15">
        <v>1</v>
      </c>
      <c r="H1179" s="167">
        <f t="shared" si="36"/>
        <v>5.1413881748071976E-4</v>
      </c>
      <c r="I1179" s="167"/>
      <c r="J1179" s="167"/>
    </row>
    <row r="1180" spans="2:10" x14ac:dyDescent="0.25">
      <c r="B1180" s="169">
        <f t="shared" si="37"/>
        <v>0.60411311053986427</v>
      </c>
      <c r="C1180">
        <v>6915</v>
      </c>
      <c r="E1180">
        <v>135</v>
      </c>
      <c r="F1180">
        <v>135</v>
      </c>
      <c r="G1180" s="15">
        <v>1</v>
      </c>
      <c r="H1180" s="167">
        <f t="shared" si="36"/>
        <v>5.1413881748071976E-4</v>
      </c>
      <c r="I1180" s="167"/>
      <c r="J1180" s="167"/>
    </row>
    <row r="1181" spans="2:10" x14ac:dyDescent="0.25">
      <c r="B1181" s="169">
        <f t="shared" si="37"/>
        <v>0.60462724935734502</v>
      </c>
      <c r="C1181">
        <v>4106</v>
      </c>
      <c r="E1181">
        <v>2</v>
      </c>
      <c r="F1181">
        <v>2</v>
      </c>
      <c r="G1181" s="15">
        <v>1</v>
      </c>
      <c r="H1181" s="167">
        <f t="shared" si="36"/>
        <v>5.1413881748071976E-4</v>
      </c>
      <c r="I1181" s="167"/>
      <c r="J1181" s="167"/>
    </row>
    <row r="1182" spans="2:10" x14ac:dyDescent="0.25">
      <c r="B1182" s="169">
        <f t="shared" si="37"/>
        <v>0.60514138817482577</v>
      </c>
      <c r="C1182">
        <v>4108</v>
      </c>
      <c r="E1182">
        <v>8</v>
      </c>
      <c r="F1182">
        <v>8</v>
      </c>
      <c r="G1182" s="15">
        <v>1</v>
      </c>
      <c r="H1182" s="167">
        <f t="shared" si="36"/>
        <v>5.1413881748071976E-4</v>
      </c>
      <c r="I1182" s="167"/>
      <c r="J1182" s="167"/>
    </row>
    <row r="1183" spans="2:10" x14ac:dyDescent="0.25">
      <c r="B1183" s="169">
        <f t="shared" si="37"/>
        <v>0.60565552699230651</v>
      </c>
      <c r="C1183">
        <v>4186</v>
      </c>
      <c r="E1183">
        <v>8</v>
      </c>
      <c r="F1183">
        <v>8</v>
      </c>
      <c r="G1183" s="15">
        <v>1</v>
      </c>
      <c r="H1183" s="167">
        <f t="shared" si="36"/>
        <v>5.1413881748071976E-4</v>
      </c>
      <c r="I1183" s="167"/>
      <c r="J1183" s="167"/>
    </row>
    <row r="1184" spans="2:10" x14ac:dyDescent="0.25">
      <c r="B1184" s="169">
        <f t="shared" si="37"/>
        <v>0.60616966580978726</v>
      </c>
      <c r="C1184">
        <v>585</v>
      </c>
      <c r="E1184">
        <v>1</v>
      </c>
      <c r="F1184">
        <v>1</v>
      </c>
      <c r="G1184" s="15">
        <v>1</v>
      </c>
      <c r="H1184" s="167">
        <f t="shared" si="36"/>
        <v>5.1413881748071976E-4</v>
      </c>
      <c r="I1184" s="167"/>
      <c r="J1184" s="167"/>
    </row>
    <row r="1185" spans="2:10" x14ac:dyDescent="0.25">
      <c r="B1185" s="169">
        <f t="shared" si="37"/>
        <v>0.60668380462726801</v>
      </c>
      <c r="C1185">
        <v>541</v>
      </c>
      <c r="E1185">
        <v>1</v>
      </c>
      <c r="F1185">
        <v>1</v>
      </c>
      <c r="G1185" s="15">
        <v>1</v>
      </c>
      <c r="H1185" s="167">
        <f t="shared" si="36"/>
        <v>5.1413881748071976E-4</v>
      </c>
      <c r="I1185" s="167"/>
      <c r="J1185" s="167"/>
    </row>
    <row r="1186" spans="2:10" x14ac:dyDescent="0.25">
      <c r="B1186" s="169">
        <f t="shared" si="37"/>
        <v>0.60719794344474876</v>
      </c>
      <c r="C1186">
        <v>547</v>
      </c>
      <c r="E1186">
        <v>1</v>
      </c>
      <c r="F1186">
        <v>1</v>
      </c>
      <c r="G1186" s="15">
        <v>1</v>
      </c>
      <c r="H1186" s="167">
        <f t="shared" si="36"/>
        <v>5.1413881748071976E-4</v>
      </c>
      <c r="I1186" s="167"/>
      <c r="J1186" s="167"/>
    </row>
    <row r="1187" spans="2:10" x14ac:dyDescent="0.25">
      <c r="B1187" s="169">
        <f t="shared" si="37"/>
        <v>0.6077120822622295</v>
      </c>
      <c r="C1187">
        <v>553</v>
      </c>
      <c r="E1187">
        <v>1</v>
      </c>
      <c r="F1187">
        <v>1</v>
      </c>
      <c r="G1187" s="15">
        <v>1</v>
      </c>
      <c r="H1187" s="167">
        <f t="shared" si="36"/>
        <v>5.1413881748071976E-4</v>
      </c>
      <c r="I1187" s="167"/>
      <c r="J1187" s="167"/>
    </row>
    <row r="1188" spans="2:10" x14ac:dyDescent="0.25">
      <c r="B1188" s="169">
        <f t="shared" si="37"/>
        <v>0.60822622107971025</v>
      </c>
      <c r="C1188">
        <v>596</v>
      </c>
      <c r="E1188">
        <v>1</v>
      </c>
      <c r="F1188">
        <v>1</v>
      </c>
      <c r="G1188" s="15">
        <v>1</v>
      </c>
      <c r="H1188" s="167">
        <f t="shared" si="36"/>
        <v>5.1413881748071976E-4</v>
      </c>
      <c r="I1188" s="167"/>
      <c r="J1188" s="167"/>
    </row>
    <row r="1189" spans="2:10" x14ac:dyDescent="0.25">
      <c r="B1189" s="169">
        <f t="shared" si="37"/>
        <v>0.608740359897191</v>
      </c>
      <c r="C1189">
        <v>602</v>
      </c>
      <c r="E1189">
        <v>1</v>
      </c>
      <c r="F1189">
        <v>1</v>
      </c>
      <c r="G1189" s="15">
        <v>1</v>
      </c>
      <c r="H1189" s="167">
        <f t="shared" si="36"/>
        <v>5.1413881748071976E-4</v>
      </c>
      <c r="I1189" s="167"/>
      <c r="J1189" s="167"/>
    </row>
    <row r="1190" spans="2:10" x14ac:dyDescent="0.25">
      <c r="B1190" s="169">
        <f t="shared" si="37"/>
        <v>0.60925449871467174</v>
      </c>
      <c r="C1190">
        <v>608</v>
      </c>
      <c r="E1190">
        <v>1</v>
      </c>
      <c r="F1190">
        <v>1</v>
      </c>
      <c r="G1190" s="15">
        <v>1</v>
      </c>
      <c r="H1190" s="167">
        <f t="shared" si="36"/>
        <v>5.1413881748071976E-4</v>
      </c>
      <c r="I1190" s="167"/>
      <c r="J1190" s="167"/>
    </row>
    <row r="1191" spans="2:10" x14ac:dyDescent="0.25">
      <c r="B1191" s="169">
        <f t="shared" si="37"/>
        <v>0.60976863753215249</v>
      </c>
      <c r="C1191">
        <v>5493</v>
      </c>
      <c r="E1191">
        <v>4</v>
      </c>
      <c r="F1191">
        <v>4</v>
      </c>
      <c r="G1191" s="15">
        <v>1</v>
      </c>
      <c r="H1191" s="167">
        <f t="shared" si="36"/>
        <v>5.1413881748071976E-4</v>
      </c>
      <c r="I1191" s="167"/>
      <c r="J1191" s="167"/>
    </row>
    <row r="1192" spans="2:10" x14ac:dyDescent="0.25">
      <c r="B1192" s="169">
        <f t="shared" si="37"/>
        <v>0.61028277634963324</v>
      </c>
      <c r="C1192">
        <v>5663</v>
      </c>
      <c r="E1192">
        <v>4</v>
      </c>
      <c r="F1192">
        <v>4</v>
      </c>
      <c r="G1192" s="15">
        <v>1</v>
      </c>
      <c r="H1192" s="167">
        <f t="shared" si="36"/>
        <v>5.1413881748071976E-4</v>
      </c>
      <c r="I1192" s="167"/>
      <c r="J1192" s="167"/>
    </row>
    <row r="1193" spans="2:10" x14ac:dyDescent="0.25">
      <c r="B1193" s="169">
        <f t="shared" si="37"/>
        <v>0.61079691516711399</v>
      </c>
      <c r="C1193">
        <v>6597</v>
      </c>
      <c r="E1193">
        <v>4</v>
      </c>
      <c r="F1193">
        <v>4</v>
      </c>
      <c r="G1193" s="15">
        <v>1</v>
      </c>
      <c r="H1193" s="167">
        <f t="shared" si="36"/>
        <v>5.1413881748071976E-4</v>
      </c>
      <c r="I1193" s="167"/>
      <c r="J1193" s="167"/>
    </row>
    <row r="1194" spans="2:10" x14ac:dyDescent="0.25">
      <c r="B1194" s="169">
        <f t="shared" si="37"/>
        <v>0.61131105398459473</v>
      </c>
      <c r="C1194">
        <v>6599</v>
      </c>
      <c r="E1194">
        <v>4</v>
      </c>
      <c r="F1194">
        <v>4</v>
      </c>
      <c r="G1194" s="15">
        <v>1</v>
      </c>
      <c r="H1194" s="167">
        <f t="shared" si="36"/>
        <v>5.1413881748071976E-4</v>
      </c>
      <c r="I1194" s="167"/>
      <c r="J1194" s="167"/>
    </row>
    <row r="1195" spans="2:10" x14ac:dyDescent="0.25">
      <c r="B1195" s="169">
        <f t="shared" si="37"/>
        <v>0.61182519280207548</v>
      </c>
      <c r="C1195">
        <v>6600</v>
      </c>
      <c r="E1195">
        <v>5</v>
      </c>
      <c r="F1195">
        <v>5</v>
      </c>
      <c r="G1195" s="15">
        <v>1</v>
      </c>
      <c r="H1195" s="167">
        <f t="shared" si="36"/>
        <v>5.1413881748071976E-4</v>
      </c>
      <c r="I1195" s="167"/>
      <c r="J1195" s="167"/>
    </row>
    <row r="1196" spans="2:10" x14ac:dyDescent="0.25">
      <c r="B1196" s="169">
        <f t="shared" si="37"/>
        <v>0.61233933161955623</v>
      </c>
      <c r="C1196">
        <v>3594</v>
      </c>
      <c r="E1196">
        <v>1</v>
      </c>
      <c r="F1196">
        <v>1</v>
      </c>
      <c r="G1196" s="15">
        <v>1</v>
      </c>
      <c r="H1196" s="167">
        <f t="shared" si="36"/>
        <v>5.1413881748071976E-4</v>
      </c>
      <c r="I1196" s="167"/>
      <c r="J1196" s="167"/>
    </row>
    <row r="1197" spans="2:10" x14ac:dyDescent="0.25">
      <c r="B1197" s="169">
        <f t="shared" si="37"/>
        <v>0.61285347043703697</v>
      </c>
      <c r="C1197">
        <v>6930</v>
      </c>
      <c r="E1197">
        <v>6</v>
      </c>
      <c r="F1197">
        <v>6</v>
      </c>
      <c r="G1197" s="15">
        <v>1</v>
      </c>
      <c r="H1197" s="167">
        <f t="shared" si="36"/>
        <v>5.1413881748071976E-4</v>
      </c>
      <c r="I1197" s="167"/>
      <c r="J1197" s="167"/>
    </row>
    <row r="1198" spans="2:10" x14ac:dyDescent="0.25">
      <c r="B1198" s="169">
        <f t="shared" si="37"/>
        <v>0.61336760925451772</v>
      </c>
      <c r="C1198">
        <v>7006</v>
      </c>
      <c r="E1198">
        <v>10</v>
      </c>
      <c r="F1198">
        <v>10</v>
      </c>
      <c r="G1198" s="15">
        <v>1</v>
      </c>
      <c r="H1198" s="167">
        <f t="shared" si="36"/>
        <v>5.1413881748071976E-4</v>
      </c>
      <c r="I1198" s="167"/>
      <c r="J1198" s="167"/>
    </row>
    <row r="1199" spans="2:10" x14ac:dyDescent="0.25">
      <c r="B1199" s="169">
        <f t="shared" si="37"/>
        <v>0.61388174807199847</v>
      </c>
      <c r="C1199">
        <v>6603</v>
      </c>
      <c r="E1199">
        <v>9</v>
      </c>
      <c r="F1199">
        <v>9</v>
      </c>
      <c r="G1199" s="15">
        <v>1</v>
      </c>
      <c r="H1199" s="167">
        <f t="shared" si="36"/>
        <v>5.1413881748071976E-4</v>
      </c>
      <c r="I1199" s="167"/>
      <c r="J1199" s="167"/>
    </row>
    <row r="1200" spans="2:10" x14ac:dyDescent="0.25">
      <c r="B1200" s="169">
        <f t="shared" si="37"/>
        <v>0.61439588688947921</v>
      </c>
      <c r="C1200">
        <v>6083</v>
      </c>
      <c r="E1200">
        <v>10</v>
      </c>
      <c r="F1200">
        <v>10</v>
      </c>
      <c r="G1200" s="15">
        <v>1</v>
      </c>
      <c r="H1200" s="167">
        <f t="shared" si="36"/>
        <v>5.1413881748071976E-4</v>
      </c>
      <c r="I1200" s="167"/>
      <c r="J1200" s="167"/>
    </row>
    <row r="1201" spans="2:10" x14ac:dyDescent="0.25">
      <c r="B1201" s="169">
        <f t="shared" si="37"/>
        <v>0.61491002570695996</v>
      </c>
      <c r="C1201">
        <v>6800</v>
      </c>
      <c r="E1201">
        <v>4</v>
      </c>
      <c r="F1201">
        <v>4</v>
      </c>
      <c r="G1201" s="15">
        <v>1</v>
      </c>
      <c r="H1201" s="167">
        <f t="shared" si="36"/>
        <v>5.1413881748071976E-4</v>
      </c>
      <c r="I1201" s="167"/>
      <c r="J1201" s="167"/>
    </row>
    <row r="1202" spans="2:10" x14ac:dyDescent="0.25">
      <c r="B1202" s="169">
        <f t="shared" si="37"/>
        <v>0.61542416452444071</v>
      </c>
      <c r="C1202">
        <v>3813</v>
      </c>
      <c r="E1202">
        <v>1</v>
      </c>
      <c r="F1202">
        <v>1</v>
      </c>
      <c r="G1202" s="15">
        <v>1</v>
      </c>
      <c r="H1202" s="167">
        <f t="shared" si="36"/>
        <v>5.1413881748071976E-4</v>
      </c>
      <c r="I1202" s="167"/>
      <c r="J1202" s="167"/>
    </row>
    <row r="1203" spans="2:10" x14ac:dyDescent="0.25">
      <c r="B1203" s="169">
        <f t="shared" si="37"/>
        <v>0.61593830334192146</v>
      </c>
      <c r="C1203">
        <v>3816</v>
      </c>
      <c r="E1203">
        <v>3</v>
      </c>
      <c r="F1203">
        <v>3</v>
      </c>
      <c r="G1203" s="15">
        <v>1</v>
      </c>
      <c r="H1203" s="167">
        <f t="shared" si="36"/>
        <v>5.1413881748071976E-4</v>
      </c>
      <c r="I1203" s="167"/>
      <c r="J1203" s="167"/>
    </row>
    <row r="1204" spans="2:10" x14ac:dyDescent="0.25">
      <c r="B1204" s="169">
        <f t="shared" si="37"/>
        <v>0.6164524421594022</v>
      </c>
      <c r="C1204">
        <v>7007</v>
      </c>
      <c r="E1204">
        <v>24</v>
      </c>
      <c r="F1204">
        <v>24</v>
      </c>
      <c r="G1204" s="15">
        <v>1</v>
      </c>
      <c r="H1204" s="167">
        <f t="shared" si="36"/>
        <v>5.1413881748071976E-4</v>
      </c>
      <c r="I1204" s="167"/>
      <c r="J1204" s="167"/>
    </row>
    <row r="1205" spans="2:10" x14ac:dyDescent="0.25">
      <c r="B1205" s="169">
        <f t="shared" si="37"/>
        <v>0.61696658097688295</v>
      </c>
      <c r="C1205">
        <v>6605</v>
      </c>
      <c r="E1205">
        <v>8</v>
      </c>
      <c r="F1205">
        <v>8</v>
      </c>
      <c r="G1205" s="15">
        <v>1</v>
      </c>
      <c r="H1205" s="167">
        <f t="shared" si="36"/>
        <v>5.1413881748071976E-4</v>
      </c>
      <c r="I1205" s="167"/>
      <c r="J1205" s="167"/>
    </row>
    <row r="1206" spans="2:10" x14ac:dyDescent="0.25">
      <c r="B1206" s="169">
        <f t="shared" si="37"/>
        <v>0.6174807197943637</v>
      </c>
      <c r="C1206">
        <v>4113</v>
      </c>
      <c r="E1206">
        <v>2</v>
      </c>
      <c r="F1206">
        <v>2</v>
      </c>
      <c r="G1206" s="15">
        <v>1</v>
      </c>
      <c r="H1206" s="167">
        <f t="shared" si="36"/>
        <v>5.1413881748071976E-4</v>
      </c>
      <c r="I1206" s="167"/>
      <c r="J1206" s="167"/>
    </row>
    <row r="1207" spans="2:10" x14ac:dyDescent="0.25">
      <c r="B1207" s="169">
        <f t="shared" si="37"/>
        <v>0.61799485861184444</v>
      </c>
      <c r="C1207">
        <v>4066</v>
      </c>
      <c r="E1207">
        <v>4</v>
      </c>
      <c r="F1207">
        <v>4</v>
      </c>
      <c r="G1207" s="15">
        <v>1</v>
      </c>
      <c r="H1207" s="167">
        <f t="shared" si="36"/>
        <v>5.1413881748071976E-4</v>
      </c>
      <c r="I1207" s="167"/>
      <c r="J1207" s="167"/>
    </row>
    <row r="1208" spans="2:10" x14ac:dyDescent="0.25">
      <c r="B1208" s="169">
        <f t="shared" si="37"/>
        <v>0.61850899742932519</v>
      </c>
      <c r="C1208">
        <v>4111</v>
      </c>
      <c r="E1208">
        <v>2</v>
      </c>
      <c r="F1208">
        <v>2</v>
      </c>
      <c r="G1208" s="15">
        <v>1</v>
      </c>
      <c r="H1208" s="167">
        <f t="shared" si="36"/>
        <v>5.1413881748071976E-4</v>
      </c>
      <c r="I1208" s="167"/>
      <c r="J1208" s="167"/>
    </row>
    <row r="1209" spans="2:10" x14ac:dyDescent="0.25">
      <c r="B1209" s="169">
        <f t="shared" si="37"/>
        <v>0.61902313624680594</v>
      </c>
      <c r="C1209">
        <v>6601</v>
      </c>
      <c r="E1209">
        <v>3</v>
      </c>
      <c r="F1209">
        <v>3</v>
      </c>
      <c r="G1209" s="15">
        <v>1</v>
      </c>
      <c r="H1209" s="167">
        <f t="shared" si="36"/>
        <v>5.1413881748071976E-4</v>
      </c>
      <c r="I1209" s="167"/>
      <c r="J1209" s="167"/>
    </row>
    <row r="1210" spans="2:10" x14ac:dyDescent="0.25">
      <c r="B1210" s="169">
        <f t="shared" si="37"/>
        <v>0.61953727506428669</v>
      </c>
      <c r="C1210">
        <v>7008</v>
      </c>
      <c r="E1210">
        <v>2</v>
      </c>
      <c r="F1210">
        <v>2</v>
      </c>
      <c r="G1210" s="15">
        <v>1</v>
      </c>
      <c r="H1210" s="167">
        <f t="shared" si="36"/>
        <v>5.1413881748071976E-4</v>
      </c>
      <c r="I1210" s="167"/>
      <c r="J1210" s="167"/>
    </row>
    <row r="1211" spans="2:10" x14ac:dyDescent="0.25">
      <c r="B1211" s="169">
        <f t="shared" si="37"/>
        <v>0.62005141388176743</v>
      </c>
      <c r="C1211">
        <v>6863</v>
      </c>
      <c r="E1211">
        <v>3</v>
      </c>
      <c r="F1211">
        <v>3</v>
      </c>
      <c r="G1211" s="15">
        <v>1</v>
      </c>
      <c r="H1211" s="167">
        <f t="shared" si="36"/>
        <v>5.1413881748071976E-4</v>
      </c>
      <c r="I1211" s="167"/>
      <c r="J1211" s="167"/>
    </row>
    <row r="1212" spans="2:10" x14ac:dyDescent="0.25">
      <c r="B1212" s="169">
        <f t="shared" si="37"/>
        <v>0.62056555269924818</v>
      </c>
      <c r="C1212">
        <v>6861</v>
      </c>
      <c r="E1212">
        <v>5</v>
      </c>
      <c r="F1212">
        <v>5</v>
      </c>
      <c r="G1212" s="15">
        <v>1</v>
      </c>
      <c r="H1212" s="167">
        <f t="shared" si="36"/>
        <v>5.1413881748071976E-4</v>
      </c>
      <c r="I1212" s="167"/>
      <c r="J1212" s="167"/>
    </row>
    <row r="1213" spans="2:10" x14ac:dyDescent="0.25">
      <c r="B1213" s="169">
        <f t="shared" si="37"/>
        <v>0.62107969151672893</v>
      </c>
      <c r="C1213">
        <v>7028</v>
      </c>
      <c r="E1213">
        <v>4</v>
      </c>
      <c r="F1213">
        <v>4</v>
      </c>
      <c r="G1213" s="15">
        <v>1</v>
      </c>
      <c r="H1213" s="167">
        <f t="shared" si="36"/>
        <v>5.1413881748071976E-4</v>
      </c>
      <c r="I1213" s="167"/>
      <c r="J1213" s="167"/>
    </row>
    <row r="1214" spans="2:10" x14ac:dyDescent="0.25">
      <c r="B1214" s="169">
        <f t="shared" si="37"/>
        <v>0.62159383033420967</v>
      </c>
      <c r="C1214">
        <v>7019</v>
      </c>
      <c r="E1214">
        <v>13</v>
      </c>
      <c r="F1214">
        <v>13</v>
      </c>
      <c r="G1214" s="15">
        <v>1</v>
      </c>
      <c r="H1214" s="167">
        <f t="shared" si="36"/>
        <v>5.1413881748071976E-4</v>
      </c>
      <c r="I1214" s="167"/>
      <c r="J1214" s="167"/>
    </row>
    <row r="1215" spans="2:10" x14ac:dyDescent="0.25">
      <c r="B1215" s="169">
        <f t="shared" si="37"/>
        <v>0.62210796915169042</v>
      </c>
      <c r="C1215">
        <v>4068</v>
      </c>
      <c r="E1215">
        <v>4</v>
      </c>
      <c r="F1215">
        <v>4</v>
      </c>
      <c r="G1215" s="15">
        <v>1</v>
      </c>
      <c r="H1215" s="167">
        <f t="shared" si="36"/>
        <v>5.1413881748071976E-4</v>
      </c>
      <c r="I1215" s="167"/>
      <c r="J1215" s="167"/>
    </row>
    <row r="1216" spans="2:10" x14ac:dyDescent="0.25">
      <c r="B1216" s="169">
        <f t="shared" si="37"/>
        <v>0.62262210796917117</v>
      </c>
      <c r="C1216">
        <v>6608</v>
      </c>
      <c r="E1216">
        <v>2</v>
      </c>
      <c r="F1216">
        <v>2</v>
      </c>
      <c r="G1216" s="15">
        <v>1</v>
      </c>
      <c r="H1216" s="167">
        <f t="shared" si="36"/>
        <v>5.1413881748071976E-4</v>
      </c>
      <c r="I1216" s="167"/>
      <c r="J1216" s="167"/>
    </row>
    <row r="1217" spans="2:10" x14ac:dyDescent="0.25">
      <c r="B1217" s="169">
        <f t="shared" si="37"/>
        <v>0.62313624678665192</v>
      </c>
      <c r="C1217">
        <v>6865</v>
      </c>
      <c r="E1217">
        <v>5</v>
      </c>
      <c r="F1217">
        <v>5</v>
      </c>
      <c r="G1217" s="15">
        <v>1</v>
      </c>
      <c r="H1217" s="167">
        <f t="shared" si="36"/>
        <v>5.1413881748071976E-4</v>
      </c>
      <c r="I1217" s="167"/>
      <c r="J1217" s="167"/>
    </row>
    <row r="1218" spans="2:10" x14ac:dyDescent="0.25">
      <c r="B1218" s="169">
        <f t="shared" si="37"/>
        <v>0.62365038560413266</v>
      </c>
      <c r="C1218">
        <v>3595</v>
      </c>
      <c r="E1218">
        <v>1</v>
      </c>
      <c r="F1218">
        <v>1</v>
      </c>
      <c r="G1218" s="15">
        <v>1</v>
      </c>
      <c r="H1218" s="167">
        <f t="shared" si="36"/>
        <v>5.1413881748071976E-4</v>
      </c>
      <c r="I1218" s="167"/>
      <c r="J1218" s="167"/>
    </row>
    <row r="1219" spans="2:10" x14ac:dyDescent="0.25">
      <c r="B1219" s="169">
        <f t="shared" si="37"/>
        <v>0.62416452442161341</v>
      </c>
      <c r="C1219">
        <v>6559</v>
      </c>
      <c r="E1219">
        <v>1</v>
      </c>
      <c r="F1219">
        <v>1</v>
      </c>
      <c r="G1219" s="15">
        <v>1</v>
      </c>
      <c r="H1219" s="167">
        <f t="shared" si="36"/>
        <v>5.1413881748071976E-4</v>
      </c>
      <c r="I1219" s="167"/>
      <c r="J1219" s="167"/>
    </row>
    <row r="1220" spans="2:10" x14ac:dyDescent="0.25">
      <c r="B1220" s="169">
        <f t="shared" si="37"/>
        <v>0.62467866323909416</v>
      </c>
      <c r="C1220">
        <v>6914</v>
      </c>
      <c r="E1220">
        <v>4</v>
      </c>
      <c r="F1220">
        <v>4</v>
      </c>
      <c r="G1220" s="15">
        <v>1</v>
      </c>
      <c r="H1220" s="167">
        <f t="shared" si="36"/>
        <v>5.1413881748071976E-4</v>
      </c>
      <c r="I1220" s="167"/>
      <c r="J1220" s="167"/>
    </row>
    <row r="1221" spans="2:10" x14ac:dyDescent="0.25">
      <c r="B1221" s="169">
        <f t="shared" si="37"/>
        <v>0.6251928020565749</v>
      </c>
      <c r="C1221">
        <v>7032</v>
      </c>
      <c r="E1221">
        <v>5</v>
      </c>
      <c r="F1221">
        <v>5</v>
      </c>
      <c r="G1221" s="15">
        <v>1</v>
      </c>
      <c r="H1221" s="167">
        <f t="shared" si="36"/>
        <v>5.1413881748071976E-4</v>
      </c>
      <c r="I1221" s="167"/>
      <c r="J1221" s="167"/>
    </row>
    <row r="1222" spans="2:10" x14ac:dyDescent="0.25">
      <c r="B1222" s="169">
        <f t="shared" si="37"/>
        <v>0.62570694087405565</v>
      </c>
      <c r="C1222">
        <v>6932</v>
      </c>
      <c r="E1222">
        <v>14</v>
      </c>
      <c r="F1222">
        <v>14</v>
      </c>
      <c r="G1222" s="15">
        <v>1</v>
      </c>
      <c r="H1222" s="167">
        <f t="shared" ref="H1222:H1285" si="38">1/$L$6</f>
        <v>5.1413881748071976E-4</v>
      </c>
      <c r="I1222" s="167"/>
      <c r="J1222" s="167"/>
    </row>
    <row r="1223" spans="2:10" x14ac:dyDescent="0.25">
      <c r="B1223" s="169">
        <f t="shared" ref="B1223:B1286" si="39">B1222+H1223</f>
        <v>0.6262210796915364</v>
      </c>
      <c r="C1223">
        <v>7034</v>
      </c>
      <c r="E1223">
        <v>2</v>
      </c>
      <c r="F1223">
        <v>2</v>
      </c>
      <c r="G1223" s="15">
        <v>1</v>
      </c>
      <c r="H1223" s="167">
        <f t="shared" si="38"/>
        <v>5.1413881748071976E-4</v>
      </c>
      <c r="I1223" s="167"/>
      <c r="J1223" s="167"/>
    </row>
    <row r="1224" spans="2:10" x14ac:dyDescent="0.25">
      <c r="B1224" s="169">
        <f t="shared" si="39"/>
        <v>0.62673521850901714</v>
      </c>
      <c r="C1224">
        <v>6864</v>
      </c>
      <c r="E1224">
        <v>5</v>
      </c>
      <c r="F1224">
        <v>5</v>
      </c>
      <c r="G1224" s="15">
        <v>1</v>
      </c>
      <c r="H1224" s="167">
        <f t="shared" si="38"/>
        <v>5.1413881748071976E-4</v>
      </c>
      <c r="I1224" s="167"/>
      <c r="J1224" s="167"/>
    </row>
    <row r="1225" spans="2:10" x14ac:dyDescent="0.25">
      <c r="B1225" s="169">
        <f t="shared" si="39"/>
        <v>0.62724935732649789</v>
      </c>
      <c r="C1225">
        <v>6862</v>
      </c>
      <c r="E1225">
        <v>2</v>
      </c>
      <c r="F1225">
        <v>2</v>
      </c>
      <c r="G1225" s="15">
        <v>1</v>
      </c>
      <c r="H1225" s="167">
        <f t="shared" si="38"/>
        <v>5.1413881748071976E-4</v>
      </c>
      <c r="I1225" s="167"/>
      <c r="J1225" s="167"/>
    </row>
    <row r="1226" spans="2:10" x14ac:dyDescent="0.25">
      <c r="B1226" s="169">
        <f t="shared" si="39"/>
        <v>0.62776349614397864</v>
      </c>
      <c r="C1226">
        <v>1880</v>
      </c>
      <c r="E1226">
        <v>1</v>
      </c>
      <c r="F1226">
        <v>1</v>
      </c>
      <c r="G1226" s="15">
        <v>1</v>
      </c>
      <c r="H1226" s="167">
        <f t="shared" si="38"/>
        <v>5.1413881748071976E-4</v>
      </c>
      <c r="I1226" s="167"/>
      <c r="J1226" s="167"/>
    </row>
    <row r="1227" spans="2:10" x14ac:dyDescent="0.25">
      <c r="B1227" s="169">
        <f t="shared" si="39"/>
        <v>0.62827763496145939</v>
      </c>
      <c r="C1227">
        <v>6606</v>
      </c>
      <c r="E1227">
        <v>1</v>
      </c>
      <c r="F1227">
        <v>1</v>
      </c>
      <c r="G1227" s="15">
        <v>1</v>
      </c>
      <c r="H1227" s="167">
        <f t="shared" si="38"/>
        <v>5.1413881748071976E-4</v>
      </c>
      <c r="I1227" s="167"/>
      <c r="J1227" s="167"/>
    </row>
    <row r="1228" spans="2:10" x14ac:dyDescent="0.25">
      <c r="B1228" s="169">
        <f t="shared" si="39"/>
        <v>0.62879177377894013</v>
      </c>
      <c r="C1228">
        <v>4070</v>
      </c>
      <c r="E1228">
        <v>4</v>
      </c>
      <c r="F1228">
        <v>4</v>
      </c>
      <c r="G1228" s="15">
        <v>1</v>
      </c>
      <c r="H1228" s="167">
        <f t="shared" si="38"/>
        <v>5.1413881748071976E-4</v>
      </c>
      <c r="I1228" s="167"/>
      <c r="J1228" s="167"/>
    </row>
    <row r="1229" spans="2:10" x14ac:dyDescent="0.25">
      <c r="B1229" s="169">
        <f t="shared" si="39"/>
        <v>0.62930591259642088</v>
      </c>
      <c r="C1229">
        <v>4075</v>
      </c>
      <c r="E1229">
        <v>4</v>
      </c>
      <c r="F1229">
        <v>4</v>
      </c>
      <c r="G1229" s="15">
        <v>1</v>
      </c>
      <c r="H1229" s="167">
        <f t="shared" si="38"/>
        <v>5.1413881748071976E-4</v>
      </c>
      <c r="I1229" s="167"/>
      <c r="J1229" s="167"/>
    </row>
    <row r="1230" spans="2:10" x14ac:dyDescent="0.25">
      <c r="B1230" s="169">
        <f t="shared" si="39"/>
        <v>0.62982005141390163</v>
      </c>
      <c r="C1230">
        <v>6789</v>
      </c>
      <c r="E1230">
        <v>1</v>
      </c>
      <c r="F1230">
        <v>1</v>
      </c>
      <c r="G1230" s="15">
        <v>1</v>
      </c>
      <c r="H1230" s="167">
        <f t="shared" si="38"/>
        <v>5.1413881748071976E-4</v>
      </c>
      <c r="I1230" s="167"/>
      <c r="J1230" s="167"/>
    </row>
    <row r="1231" spans="2:10" x14ac:dyDescent="0.25">
      <c r="B1231" s="169">
        <f t="shared" si="39"/>
        <v>0.63033419023138237</v>
      </c>
      <c r="C1231">
        <v>7030</v>
      </c>
      <c r="E1231">
        <v>9</v>
      </c>
      <c r="F1231">
        <v>9</v>
      </c>
      <c r="G1231" s="15">
        <v>1</v>
      </c>
      <c r="H1231" s="167">
        <f t="shared" si="38"/>
        <v>5.1413881748071976E-4</v>
      </c>
      <c r="I1231" s="167"/>
      <c r="J1231" s="167"/>
    </row>
    <row r="1232" spans="2:10" x14ac:dyDescent="0.25">
      <c r="B1232" s="169">
        <f t="shared" si="39"/>
        <v>0.63084832904886312</v>
      </c>
      <c r="C1232">
        <v>2580</v>
      </c>
      <c r="E1232">
        <v>14</v>
      </c>
      <c r="F1232">
        <v>14</v>
      </c>
      <c r="G1232" s="15">
        <v>1</v>
      </c>
      <c r="H1232" s="167">
        <f t="shared" si="38"/>
        <v>5.1413881748071976E-4</v>
      </c>
      <c r="I1232" s="167"/>
      <c r="J1232" s="167"/>
    </row>
    <row r="1233" spans="2:10" x14ac:dyDescent="0.25">
      <c r="B1233" s="169">
        <f t="shared" si="39"/>
        <v>0.63136246786634387</v>
      </c>
      <c r="C1233">
        <v>6712</v>
      </c>
      <c r="E1233">
        <v>1</v>
      </c>
      <c r="F1233">
        <v>1</v>
      </c>
      <c r="G1233" s="15">
        <v>1</v>
      </c>
      <c r="H1233" s="167">
        <f t="shared" si="38"/>
        <v>5.1413881748071976E-4</v>
      </c>
      <c r="I1233" s="167"/>
      <c r="J1233" s="167"/>
    </row>
    <row r="1234" spans="2:10" x14ac:dyDescent="0.25">
      <c r="B1234" s="169">
        <f t="shared" si="39"/>
        <v>0.63187660668382462</v>
      </c>
      <c r="C1234">
        <v>6610</v>
      </c>
      <c r="E1234">
        <v>1</v>
      </c>
      <c r="F1234">
        <v>1</v>
      </c>
      <c r="G1234" s="15">
        <v>1</v>
      </c>
      <c r="H1234" s="167">
        <f t="shared" si="38"/>
        <v>5.1413881748071976E-4</v>
      </c>
      <c r="I1234" s="167"/>
      <c r="J1234" s="167"/>
    </row>
    <row r="1235" spans="2:10" x14ac:dyDescent="0.25">
      <c r="B1235" s="169">
        <f t="shared" si="39"/>
        <v>0.63239074550130536</v>
      </c>
      <c r="C1235">
        <v>6531</v>
      </c>
      <c r="E1235">
        <v>6</v>
      </c>
      <c r="F1235">
        <v>6</v>
      </c>
      <c r="G1235" s="15">
        <v>1</v>
      </c>
      <c r="H1235" s="167">
        <f t="shared" si="38"/>
        <v>5.1413881748071976E-4</v>
      </c>
      <c r="I1235" s="167"/>
      <c r="J1235" s="167"/>
    </row>
    <row r="1236" spans="2:10" x14ac:dyDescent="0.25">
      <c r="B1236" s="169">
        <f t="shared" si="39"/>
        <v>0.63290488431878611</v>
      </c>
      <c r="C1236">
        <v>6713</v>
      </c>
      <c r="E1236">
        <v>1</v>
      </c>
      <c r="F1236">
        <v>1</v>
      </c>
      <c r="G1236" s="15">
        <v>1</v>
      </c>
      <c r="H1236" s="167">
        <f t="shared" si="38"/>
        <v>5.1413881748071976E-4</v>
      </c>
      <c r="I1236" s="167"/>
      <c r="J1236" s="167"/>
    </row>
    <row r="1237" spans="2:10" x14ac:dyDescent="0.25">
      <c r="B1237" s="169">
        <f t="shared" si="39"/>
        <v>0.63341902313626686</v>
      </c>
      <c r="C1237">
        <v>6705</v>
      </c>
      <c r="E1237">
        <v>2</v>
      </c>
      <c r="F1237">
        <v>2</v>
      </c>
      <c r="G1237" s="15">
        <v>1</v>
      </c>
      <c r="H1237" s="167">
        <f t="shared" si="38"/>
        <v>5.1413881748071976E-4</v>
      </c>
      <c r="I1237" s="167"/>
      <c r="J1237" s="167"/>
    </row>
    <row r="1238" spans="2:10" x14ac:dyDescent="0.25">
      <c r="B1238" s="169">
        <f t="shared" si="39"/>
        <v>0.6339331619537476</v>
      </c>
      <c r="C1238">
        <v>3596</v>
      </c>
      <c r="E1238">
        <v>1</v>
      </c>
      <c r="F1238">
        <v>1</v>
      </c>
      <c r="G1238" s="15">
        <v>1</v>
      </c>
      <c r="H1238" s="167">
        <f t="shared" si="38"/>
        <v>5.1413881748071976E-4</v>
      </c>
      <c r="I1238" s="167"/>
      <c r="J1238" s="167"/>
    </row>
    <row r="1239" spans="2:10" x14ac:dyDescent="0.25">
      <c r="B1239" s="169">
        <f t="shared" si="39"/>
        <v>0.63444730077122835</v>
      </c>
      <c r="C1239">
        <v>4130</v>
      </c>
      <c r="E1239">
        <v>3</v>
      </c>
      <c r="F1239">
        <v>3</v>
      </c>
      <c r="G1239" s="15">
        <v>1</v>
      </c>
      <c r="H1239" s="167">
        <f t="shared" si="38"/>
        <v>5.1413881748071976E-4</v>
      </c>
      <c r="I1239" s="167"/>
      <c r="J1239" s="167"/>
    </row>
    <row r="1240" spans="2:10" x14ac:dyDescent="0.25">
      <c r="B1240" s="169">
        <f t="shared" si="39"/>
        <v>0.6349614395887091</v>
      </c>
      <c r="C1240">
        <v>4101</v>
      </c>
      <c r="E1240">
        <v>6</v>
      </c>
      <c r="F1240">
        <v>6</v>
      </c>
      <c r="G1240" s="15">
        <v>1</v>
      </c>
      <c r="H1240" s="167">
        <f t="shared" si="38"/>
        <v>5.1413881748071976E-4</v>
      </c>
      <c r="I1240" s="167"/>
      <c r="J1240" s="167"/>
    </row>
    <row r="1241" spans="2:10" x14ac:dyDescent="0.25">
      <c r="B1241" s="169">
        <f t="shared" si="39"/>
        <v>0.63547557840618984</v>
      </c>
      <c r="C1241">
        <v>2428</v>
      </c>
      <c r="E1241">
        <v>1</v>
      </c>
      <c r="F1241">
        <v>1</v>
      </c>
      <c r="G1241" s="15">
        <v>1</v>
      </c>
      <c r="H1241" s="167">
        <f t="shared" si="38"/>
        <v>5.1413881748071976E-4</v>
      </c>
      <c r="I1241" s="167"/>
      <c r="J1241" s="167"/>
    </row>
    <row r="1242" spans="2:10" x14ac:dyDescent="0.25">
      <c r="B1242" s="169">
        <f t="shared" si="39"/>
        <v>0.63598971722367059</v>
      </c>
      <c r="C1242">
        <v>4071</v>
      </c>
      <c r="E1242">
        <v>4</v>
      </c>
      <c r="F1242">
        <v>4</v>
      </c>
      <c r="G1242" s="15">
        <v>1</v>
      </c>
      <c r="H1242" s="167">
        <f t="shared" si="38"/>
        <v>5.1413881748071976E-4</v>
      </c>
      <c r="I1242" s="167"/>
      <c r="J1242" s="167"/>
    </row>
    <row r="1243" spans="2:10" x14ac:dyDescent="0.25">
      <c r="B1243" s="169">
        <f t="shared" si="39"/>
        <v>0.63650385604115134</v>
      </c>
      <c r="C1243">
        <v>7084</v>
      </c>
      <c r="E1243">
        <v>4</v>
      </c>
      <c r="F1243">
        <v>4</v>
      </c>
      <c r="G1243" s="15">
        <v>1</v>
      </c>
      <c r="H1243" s="167">
        <f t="shared" si="38"/>
        <v>5.1413881748071976E-4</v>
      </c>
      <c r="I1243" s="167"/>
      <c r="J1243" s="167"/>
    </row>
    <row r="1244" spans="2:10" x14ac:dyDescent="0.25">
      <c r="B1244" s="169">
        <f t="shared" si="39"/>
        <v>0.63701799485863209</v>
      </c>
      <c r="C1244">
        <v>2429</v>
      </c>
      <c r="E1244">
        <v>1</v>
      </c>
      <c r="F1244">
        <v>1</v>
      </c>
      <c r="G1244" s="15">
        <v>1</v>
      </c>
      <c r="H1244" s="167">
        <f t="shared" si="38"/>
        <v>5.1413881748071976E-4</v>
      </c>
      <c r="I1244" s="167"/>
      <c r="J1244" s="167"/>
    </row>
    <row r="1245" spans="2:10" x14ac:dyDescent="0.25">
      <c r="B1245" s="169">
        <f t="shared" si="39"/>
        <v>0.63753213367611283</v>
      </c>
      <c r="C1245">
        <v>6135</v>
      </c>
      <c r="E1245">
        <v>2</v>
      </c>
      <c r="F1245">
        <v>2</v>
      </c>
      <c r="G1245" s="15">
        <v>1</v>
      </c>
      <c r="H1245" s="167">
        <f t="shared" si="38"/>
        <v>5.1413881748071976E-4</v>
      </c>
      <c r="I1245" s="167"/>
      <c r="J1245" s="167"/>
    </row>
    <row r="1246" spans="2:10" x14ac:dyDescent="0.25">
      <c r="B1246" s="169">
        <f t="shared" si="39"/>
        <v>0.63804627249359358</v>
      </c>
      <c r="C1246">
        <v>6136</v>
      </c>
      <c r="E1246">
        <v>3</v>
      </c>
      <c r="F1246">
        <v>3</v>
      </c>
      <c r="G1246" s="15">
        <v>1</v>
      </c>
      <c r="H1246" s="167">
        <f t="shared" si="38"/>
        <v>5.1413881748071976E-4</v>
      </c>
      <c r="I1246" s="167"/>
      <c r="J1246" s="167"/>
    </row>
    <row r="1247" spans="2:10" x14ac:dyDescent="0.25">
      <c r="B1247" s="169">
        <f t="shared" si="39"/>
        <v>0.63856041131107433</v>
      </c>
      <c r="C1247">
        <v>6137</v>
      </c>
      <c r="E1247">
        <v>2</v>
      </c>
      <c r="F1247">
        <v>2</v>
      </c>
      <c r="G1247" s="15">
        <v>1</v>
      </c>
      <c r="H1247" s="167">
        <f t="shared" si="38"/>
        <v>5.1413881748071976E-4</v>
      </c>
      <c r="I1247" s="167"/>
      <c r="J1247" s="167"/>
    </row>
    <row r="1248" spans="2:10" x14ac:dyDescent="0.25">
      <c r="B1248" s="169">
        <f t="shared" si="39"/>
        <v>0.63907455012855507</v>
      </c>
      <c r="C1248">
        <v>6138</v>
      </c>
      <c r="E1248">
        <v>3</v>
      </c>
      <c r="F1248">
        <v>3</v>
      </c>
      <c r="G1248" s="15">
        <v>1</v>
      </c>
      <c r="H1248" s="167">
        <f t="shared" si="38"/>
        <v>5.1413881748071976E-4</v>
      </c>
      <c r="I1248" s="167"/>
      <c r="J1248" s="167"/>
    </row>
    <row r="1249" spans="2:10" x14ac:dyDescent="0.25">
      <c r="B1249" s="169">
        <f t="shared" si="39"/>
        <v>0.63958868894603582</v>
      </c>
      <c r="C1249">
        <v>6802</v>
      </c>
      <c r="E1249">
        <v>4</v>
      </c>
      <c r="F1249">
        <v>4</v>
      </c>
      <c r="G1249" s="15">
        <v>1</v>
      </c>
      <c r="H1249" s="167">
        <f t="shared" si="38"/>
        <v>5.1413881748071976E-4</v>
      </c>
      <c r="I1249" s="167"/>
      <c r="J1249" s="167"/>
    </row>
    <row r="1250" spans="2:10" x14ac:dyDescent="0.25">
      <c r="B1250" s="169">
        <f t="shared" si="39"/>
        <v>0.64010282776351657</v>
      </c>
      <c r="C1250">
        <v>7117</v>
      </c>
      <c r="E1250">
        <v>25</v>
      </c>
      <c r="F1250">
        <v>25</v>
      </c>
      <c r="G1250" s="15">
        <v>1</v>
      </c>
      <c r="H1250" s="167">
        <f t="shared" si="38"/>
        <v>5.1413881748071976E-4</v>
      </c>
      <c r="I1250" s="167"/>
      <c r="J1250" s="167"/>
    </row>
    <row r="1251" spans="2:10" x14ac:dyDescent="0.25">
      <c r="B1251" s="169">
        <f t="shared" si="39"/>
        <v>0.64061696658099732</v>
      </c>
      <c r="C1251">
        <v>2116</v>
      </c>
      <c r="E1251">
        <v>1</v>
      </c>
      <c r="F1251">
        <v>1</v>
      </c>
      <c r="G1251" s="15">
        <v>1</v>
      </c>
      <c r="H1251" s="167">
        <f t="shared" si="38"/>
        <v>5.1413881748071976E-4</v>
      </c>
      <c r="I1251" s="167"/>
      <c r="J1251" s="167"/>
    </row>
    <row r="1252" spans="2:10" x14ac:dyDescent="0.25">
      <c r="B1252" s="169">
        <f t="shared" si="39"/>
        <v>0.64113110539847806</v>
      </c>
      <c r="C1252">
        <v>2583</v>
      </c>
      <c r="E1252">
        <v>15</v>
      </c>
      <c r="F1252">
        <v>15</v>
      </c>
      <c r="G1252" s="15">
        <v>1</v>
      </c>
      <c r="H1252" s="167">
        <f t="shared" si="38"/>
        <v>5.1413881748071976E-4</v>
      </c>
      <c r="I1252" s="167"/>
      <c r="J1252" s="167"/>
    </row>
    <row r="1253" spans="2:10" x14ac:dyDescent="0.25">
      <c r="B1253" s="169">
        <f t="shared" si="39"/>
        <v>0.64164524421595881</v>
      </c>
      <c r="C1253">
        <v>3597</v>
      </c>
      <c r="E1253">
        <v>1</v>
      </c>
      <c r="F1253">
        <v>1</v>
      </c>
      <c r="G1253" s="15">
        <v>1</v>
      </c>
      <c r="H1253" s="167">
        <f t="shared" si="38"/>
        <v>5.1413881748071976E-4</v>
      </c>
      <c r="I1253" s="167"/>
      <c r="J1253" s="167"/>
    </row>
    <row r="1254" spans="2:10" x14ac:dyDescent="0.25">
      <c r="B1254" s="169">
        <f t="shared" si="39"/>
        <v>0.64215938303343956</v>
      </c>
      <c r="C1254">
        <v>2117</v>
      </c>
      <c r="E1254">
        <v>1</v>
      </c>
      <c r="F1254">
        <v>1</v>
      </c>
      <c r="G1254" s="15">
        <v>1</v>
      </c>
      <c r="H1254" s="167">
        <f t="shared" si="38"/>
        <v>5.1413881748071976E-4</v>
      </c>
      <c r="I1254" s="167"/>
      <c r="J1254" s="167"/>
    </row>
    <row r="1255" spans="2:10" x14ac:dyDescent="0.25">
      <c r="B1255" s="169">
        <f t="shared" si="39"/>
        <v>0.6426735218509203</v>
      </c>
      <c r="C1255">
        <v>2118</v>
      </c>
      <c r="E1255">
        <v>3</v>
      </c>
      <c r="F1255">
        <v>3</v>
      </c>
      <c r="G1255" s="15">
        <v>1</v>
      </c>
      <c r="H1255" s="167">
        <f t="shared" si="38"/>
        <v>5.1413881748071976E-4</v>
      </c>
      <c r="I1255" s="167"/>
      <c r="J1255" s="167"/>
    </row>
    <row r="1256" spans="2:10" x14ac:dyDescent="0.25">
      <c r="B1256" s="169">
        <f t="shared" si="39"/>
        <v>0.64318766066840105</v>
      </c>
      <c r="C1256">
        <v>7023</v>
      </c>
      <c r="E1256">
        <v>4</v>
      </c>
      <c r="F1256">
        <v>4</v>
      </c>
      <c r="G1256" s="15">
        <v>1</v>
      </c>
      <c r="H1256" s="167">
        <f t="shared" si="38"/>
        <v>5.1413881748071976E-4</v>
      </c>
      <c r="I1256" s="167"/>
      <c r="J1256" s="167"/>
    </row>
    <row r="1257" spans="2:10" x14ac:dyDescent="0.25">
      <c r="B1257" s="169">
        <f t="shared" si="39"/>
        <v>0.6437017994858818</v>
      </c>
      <c r="C1257">
        <v>4119</v>
      </c>
      <c r="E1257">
        <v>2</v>
      </c>
      <c r="F1257">
        <v>2</v>
      </c>
      <c r="G1257" s="15">
        <v>1</v>
      </c>
      <c r="H1257" s="167">
        <f t="shared" si="38"/>
        <v>5.1413881748071976E-4</v>
      </c>
      <c r="I1257" s="167"/>
      <c r="J1257" s="167"/>
    </row>
    <row r="1258" spans="2:10" x14ac:dyDescent="0.25">
      <c r="B1258" s="169">
        <f t="shared" si="39"/>
        <v>0.64421593830336255</v>
      </c>
      <c r="C1258">
        <v>2684</v>
      </c>
      <c r="E1258">
        <v>1</v>
      </c>
      <c r="F1258">
        <v>1</v>
      </c>
      <c r="G1258" s="15">
        <v>1</v>
      </c>
      <c r="H1258" s="167">
        <f t="shared" si="38"/>
        <v>5.1413881748071976E-4</v>
      </c>
      <c r="I1258" s="167"/>
      <c r="J1258" s="167"/>
    </row>
    <row r="1259" spans="2:10" x14ac:dyDescent="0.25">
      <c r="B1259" s="169">
        <f t="shared" si="39"/>
        <v>0.64473007712084329</v>
      </c>
      <c r="C1259">
        <v>6560</v>
      </c>
      <c r="E1259">
        <v>5</v>
      </c>
      <c r="F1259">
        <v>5</v>
      </c>
      <c r="G1259" s="15">
        <v>1</v>
      </c>
      <c r="H1259" s="167">
        <f t="shared" si="38"/>
        <v>5.1413881748071976E-4</v>
      </c>
      <c r="I1259" s="167"/>
      <c r="J1259" s="167"/>
    </row>
    <row r="1260" spans="2:10" x14ac:dyDescent="0.25">
      <c r="B1260" s="169">
        <f t="shared" si="39"/>
        <v>0.64524421593832404</v>
      </c>
      <c r="C1260">
        <v>6778</v>
      </c>
      <c r="E1260">
        <v>9</v>
      </c>
      <c r="F1260">
        <v>9</v>
      </c>
      <c r="G1260" s="15">
        <v>1</v>
      </c>
      <c r="H1260" s="167">
        <f t="shared" si="38"/>
        <v>5.1413881748071976E-4</v>
      </c>
      <c r="I1260" s="167"/>
      <c r="J1260" s="167"/>
    </row>
    <row r="1261" spans="2:10" x14ac:dyDescent="0.25">
      <c r="B1261" s="169">
        <f t="shared" si="39"/>
        <v>0.64575835475580479</v>
      </c>
      <c r="C1261">
        <v>2593</v>
      </c>
      <c r="E1261">
        <v>1</v>
      </c>
      <c r="F1261">
        <v>1</v>
      </c>
      <c r="G1261" s="15">
        <v>1</v>
      </c>
      <c r="H1261" s="167">
        <f t="shared" si="38"/>
        <v>5.1413881748071976E-4</v>
      </c>
      <c r="I1261" s="167"/>
      <c r="J1261" s="167"/>
    </row>
    <row r="1262" spans="2:10" x14ac:dyDescent="0.25">
      <c r="B1262" s="169">
        <f t="shared" si="39"/>
        <v>0.64627249357328553</v>
      </c>
      <c r="C1262">
        <v>2603</v>
      </c>
      <c r="E1262">
        <v>1</v>
      </c>
      <c r="F1262">
        <v>1</v>
      </c>
      <c r="G1262" s="15">
        <v>1</v>
      </c>
      <c r="H1262" s="167">
        <f t="shared" si="38"/>
        <v>5.1413881748071976E-4</v>
      </c>
      <c r="I1262" s="167"/>
      <c r="J1262" s="167"/>
    </row>
    <row r="1263" spans="2:10" x14ac:dyDescent="0.25">
      <c r="B1263" s="169">
        <f t="shared" si="39"/>
        <v>0.64678663239076628</v>
      </c>
      <c r="C1263">
        <v>4666</v>
      </c>
      <c r="E1263">
        <v>4</v>
      </c>
      <c r="F1263">
        <v>4</v>
      </c>
      <c r="G1263" s="15">
        <v>1</v>
      </c>
      <c r="H1263" s="167">
        <f t="shared" si="38"/>
        <v>5.1413881748071976E-4</v>
      </c>
      <c r="I1263" s="167"/>
      <c r="J1263" s="167"/>
    </row>
    <row r="1264" spans="2:10" x14ac:dyDescent="0.25">
      <c r="B1264" s="169">
        <f t="shared" si="39"/>
        <v>0.64730077120824703</v>
      </c>
      <c r="C1264">
        <v>4126</v>
      </c>
      <c r="E1264">
        <v>2</v>
      </c>
      <c r="F1264">
        <v>2</v>
      </c>
      <c r="G1264" s="15">
        <v>1</v>
      </c>
      <c r="H1264" s="167">
        <f t="shared" si="38"/>
        <v>5.1413881748071976E-4</v>
      </c>
      <c r="I1264" s="167"/>
      <c r="J1264" s="167"/>
    </row>
    <row r="1265" spans="2:10" x14ac:dyDescent="0.25">
      <c r="B1265" s="169">
        <f t="shared" si="39"/>
        <v>0.64781491002572777</v>
      </c>
      <c r="C1265">
        <v>4127</v>
      </c>
      <c r="E1265">
        <v>2</v>
      </c>
      <c r="F1265">
        <v>2</v>
      </c>
      <c r="G1265" s="15">
        <v>1</v>
      </c>
      <c r="H1265" s="167">
        <f t="shared" si="38"/>
        <v>5.1413881748071976E-4</v>
      </c>
      <c r="I1265" s="167"/>
      <c r="J1265" s="167"/>
    </row>
    <row r="1266" spans="2:10" x14ac:dyDescent="0.25">
      <c r="B1266" s="169">
        <f t="shared" si="39"/>
        <v>0.64832904884320852</v>
      </c>
      <c r="C1266">
        <v>1766</v>
      </c>
      <c r="E1266">
        <v>13</v>
      </c>
      <c r="F1266">
        <v>13</v>
      </c>
      <c r="G1266" s="15">
        <v>1</v>
      </c>
      <c r="H1266" s="167">
        <f t="shared" si="38"/>
        <v>5.1413881748071976E-4</v>
      </c>
      <c r="I1266" s="167"/>
      <c r="J1266" s="167"/>
    </row>
    <row r="1267" spans="2:10" x14ac:dyDescent="0.25">
      <c r="B1267" s="169">
        <f t="shared" si="39"/>
        <v>0.64884318766068927</v>
      </c>
      <c r="C1267">
        <v>1767</v>
      </c>
      <c r="E1267">
        <v>13</v>
      </c>
      <c r="F1267">
        <v>13</v>
      </c>
      <c r="G1267" s="15">
        <v>1</v>
      </c>
      <c r="H1267" s="167">
        <f t="shared" si="38"/>
        <v>5.1413881748071976E-4</v>
      </c>
      <c r="I1267" s="167"/>
      <c r="J1267" s="167"/>
    </row>
    <row r="1268" spans="2:10" x14ac:dyDescent="0.25">
      <c r="B1268" s="169">
        <f t="shared" si="39"/>
        <v>0.64935732647817002</v>
      </c>
      <c r="C1268">
        <v>2656</v>
      </c>
      <c r="E1268">
        <v>14</v>
      </c>
      <c r="F1268">
        <v>14</v>
      </c>
      <c r="G1268" s="15">
        <v>1</v>
      </c>
      <c r="H1268" s="167">
        <f t="shared" si="38"/>
        <v>5.1413881748071976E-4</v>
      </c>
      <c r="I1268" s="167"/>
      <c r="J1268" s="167"/>
    </row>
    <row r="1269" spans="2:10" x14ac:dyDescent="0.25">
      <c r="B1269" s="169">
        <f t="shared" si="39"/>
        <v>0.64987146529565076</v>
      </c>
      <c r="C1269">
        <v>2372</v>
      </c>
      <c r="E1269">
        <v>1</v>
      </c>
      <c r="F1269">
        <v>1</v>
      </c>
      <c r="G1269" s="15">
        <v>1</v>
      </c>
      <c r="H1269" s="167">
        <f t="shared" si="38"/>
        <v>5.1413881748071976E-4</v>
      </c>
      <c r="I1269" s="167"/>
      <c r="J1269" s="167"/>
    </row>
    <row r="1270" spans="2:10" x14ac:dyDescent="0.25">
      <c r="B1270" s="169">
        <f t="shared" si="39"/>
        <v>0.65038560411313151</v>
      </c>
      <c r="C1270">
        <v>5816</v>
      </c>
      <c r="E1270">
        <v>7</v>
      </c>
      <c r="F1270">
        <v>7</v>
      </c>
      <c r="G1270" s="15">
        <v>1</v>
      </c>
      <c r="H1270" s="167">
        <f t="shared" si="38"/>
        <v>5.1413881748071976E-4</v>
      </c>
      <c r="I1270" s="167"/>
      <c r="J1270" s="167"/>
    </row>
    <row r="1271" spans="2:10" x14ac:dyDescent="0.25">
      <c r="B1271" s="169">
        <f t="shared" si="39"/>
        <v>0.65089974293061226</v>
      </c>
      <c r="C1271">
        <v>3598</v>
      </c>
      <c r="E1271">
        <v>1</v>
      </c>
      <c r="F1271">
        <v>1</v>
      </c>
      <c r="G1271" s="15">
        <v>1</v>
      </c>
      <c r="H1271" s="167">
        <f t="shared" si="38"/>
        <v>5.1413881748071976E-4</v>
      </c>
      <c r="I1271" s="167"/>
      <c r="J1271" s="167"/>
    </row>
    <row r="1272" spans="2:10" x14ac:dyDescent="0.25">
      <c r="B1272" s="169">
        <f t="shared" si="39"/>
        <v>0.651413881748093</v>
      </c>
      <c r="C1272">
        <v>1869</v>
      </c>
      <c r="E1272">
        <v>1</v>
      </c>
      <c r="F1272">
        <v>1</v>
      </c>
      <c r="G1272" s="15">
        <v>1</v>
      </c>
      <c r="H1272" s="167">
        <f t="shared" si="38"/>
        <v>5.1413881748071976E-4</v>
      </c>
      <c r="I1272" s="167"/>
      <c r="J1272" s="167"/>
    </row>
    <row r="1273" spans="2:10" x14ac:dyDescent="0.25">
      <c r="B1273" s="169">
        <f t="shared" si="39"/>
        <v>0.65192802056557375</v>
      </c>
      <c r="C1273">
        <v>2319</v>
      </c>
      <c r="E1273">
        <v>5</v>
      </c>
      <c r="F1273">
        <v>5</v>
      </c>
      <c r="G1273" s="15">
        <v>1</v>
      </c>
      <c r="H1273" s="167">
        <f t="shared" si="38"/>
        <v>5.1413881748071976E-4</v>
      </c>
      <c r="I1273" s="167"/>
      <c r="J1273" s="167"/>
    </row>
    <row r="1274" spans="2:10" x14ac:dyDescent="0.25">
      <c r="B1274" s="169">
        <f t="shared" si="39"/>
        <v>0.6524421593830545</v>
      </c>
      <c r="C1274">
        <v>4121</v>
      </c>
      <c r="E1274">
        <v>2</v>
      </c>
      <c r="F1274">
        <v>2</v>
      </c>
      <c r="G1274" s="15">
        <v>1</v>
      </c>
      <c r="H1274" s="167">
        <f t="shared" si="38"/>
        <v>5.1413881748071976E-4</v>
      </c>
      <c r="I1274" s="167"/>
      <c r="J1274" s="167"/>
    </row>
    <row r="1275" spans="2:10" x14ac:dyDescent="0.25">
      <c r="B1275" s="169">
        <f t="shared" si="39"/>
        <v>0.65295629820053525</v>
      </c>
      <c r="C1275">
        <v>579</v>
      </c>
      <c r="E1275">
        <v>1</v>
      </c>
      <c r="F1275">
        <v>1</v>
      </c>
      <c r="G1275" s="15">
        <v>1</v>
      </c>
      <c r="H1275" s="167">
        <f t="shared" si="38"/>
        <v>5.1413881748071976E-4</v>
      </c>
      <c r="I1275" s="167"/>
      <c r="J1275" s="167"/>
    </row>
    <row r="1276" spans="2:10" x14ac:dyDescent="0.25">
      <c r="B1276" s="169">
        <f t="shared" si="39"/>
        <v>0.65347043701801599</v>
      </c>
      <c r="C1276">
        <v>2322</v>
      </c>
      <c r="E1276">
        <v>5</v>
      </c>
      <c r="F1276">
        <v>5</v>
      </c>
      <c r="G1276" s="15">
        <v>1</v>
      </c>
      <c r="H1276" s="167">
        <f t="shared" si="38"/>
        <v>5.1413881748071976E-4</v>
      </c>
      <c r="I1276" s="167"/>
      <c r="J1276" s="167"/>
    </row>
    <row r="1277" spans="2:10" x14ac:dyDescent="0.25">
      <c r="B1277" s="169">
        <f t="shared" si="39"/>
        <v>0.65398457583549674</v>
      </c>
      <c r="C1277">
        <v>6791</v>
      </c>
      <c r="E1277">
        <v>4</v>
      </c>
      <c r="F1277">
        <v>4</v>
      </c>
      <c r="G1277" s="15">
        <v>1</v>
      </c>
      <c r="H1277" s="167">
        <f t="shared" si="38"/>
        <v>5.1413881748071976E-4</v>
      </c>
      <c r="I1277" s="167"/>
      <c r="J1277" s="167"/>
    </row>
    <row r="1278" spans="2:10" x14ac:dyDescent="0.25">
      <c r="B1278" s="169">
        <f t="shared" si="39"/>
        <v>0.65449871465297749</v>
      </c>
      <c r="C1278">
        <v>6666</v>
      </c>
      <c r="E1278">
        <v>2</v>
      </c>
      <c r="F1278">
        <v>2</v>
      </c>
      <c r="G1278" s="15">
        <v>1</v>
      </c>
      <c r="H1278" s="167">
        <f t="shared" si="38"/>
        <v>5.1413881748071976E-4</v>
      </c>
      <c r="I1278" s="167"/>
      <c r="J1278" s="167"/>
    </row>
    <row r="1279" spans="2:10" x14ac:dyDescent="0.25">
      <c r="B1279" s="169">
        <f t="shared" si="39"/>
        <v>0.65501285347045823</v>
      </c>
      <c r="C1279">
        <v>6667</v>
      </c>
      <c r="E1279">
        <v>2</v>
      </c>
      <c r="F1279">
        <v>2</v>
      </c>
      <c r="G1279" s="15">
        <v>1</v>
      </c>
      <c r="H1279" s="167">
        <f t="shared" si="38"/>
        <v>5.1413881748071976E-4</v>
      </c>
      <c r="I1279" s="167"/>
      <c r="J1279" s="167"/>
    </row>
    <row r="1280" spans="2:10" x14ac:dyDescent="0.25">
      <c r="B1280" s="169">
        <f t="shared" si="39"/>
        <v>0.65552699228793898</v>
      </c>
      <c r="C1280">
        <v>6668</v>
      </c>
      <c r="E1280">
        <v>2</v>
      </c>
      <c r="F1280">
        <v>2</v>
      </c>
      <c r="G1280" s="15">
        <v>1</v>
      </c>
      <c r="H1280" s="167">
        <f t="shared" si="38"/>
        <v>5.1413881748071976E-4</v>
      </c>
      <c r="I1280" s="167"/>
      <c r="J1280" s="167"/>
    </row>
    <row r="1281" spans="2:10" x14ac:dyDescent="0.25">
      <c r="B1281" s="169">
        <f t="shared" si="39"/>
        <v>0.65604113110541973</v>
      </c>
      <c r="C1281">
        <v>6669</v>
      </c>
      <c r="E1281">
        <v>2</v>
      </c>
      <c r="F1281">
        <v>2</v>
      </c>
      <c r="G1281" s="15">
        <v>1</v>
      </c>
      <c r="H1281" s="167">
        <f t="shared" si="38"/>
        <v>5.1413881748071976E-4</v>
      </c>
      <c r="I1281" s="167"/>
      <c r="J1281" s="167"/>
    </row>
    <row r="1282" spans="2:10" x14ac:dyDescent="0.25">
      <c r="B1282" s="169">
        <f t="shared" si="39"/>
        <v>0.65655526992290048</v>
      </c>
      <c r="C1282">
        <v>6671</v>
      </c>
      <c r="E1282">
        <v>2</v>
      </c>
      <c r="F1282">
        <v>2</v>
      </c>
      <c r="G1282" s="15">
        <v>1</v>
      </c>
      <c r="H1282" s="167">
        <f t="shared" si="38"/>
        <v>5.1413881748071976E-4</v>
      </c>
      <c r="I1282" s="167"/>
      <c r="J1282" s="167"/>
    </row>
    <row r="1283" spans="2:10" x14ac:dyDescent="0.25">
      <c r="B1283" s="169">
        <f t="shared" si="39"/>
        <v>0.65706940874038122</v>
      </c>
      <c r="C1283">
        <v>2363</v>
      </c>
      <c r="E1283">
        <v>1</v>
      </c>
      <c r="F1283">
        <v>1</v>
      </c>
      <c r="G1283" s="15">
        <v>1</v>
      </c>
      <c r="H1283" s="167">
        <f t="shared" si="38"/>
        <v>5.1413881748071976E-4</v>
      </c>
      <c r="I1283" s="167"/>
      <c r="J1283" s="167"/>
    </row>
    <row r="1284" spans="2:10" x14ac:dyDescent="0.25">
      <c r="B1284" s="169">
        <f t="shared" si="39"/>
        <v>0.65758354755786197</v>
      </c>
      <c r="C1284">
        <v>2381</v>
      </c>
      <c r="E1284">
        <v>1</v>
      </c>
      <c r="F1284">
        <v>1</v>
      </c>
      <c r="G1284" s="15">
        <v>1</v>
      </c>
      <c r="H1284" s="167">
        <f t="shared" si="38"/>
        <v>5.1413881748071976E-4</v>
      </c>
      <c r="I1284" s="167"/>
      <c r="J1284" s="167"/>
    </row>
    <row r="1285" spans="2:10" x14ac:dyDescent="0.25">
      <c r="B1285" s="169">
        <f t="shared" si="39"/>
        <v>0.65809768637534272</v>
      </c>
      <c r="C1285">
        <v>7126</v>
      </c>
      <c r="E1285">
        <v>1</v>
      </c>
      <c r="F1285">
        <v>1</v>
      </c>
      <c r="G1285" s="15">
        <v>1</v>
      </c>
      <c r="H1285" s="167">
        <f t="shared" si="38"/>
        <v>5.1413881748071976E-4</v>
      </c>
      <c r="I1285" s="167"/>
      <c r="J1285" s="167"/>
    </row>
    <row r="1286" spans="2:10" x14ac:dyDescent="0.25">
      <c r="B1286" s="169">
        <f t="shared" si="39"/>
        <v>0.65861182519282346</v>
      </c>
      <c r="C1286">
        <v>4148</v>
      </c>
      <c r="E1286">
        <v>2</v>
      </c>
      <c r="F1286">
        <v>2</v>
      </c>
      <c r="G1286" s="15">
        <v>1</v>
      </c>
      <c r="H1286" s="167">
        <f t="shared" ref="H1286:H1349" si="40">1/$L$6</f>
        <v>5.1413881748071976E-4</v>
      </c>
      <c r="I1286" s="167"/>
      <c r="J1286" s="167"/>
    </row>
    <row r="1287" spans="2:10" x14ac:dyDescent="0.25">
      <c r="B1287" s="169">
        <f t="shared" ref="B1287:B1350" si="41">B1286+H1287</f>
        <v>0.65912596401030421</v>
      </c>
      <c r="C1287">
        <v>3599</v>
      </c>
      <c r="E1287">
        <v>1</v>
      </c>
      <c r="F1287">
        <v>1</v>
      </c>
      <c r="G1287" s="15">
        <v>1</v>
      </c>
      <c r="H1287" s="167">
        <f t="shared" si="40"/>
        <v>5.1413881748071976E-4</v>
      </c>
      <c r="I1287" s="167"/>
      <c r="J1287" s="167"/>
    </row>
    <row r="1288" spans="2:10" x14ac:dyDescent="0.25">
      <c r="B1288" s="169">
        <f t="shared" si="41"/>
        <v>0.65964010282778496</v>
      </c>
      <c r="C1288">
        <v>7164</v>
      </c>
      <c r="E1288">
        <v>8</v>
      </c>
      <c r="F1288">
        <v>8</v>
      </c>
      <c r="G1288" s="15">
        <v>1</v>
      </c>
      <c r="H1288" s="167">
        <f t="shared" si="40"/>
        <v>5.1413881748071976E-4</v>
      </c>
      <c r="I1288" s="167"/>
      <c r="J1288" s="167"/>
    </row>
    <row r="1289" spans="2:10" x14ac:dyDescent="0.25">
      <c r="B1289" s="169">
        <f t="shared" si="41"/>
        <v>0.6601542416452657</v>
      </c>
      <c r="C1289">
        <v>5522</v>
      </c>
      <c r="E1289">
        <v>1</v>
      </c>
      <c r="F1289">
        <v>1</v>
      </c>
      <c r="G1289" s="15">
        <v>1</v>
      </c>
      <c r="H1289" s="167">
        <f t="shared" si="40"/>
        <v>5.1413881748071976E-4</v>
      </c>
      <c r="I1289" s="167"/>
      <c r="J1289" s="167"/>
    </row>
    <row r="1290" spans="2:10" x14ac:dyDescent="0.25">
      <c r="B1290" s="169">
        <f t="shared" si="41"/>
        <v>0.66066838046274645</v>
      </c>
      <c r="C1290">
        <v>2599</v>
      </c>
      <c r="E1290">
        <v>15</v>
      </c>
      <c r="F1290">
        <v>15</v>
      </c>
      <c r="G1290" s="15">
        <v>1</v>
      </c>
      <c r="H1290" s="167">
        <f t="shared" si="40"/>
        <v>5.1413881748071976E-4</v>
      </c>
      <c r="I1290" s="167"/>
      <c r="J1290" s="167"/>
    </row>
    <row r="1291" spans="2:10" x14ac:dyDescent="0.25">
      <c r="B1291" s="169">
        <f t="shared" si="41"/>
        <v>0.6611825192802272</v>
      </c>
      <c r="C1291">
        <v>4076</v>
      </c>
      <c r="E1291">
        <v>4</v>
      </c>
      <c r="F1291">
        <v>4</v>
      </c>
      <c r="G1291" s="15">
        <v>1</v>
      </c>
      <c r="H1291" s="167">
        <f t="shared" si="40"/>
        <v>5.1413881748071976E-4</v>
      </c>
      <c r="I1291" s="167"/>
      <c r="J1291" s="167"/>
    </row>
    <row r="1292" spans="2:10" x14ac:dyDescent="0.25">
      <c r="B1292" s="169">
        <f t="shared" si="41"/>
        <v>0.66169665809770795</v>
      </c>
      <c r="C1292">
        <v>3600</v>
      </c>
      <c r="E1292">
        <v>1</v>
      </c>
      <c r="F1292">
        <v>1</v>
      </c>
      <c r="G1292" s="15">
        <v>1</v>
      </c>
      <c r="H1292" s="167">
        <f t="shared" si="40"/>
        <v>5.1413881748071976E-4</v>
      </c>
      <c r="I1292" s="167"/>
      <c r="J1292" s="167"/>
    </row>
    <row r="1293" spans="2:10" x14ac:dyDescent="0.25">
      <c r="B1293" s="169">
        <f t="shared" si="41"/>
        <v>0.66221079691518869</v>
      </c>
      <c r="C1293">
        <v>4161</v>
      </c>
      <c r="E1293">
        <v>1</v>
      </c>
      <c r="F1293">
        <v>1</v>
      </c>
      <c r="G1293" s="15">
        <v>1</v>
      </c>
      <c r="H1293" s="167">
        <f t="shared" si="40"/>
        <v>5.1413881748071976E-4</v>
      </c>
      <c r="I1293" s="167"/>
      <c r="J1293" s="167"/>
    </row>
    <row r="1294" spans="2:10" x14ac:dyDescent="0.25">
      <c r="B1294" s="169">
        <f t="shared" si="41"/>
        <v>0.66272493573266944</v>
      </c>
      <c r="C1294">
        <v>4162</v>
      </c>
      <c r="E1294">
        <v>2</v>
      </c>
      <c r="F1294">
        <v>2</v>
      </c>
      <c r="G1294" s="15">
        <v>1</v>
      </c>
      <c r="H1294" s="167">
        <f t="shared" si="40"/>
        <v>5.1413881748071976E-4</v>
      </c>
      <c r="I1294" s="167"/>
      <c r="J1294" s="167"/>
    </row>
    <row r="1295" spans="2:10" x14ac:dyDescent="0.25">
      <c r="B1295" s="169">
        <f t="shared" si="41"/>
        <v>0.66323907455015019</v>
      </c>
      <c r="C1295">
        <v>2600</v>
      </c>
      <c r="E1295">
        <v>3</v>
      </c>
      <c r="F1295">
        <v>3</v>
      </c>
      <c r="G1295" s="15">
        <v>1</v>
      </c>
      <c r="H1295" s="167">
        <f t="shared" si="40"/>
        <v>5.1413881748071976E-4</v>
      </c>
      <c r="I1295" s="167"/>
      <c r="J1295" s="167"/>
    </row>
    <row r="1296" spans="2:10" x14ac:dyDescent="0.25">
      <c r="B1296" s="169">
        <f t="shared" si="41"/>
        <v>0.66375321336763093</v>
      </c>
      <c r="C1296">
        <v>4163</v>
      </c>
      <c r="E1296">
        <v>2</v>
      </c>
      <c r="F1296">
        <v>2</v>
      </c>
      <c r="G1296" s="15">
        <v>1</v>
      </c>
      <c r="H1296" s="167">
        <f t="shared" si="40"/>
        <v>5.1413881748071976E-4</v>
      </c>
      <c r="I1296" s="167"/>
      <c r="J1296" s="167"/>
    </row>
    <row r="1297" spans="2:10" x14ac:dyDescent="0.25">
      <c r="B1297" s="169">
        <f t="shared" si="41"/>
        <v>0.66426735218511168</v>
      </c>
      <c r="C1297">
        <v>5703</v>
      </c>
      <c r="E1297">
        <v>1</v>
      </c>
      <c r="F1297">
        <v>1</v>
      </c>
      <c r="G1297" s="15">
        <v>1</v>
      </c>
      <c r="H1297" s="167">
        <f t="shared" si="40"/>
        <v>5.1413881748071976E-4</v>
      </c>
      <c r="I1297" s="167"/>
      <c r="J1297" s="167"/>
    </row>
    <row r="1298" spans="2:10" x14ac:dyDescent="0.25">
      <c r="B1298" s="169">
        <f t="shared" si="41"/>
        <v>0.66478149100259243</v>
      </c>
      <c r="C1298">
        <v>5459</v>
      </c>
      <c r="E1298">
        <v>1</v>
      </c>
      <c r="F1298">
        <v>1</v>
      </c>
      <c r="G1298" s="15">
        <v>1</v>
      </c>
      <c r="H1298" s="167">
        <f t="shared" si="40"/>
        <v>5.1413881748071976E-4</v>
      </c>
      <c r="I1298" s="167"/>
      <c r="J1298" s="167"/>
    </row>
    <row r="1299" spans="2:10" x14ac:dyDescent="0.25">
      <c r="B1299" s="169">
        <f t="shared" si="41"/>
        <v>0.66529562982007318</v>
      </c>
      <c r="C1299">
        <v>7183</v>
      </c>
      <c r="E1299">
        <v>3</v>
      </c>
      <c r="F1299">
        <v>3</v>
      </c>
      <c r="G1299" s="15">
        <v>1</v>
      </c>
      <c r="H1299" s="167">
        <f t="shared" si="40"/>
        <v>5.1413881748071976E-4</v>
      </c>
      <c r="I1299" s="167"/>
      <c r="J1299" s="167"/>
    </row>
    <row r="1300" spans="2:10" x14ac:dyDescent="0.25">
      <c r="B1300" s="169">
        <f t="shared" si="41"/>
        <v>0.66580976863755392</v>
      </c>
      <c r="C1300">
        <v>1771</v>
      </c>
      <c r="E1300">
        <v>15</v>
      </c>
      <c r="F1300">
        <v>15</v>
      </c>
      <c r="G1300" s="15">
        <v>1</v>
      </c>
      <c r="H1300" s="167">
        <f t="shared" si="40"/>
        <v>5.1413881748071976E-4</v>
      </c>
      <c r="I1300" s="167"/>
      <c r="J1300" s="167"/>
    </row>
    <row r="1301" spans="2:10" x14ac:dyDescent="0.25">
      <c r="B1301" s="169">
        <f t="shared" si="41"/>
        <v>0.66632390745503467</v>
      </c>
      <c r="C1301">
        <v>2458</v>
      </c>
      <c r="E1301">
        <v>1</v>
      </c>
      <c r="F1301">
        <v>1</v>
      </c>
      <c r="G1301" s="15">
        <v>1</v>
      </c>
      <c r="H1301" s="167">
        <f t="shared" si="40"/>
        <v>5.1413881748071976E-4</v>
      </c>
      <c r="I1301" s="167"/>
      <c r="J1301" s="167"/>
    </row>
    <row r="1302" spans="2:10" x14ac:dyDescent="0.25">
      <c r="B1302" s="169">
        <f t="shared" si="41"/>
        <v>0.66683804627251542</v>
      </c>
      <c r="C1302">
        <v>2345</v>
      </c>
      <c r="E1302">
        <v>1</v>
      </c>
      <c r="F1302">
        <v>1</v>
      </c>
      <c r="G1302" s="15">
        <v>1</v>
      </c>
      <c r="H1302" s="167">
        <f t="shared" si="40"/>
        <v>5.1413881748071976E-4</v>
      </c>
      <c r="I1302" s="167"/>
      <c r="J1302" s="167"/>
    </row>
    <row r="1303" spans="2:10" x14ac:dyDescent="0.25">
      <c r="B1303" s="169">
        <f t="shared" si="41"/>
        <v>0.66735218508999616</v>
      </c>
      <c r="C1303">
        <v>2354</v>
      </c>
      <c r="E1303">
        <v>1</v>
      </c>
      <c r="F1303">
        <v>1</v>
      </c>
      <c r="G1303" s="15">
        <v>1</v>
      </c>
      <c r="H1303" s="167">
        <f t="shared" si="40"/>
        <v>5.1413881748071976E-4</v>
      </c>
      <c r="I1303" s="167"/>
      <c r="J1303" s="167"/>
    </row>
    <row r="1304" spans="2:10" x14ac:dyDescent="0.25">
      <c r="B1304" s="169">
        <f t="shared" si="41"/>
        <v>0.66786632390747691</v>
      </c>
      <c r="C1304">
        <v>2390</v>
      </c>
      <c r="E1304">
        <v>1</v>
      </c>
      <c r="F1304">
        <v>1</v>
      </c>
      <c r="G1304" s="15">
        <v>1</v>
      </c>
      <c r="H1304" s="167">
        <f t="shared" si="40"/>
        <v>5.1413881748071976E-4</v>
      </c>
      <c r="I1304" s="167"/>
      <c r="J1304" s="167"/>
    </row>
    <row r="1305" spans="2:10" x14ac:dyDescent="0.25">
      <c r="B1305" s="169">
        <f t="shared" si="41"/>
        <v>0.66838046272495766</v>
      </c>
      <c r="C1305">
        <v>4151</v>
      </c>
      <c r="E1305">
        <v>10</v>
      </c>
      <c r="F1305">
        <v>10</v>
      </c>
      <c r="G1305" s="15">
        <v>1</v>
      </c>
      <c r="H1305" s="167">
        <f t="shared" si="40"/>
        <v>5.1413881748071976E-4</v>
      </c>
      <c r="I1305" s="167"/>
      <c r="J1305" s="167"/>
    </row>
    <row r="1306" spans="2:10" x14ac:dyDescent="0.25">
      <c r="B1306" s="169">
        <f t="shared" si="41"/>
        <v>0.66889460154243841</v>
      </c>
      <c r="C1306">
        <v>5792</v>
      </c>
      <c r="E1306">
        <v>3</v>
      </c>
      <c r="F1306">
        <v>3</v>
      </c>
      <c r="G1306" s="15">
        <v>1</v>
      </c>
      <c r="H1306" s="167">
        <f t="shared" si="40"/>
        <v>5.1413881748071976E-4</v>
      </c>
      <c r="I1306" s="167"/>
      <c r="J1306" s="167"/>
    </row>
    <row r="1307" spans="2:10" x14ac:dyDescent="0.25">
      <c r="B1307" s="169">
        <f t="shared" si="41"/>
        <v>0.66940874035991915</v>
      </c>
      <c r="C1307">
        <v>1774</v>
      </c>
      <c r="E1307">
        <v>1</v>
      </c>
      <c r="F1307">
        <v>1</v>
      </c>
      <c r="G1307" s="15">
        <v>1</v>
      </c>
      <c r="H1307" s="167">
        <f t="shared" si="40"/>
        <v>5.1413881748071976E-4</v>
      </c>
      <c r="I1307" s="167"/>
      <c r="J1307" s="167"/>
    </row>
    <row r="1308" spans="2:10" x14ac:dyDescent="0.25">
      <c r="B1308" s="169">
        <f t="shared" si="41"/>
        <v>0.6699228791773999</v>
      </c>
      <c r="C1308">
        <v>5569</v>
      </c>
      <c r="E1308">
        <v>10</v>
      </c>
      <c r="F1308">
        <v>10</v>
      </c>
      <c r="G1308" s="15">
        <v>1</v>
      </c>
      <c r="H1308" s="167">
        <f t="shared" si="40"/>
        <v>5.1413881748071976E-4</v>
      </c>
      <c r="I1308" s="167"/>
      <c r="J1308" s="167"/>
    </row>
    <row r="1309" spans="2:10" x14ac:dyDescent="0.25">
      <c r="B1309" s="169">
        <f t="shared" si="41"/>
        <v>0.67043701799488065</v>
      </c>
      <c r="C1309">
        <v>7181</v>
      </c>
      <c r="E1309">
        <v>1</v>
      </c>
      <c r="F1309">
        <v>1</v>
      </c>
      <c r="G1309" s="15">
        <v>1</v>
      </c>
      <c r="H1309" s="167">
        <f t="shared" si="40"/>
        <v>5.1413881748071976E-4</v>
      </c>
      <c r="I1309" s="167"/>
      <c r="J1309" s="167"/>
    </row>
    <row r="1310" spans="2:10" x14ac:dyDescent="0.25">
      <c r="B1310" s="169">
        <f t="shared" si="41"/>
        <v>0.67095115681236139</v>
      </c>
      <c r="C1310">
        <v>2658</v>
      </c>
      <c r="E1310">
        <v>1</v>
      </c>
      <c r="F1310">
        <v>1</v>
      </c>
      <c r="G1310" s="15">
        <v>1</v>
      </c>
      <c r="H1310" s="167">
        <f t="shared" si="40"/>
        <v>5.1413881748071976E-4</v>
      </c>
      <c r="I1310" s="167"/>
      <c r="J1310" s="167"/>
    </row>
    <row r="1311" spans="2:10" x14ac:dyDescent="0.25">
      <c r="B1311" s="169">
        <f t="shared" si="41"/>
        <v>0.67146529562984214</v>
      </c>
      <c r="C1311">
        <v>2437</v>
      </c>
      <c r="E1311">
        <v>4</v>
      </c>
      <c r="F1311">
        <v>4</v>
      </c>
      <c r="G1311" s="15">
        <v>1</v>
      </c>
      <c r="H1311" s="167">
        <f t="shared" si="40"/>
        <v>5.1413881748071976E-4</v>
      </c>
      <c r="I1311" s="167"/>
      <c r="J1311" s="167"/>
    </row>
    <row r="1312" spans="2:10" x14ac:dyDescent="0.25">
      <c r="B1312" s="169">
        <f t="shared" si="41"/>
        <v>0.67197943444732289</v>
      </c>
      <c r="C1312">
        <v>5796</v>
      </c>
      <c r="E1312">
        <v>1</v>
      </c>
      <c r="F1312">
        <v>1</v>
      </c>
      <c r="G1312" s="15">
        <v>1</v>
      </c>
      <c r="H1312" s="167">
        <f t="shared" si="40"/>
        <v>5.1413881748071976E-4</v>
      </c>
      <c r="I1312" s="167"/>
      <c r="J1312" s="167"/>
    </row>
    <row r="1313" spans="2:10" x14ac:dyDescent="0.25">
      <c r="B1313" s="169">
        <f t="shared" si="41"/>
        <v>0.67249357326480363</v>
      </c>
      <c r="C1313">
        <v>5797</v>
      </c>
      <c r="E1313">
        <v>1</v>
      </c>
      <c r="F1313">
        <v>1</v>
      </c>
      <c r="G1313" s="15">
        <v>1</v>
      </c>
      <c r="H1313" s="167">
        <f t="shared" si="40"/>
        <v>5.1413881748071976E-4</v>
      </c>
      <c r="I1313" s="167"/>
      <c r="J1313" s="167"/>
    </row>
    <row r="1314" spans="2:10" x14ac:dyDescent="0.25">
      <c r="B1314" s="169">
        <f t="shared" si="41"/>
        <v>0.67300771208228438</v>
      </c>
      <c r="C1314">
        <v>2439</v>
      </c>
      <c r="E1314">
        <v>7</v>
      </c>
      <c r="F1314">
        <v>7</v>
      </c>
      <c r="G1314" s="15">
        <v>1</v>
      </c>
      <c r="H1314" s="167">
        <f t="shared" si="40"/>
        <v>5.1413881748071976E-4</v>
      </c>
      <c r="I1314" s="167"/>
      <c r="J1314" s="167"/>
    </row>
    <row r="1315" spans="2:10" x14ac:dyDescent="0.25">
      <c r="B1315" s="169">
        <f t="shared" si="41"/>
        <v>0.67352185089976513</v>
      </c>
      <c r="C1315">
        <v>2182</v>
      </c>
      <c r="E1315">
        <v>3</v>
      </c>
      <c r="F1315">
        <v>3</v>
      </c>
      <c r="G1315" s="15">
        <v>1</v>
      </c>
      <c r="H1315" s="167">
        <f t="shared" si="40"/>
        <v>5.1413881748071976E-4</v>
      </c>
      <c r="I1315" s="167"/>
      <c r="J1315" s="167"/>
    </row>
    <row r="1316" spans="2:10" x14ac:dyDescent="0.25">
      <c r="B1316" s="169">
        <f t="shared" si="41"/>
        <v>0.67403598971724588</v>
      </c>
      <c r="C1316">
        <v>5462</v>
      </c>
      <c r="E1316">
        <v>1</v>
      </c>
      <c r="F1316">
        <v>1</v>
      </c>
      <c r="G1316" s="15">
        <v>1</v>
      </c>
      <c r="H1316" s="167">
        <f t="shared" si="40"/>
        <v>5.1413881748071976E-4</v>
      </c>
      <c r="I1316" s="167"/>
      <c r="J1316" s="167"/>
    </row>
    <row r="1317" spans="2:10" x14ac:dyDescent="0.25">
      <c r="B1317" s="169">
        <f t="shared" si="41"/>
        <v>0.67455012853472662</v>
      </c>
      <c r="C1317">
        <v>4199</v>
      </c>
      <c r="E1317">
        <v>8</v>
      </c>
      <c r="F1317">
        <v>8</v>
      </c>
      <c r="G1317" s="15">
        <v>1</v>
      </c>
      <c r="H1317" s="167">
        <f t="shared" si="40"/>
        <v>5.1413881748071976E-4</v>
      </c>
      <c r="I1317" s="167"/>
      <c r="J1317" s="167"/>
    </row>
    <row r="1318" spans="2:10" x14ac:dyDescent="0.25">
      <c r="B1318" s="169">
        <f t="shared" si="41"/>
        <v>0.67506426735220737</v>
      </c>
      <c r="C1318">
        <v>2258</v>
      </c>
      <c r="E1318">
        <v>1</v>
      </c>
      <c r="F1318">
        <v>1</v>
      </c>
      <c r="G1318" s="15">
        <v>1</v>
      </c>
      <c r="H1318" s="167">
        <f t="shared" si="40"/>
        <v>5.1413881748071976E-4</v>
      </c>
      <c r="I1318" s="167"/>
      <c r="J1318" s="167"/>
    </row>
    <row r="1319" spans="2:10" x14ac:dyDescent="0.25">
      <c r="B1319" s="169">
        <f t="shared" si="41"/>
        <v>0.67557840616968812</v>
      </c>
      <c r="C1319">
        <v>2259</v>
      </c>
      <c r="E1319">
        <v>1</v>
      </c>
      <c r="F1319">
        <v>1</v>
      </c>
      <c r="G1319" s="15">
        <v>1</v>
      </c>
      <c r="H1319" s="167">
        <f t="shared" si="40"/>
        <v>5.1413881748071976E-4</v>
      </c>
      <c r="I1319" s="167"/>
      <c r="J1319" s="167"/>
    </row>
    <row r="1320" spans="2:10" x14ac:dyDescent="0.25">
      <c r="B1320" s="169">
        <f t="shared" si="41"/>
        <v>0.67609254498716886</v>
      </c>
      <c r="C1320">
        <v>2327</v>
      </c>
      <c r="E1320">
        <v>1</v>
      </c>
      <c r="F1320">
        <v>1</v>
      </c>
      <c r="G1320" s="15">
        <v>1</v>
      </c>
      <c r="H1320" s="167">
        <f t="shared" si="40"/>
        <v>5.1413881748071976E-4</v>
      </c>
      <c r="I1320" s="167"/>
      <c r="J1320" s="167"/>
    </row>
    <row r="1321" spans="2:10" x14ac:dyDescent="0.25">
      <c r="B1321" s="169">
        <f t="shared" si="41"/>
        <v>0.67660668380464961</v>
      </c>
      <c r="C1321">
        <v>7182</v>
      </c>
      <c r="E1321">
        <v>2</v>
      </c>
      <c r="F1321">
        <v>2</v>
      </c>
      <c r="G1321" s="15">
        <v>1</v>
      </c>
      <c r="H1321" s="167">
        <f t="shared" si="40"/>
        <v>5.1413881748071976E-4</v>
      </c>
      <c r="I1321" s="167"/>
      <c r="J1321" s="167"/>
    </row>
    <row r="1322" spans="2:10" x14ac:dyDescent="0.25">
      <c r="B1322" s="169">
        <f t="shared" si="41"/>
        <v>0.67712082262213036</v>
      </c>
      <c r="C1322">
        <v>2260</v>
      </c>
      <c r="E1322">
        <v>1</v>
      </c>
      <c r="F1322">
        <v>1</v>
      </c>
      <c r="G1322" s="15">
        <v>1</v>
      </c>
      <c r="H1322" s="167">
        <f t="shared" si="40"/>
        <v>5.1413881748071976E-4</v>
      </c>
      <c r="I1322" s="167"/>
      <c r="J1322" s="167"/>
    </row>
    <row r="1323" spans="2:10" x14ac:dyDescent="0.25">
      <c r="B1323" s="169">
        <f t="shared" si="41"/>
        <v>0.67763496143961111</v>
      </c>
      <c r="C1323">
        <v>2608</v>
      </c>
      <c r="E1323">
        <v>15</v>
      </c>
      <c r="F1323">
        <v>15</v>
      </c>
      <c r="G1323" s="15">
        <v>1</v>
      </c>
      <c r="H1323" s="167">
        <f t="shared" si="40"/>
        <v>5.1413881748071976E-4</v>
      </c>
      <c r="I1323" s="167"/>
      <c r="J1323" s="167"/>
    </row>
    <row r="1324" spans="2:10" x14ac:dyDescent="0.25">
      <c r="B1324" s="169">
        <f t="shared" si="41"/>
        <v>0.67814910025709185</v>
      </c>
      <c r="C1324">
        <v>2689</v>
      </c>
      <c r="E1324">
        <v>15</v>
      </c>
      <c r="F1324">
        <v>15</v>
      </c>
      <c r="G1324" s="15">
        <v>1</v>
      </c>
      <c r="H1324" s="167">
        <f t="shared" si="40"/>
        <v>5.1413881748071976E-4</v>
      </c>
      <c r="I1324" s="167"/>
      <c r="J1324" s="167"/>
    </row>
    <row r="1325" spans="2:10" x14ac:dyDescent="0.25">
      <c r="B1325" s="169">
        <f t="shared" si="41"/>
        <v>0.6786632390745726</v>
      </c>
      <c r="C1325">
        <v>4200</v>
      </c>
      <c r="E1325">
        <v>5</v>
      </c>
      <c r="F1325">
        <v>5</v>
      </c>
      <c r="G1325" s="15">
        <v>1</v>
      </c>
      <c r="H1325" s="167">
        <f t="shared" si="40"/>
        <v>5.1413881748071976E-4</v>
      </c>
      <c r="I1325" s="167"/>
      <c r="J1325" s="167"/>
    </row>
    <row r="1326" spans="2:10" x14ac:dyDescent="0.25">
      <c r="B1326" s="169">
        <f t="shared" si="41"/>
        <v>0.67917737789205335</v>
      </c>
      <c r="C1326">
        <v>2178</v>
      </c>
      <c r="E1326">
        <v>3</v>
      </c>
      <c r="F1326">
        <v>3</v>
      </c>
      <c r="G1326" s="15">
        <v>1</v>
      </c>
      <c r="H1326" s="167">
        <f t="shared" si="40"/>
        <v>5.1413881748071976E-4</v>
      </c>
      <c r="I1326" s="167"/>
      <c r="J1326" s="167"/>
    </row>
    <row r="1327" spans="2:10" x14ac:dyDescent="0.25">
      <c r="B1327" s="169">
        <f t="shared" si="41"/>
        <v>0.67969151670953409</v>
      </c>
      <c r="C1327">
        <v>2315</v>
      </c>
      <c r="E1327">
        <v>10</v>
      </c>
      <c r="F1327">
        <v>10</v>
      </c>
      <c r="G1327" s="15">
        <v>1</v>
      </c>
      <c r="H1327" s="167">
        <f t="shared" si="40"/>
        <v>5.1413881748071976E-4</v>
      </c>
      <c r="I1327" s="167"/>
      <c r="J1327" s="167"/>
    </row>
    <row r="1328" spans="2:10" x14ac:dyDescent="0.25">
      <c r="B1328" s="169">
        <f t="shared" si="41"/>
        <v>0.68020565552701484</v>
      </c>
      <c r="C1328">
        <v>5706</v>
      </c>
      <c r="E1328">
        <v>1</v>
      </c>
      <c r="F1328">
        <v>1</v>
      </c>
      <c r="G1328" s="15">
        <v>1</v>
      </c>
      <c r="H1328" s="167">
        <f t="shared" si="40"/>
        <v>5.1413881748071976E-4</v>
      </c>
      <c r="I1328" s="167"/>
      <c r="J1328" s="167"/>
    </row>
    <row r="1329" spans="2:10" x14ac:dyDescent="0.25">
      <c r="B1329" s="169">
        <f t="shared" si="41"/>
        <v>0.68071979434449559</v>
      </c>
      <c r="C1329">
        <v>6979</v>
      </c>
      <c r="E1329">
        <v>5</v>
      </c>
      <c r="F1329">
        <v>5</v>
      </c>
      <c r="G1329" s="15">
        <v>1</v>
      </c>
      <c r="H1329" s="167">
        <f t="shared" si="40"/>
        <v>5.1413881748071976E-4</v>
      </c>
      <c r="I1329" s="167"/>
      <c r="J1329" s="167"/>
    </row>
    <row r="1330" spans="2:10" x14ac:dyDescent="0.25">
      <c r="B1330" s="169">
        <f t="shared" si="41"/>
        <v>0.68123393316197633</v>
      </c>
      <c r="C1330">
        <v>5824</v>
      </c>
      <c r="E1330">
        <v>2</v>
      </c>
      <c r="F1330">
        <v>2</v>
      </c>
      <c r="G1330" s="15">
        <v>1</v>
      </c>
      <c r="H1330" s="167">
        <f t="shared" si="40"/>
        <v>5.1413881748071976E-4</v>
      </c>
      <c r="I1330" s="167"/>
      <c r="J1330" s="167"/>
    </row>
    <row r="1331" spans="2:10" x14ac:dyDescent="0.25">
      <c r="B1331" s="169">
        <f t="shared" si="41"/>
        <v>0.68174807197945708</v>
      </c>
      <c r="C1331">
        <v>2316</v>
      </c>
      <c r="E1331">
        <v>15</v>
      </c>
      <c r="F1331">
        <v>15</v>
      </c>
      <c r="G1331" s="15">
        <v>1</v>
      </c>
      <c r="H1331" s="167">
        <f t="shared" si="40"/>
        <v>5.1413881748071976E-4</v>
      </c>
      <c r="I1331" s="167"/>
      <c r="J1331" s="167"/>
    </row>
    <row r="1332" spans="2:10" x14ac:dyDescent="0.25">
      <c r="B1332" s="169">
        <f t="shared" si="41"/>
        <v>0.68226221079693783</v>
      </c>
      <c r="C1332">
        <v>6724</v>
      </c>
      <c r="E1332">
        <v>3</v>
      </c>
      <c r="F1332">
        <v>3</v>
      </c>
      <c r="G1332" s="15">
        <v>1</v>
      </c>
      <c r="H1332" s="167">
        <f t="shared" si="40"/>
        <v>5.1413881748071976E-4</v>
      </c>
      <c r="I1332" s="167"/>
      <c r="J1332" s="167"/>
    </row>
    <row r="1333" spans="2:10" x14ac:dyDescent="0.25">
      <c r="B1333" s="169">
        <f t="shared" si="41"/>
        <v>0.68277634961441858</v>
      </c>
      <c r="C1333">
        <v>4177</v>
      </c>
      <c r="E1333">
        <v>3</v>
      </c>
      <c r="F1333">
        <v>3</v>
      </c>
      <c r="G1333" s="15">
        <v>1</v>
      </c>
      <c r="H1333" s="167">
        <f t="shared" si="40"/>
        <v>5.1413881748071976E-4</v>
      </c>
      <c r="I1333" s="167"/>
      <c r="J1333" s="167"/>
    </row>
    <row r="1334" spans="2:10" x14ac:dyDescent="0.25">
      <c r="B1334" s="169">
        <f t="shared" si="41"/>
        <v>0.68329048843189932</v>
      </c>
      <c r="C1334">
        <v>6567</v>
      </c>
      <c r="E1334">
        <v>1</v>
      </c>
      <c r="F1334">
        <v>1</v>
      </c>
      <c r="G1334" s="15">
        <v>1</v>
      </c>
      <c r="H1334" s="167">
        <f t="shared" si="40"/>
        <v>5.1413881748071976E-4</v>
      </c>
      <c r="I1334" s="167"/>
      <c r="J1334" s="167"/>
    </row>
    <row r="1335" spans="2:10" x14ac:dyDescent="0.25">
      <c r="B1335" s="169">
        <f t="shared" si="41"/>
        <v>0.68380462724938007</v>
      </c>
      <c r="C1335">
        <v>6568</v>
      </c>
      <c r="E1335">
        <v>14</v>
      </c>
      <c r="F1335">
        <v>14</v>
      </c>
      <c r="G1335" s="15">
        <v>1</v>
      </c>
      <c r="H1335" s="167">
        <f t="shared" si="40"/>
        <v>5.1413881748071976E-4</v>
      </c>
      <c r="I1335" s="167"/>
      <c r="J1335" s="167"/>
    </row>
    <row r="1336" spans="2:10" x14ac:dyDescent="0.25">
      <c r="B1336" s="169">
        <f t="shared" si="41"/>
        <v>0.68431876606686082</v>
      </c>
      <c r="C1336">
        <v>4703</v>
      </c>
      <c r="E1336">
        <v>5</v>
      </c>
      <c r="F1336">
        <v>5</v>
      </c>
      <c r="G1336" s="15">
        <v>1</v>
      </c>
      <c r="H1336" s="167">
        <f t="shared" si="40"/>
        <v>5.1413881748071976E-4</v>
      </c>
      <c r="I1336" s="167"/>
      <c r="J1336" s="167"/>
    </row>
    <row r="1337" spans="2:10" x14ac:dyDescent="0.25">
      <c r="B1337" s="169">
        <f t="shared" si="41"/>
        <v>0.68483290488434156</v>
      </c>
      <c r="C1337">
        <v>4172</v>
      </c>
      <c r="E1337">
        <v>2</v>
      </c>
      <c r="F1337">
        <v>2</v>
      </c>
      <c r="G1337" s="15">
        <v>1</v>
      </c>
      <c r="H1337" s="167">
        <f t="shared" si="40"/>
        <v>5.1413881748071976E-4</v>
      </c>
      <c r="I1337" s="167"/>
      <c r="J1337" s="167"/>
    </row>
    <row r="1338" spans="2:10" x14ac:dyDescent="0.25">
      <c r="B1338" s="169">
        <f t="shared" si="41"/>
        <v>0.68534704370182231</v>
      </c>
      <c r="C1338">
        <v>5709</v>
      </c>
      <c r="E1338">
        <v>3</v>
      </c>
      <c r="F1338">
        <v>3</v>
      </c>
      <c r="G1338" s="15">
        <v>1</v>
      </c>
      <c r="H1338" s="167">
        <f t="shared" si="40"/>
        <v>5.1413881748071976E-4</v>
      </c>
      <c r="I1338" s="167"/>
      <c r="J1338" s="167"/>
    </row>
    <row r="1339" spans="2:10" x14ac:dyDescent="0.25">
      <c r="B1339" s="169">
        <f t="shared" si="41"/>
        <v>0.68586118251930306</v>
      </c>
      <c r="C1339">
        <v>5710</v>
      </c>
      <c r="E1339">
        <v>3</v>
      </c>
      <c r="F1339">
        <v>3</v>
      </c>
      <c r="G1339" s="15">
        <v>1</v>
      </c>
      <c r="H1339" s="167">
        <f t="shared" si="40"/>
        <v>5.1413881748071976E-4</v>
      </c>
      <c r="I1339" s="167"/>
      <c r="J1339" s="167"/>
    </row>
    <row r="1340" spans="2:10" x14ac:dyDescent="0.25">
      <c r="B1340" s="169">
        <f t="shared" si="41"/>
        <v>0.68637532133678381</v>
      </c>
      <c r="C1340">
        <v>5830</v>
      </c>
      <c r="E1340">
        <v>1</v>
      </c>
      <c r="F1340">
        <v>1</v>
      </c>
      <c r="G1340" s="15">
        <v>1</v>
      </c>
      <c r="H1340" s="167">
        <f t="shared" si="40"/>
        <v>5.1413881748071976E-4</v>
      </c>
      <c r="I1340" s="167"/>
      <c r="J1340" s="167"/>
    </row>
    <row r="1341" spans="2:10" x14ac:dyDescent="0.25">
      <c r="B1341" s="169">
        <f t="shared" si="41"/>
        <v>0.68688946015426455</v>
      </c>
      <c r="C1341">
        <v>5827</v>
      </c>
      <c r="E1341">
        <v>1</v>
      </c>
      <c r="F1341">
        <v>1</v>
      </c>
      <c r="G1341" s="15">
        <v>1</v>
      </c>
      <c r="H1341" s="167">
        <f t="shared" si="40"/>
        <v>5.1413881748071976E-4</v>
      </c>
      <c r="I1341" s="167"/>
      <c r="J1341" s="167"/>
    </row>
    <row r="1342" spans="2:10" x14ac:dyDescent="0.25">
      <c r="B1342" s="169">
        <f t="shared" si="41"/>
        <v>0.6874035989717453</v>
      </c>
      <c r="C1342">
        <v>6956</v>
      </c>
      <c r="E1342">
        <v>1</v>
      </c>
      <c r="F1342">
        <v>1</v>
      </c>
      <c r="G1342" s="15">
        <v>1</v>
      </c>
      <c r="H1342" s="167">
        <f t="shared" si="40"/>
        <v>5.1413881748071976E-4</v>
      </c>
      <c r="I1342" s="167"/>
      <c r="J1342" s="167"/>
    </row>
    <row r="1343" spans="2:10" x14ac:dyDescent="0.25">
      <c r="B1343" s="169">
        <f t="shared" si="41"/>
        <v>0.68791773778922605</v>
      </c>
      <c r="C1343">
        <v>5694</v>
      </c>
      <c r="E1343">
        <v>1</v>
      </c>
      <c r="F1343">
        <v>1</v>
      </c>
      <c r="G1343" s="15">
        <v>1</v>
      </c>
      <c r="H1343" s="167">
        <f t="shared" si="40"/>
        <v>5.1413881748071976E-4</v>
      </c>
      <c r="I1343" s="167"/>
      <c r="J1343" s="167"/>
    </row>
    <row r="1344" spans="2:10" x14ac:dyDescent="0.25">
      <c r="B1344" s="169">
        <f t="shared" si="41"/>
        <v>0.68843187660670679</v>
      </c>
      <c r="C1344">
        <v>5697</v>
      </c>
      <c r="E1344">
        <v>1</v>
      </c>
      <c r="F1344">
        <v>1</v>
      </c>
      <c r="G1344" s="15">
        <v>1</v>
      </c>
      <c r="H1344" s="167">
        <f t="shared" si="40"/>
        <v>5.1413881748071976E-4</v>
      </c>
      <c r="I1344" s="167"/>
      <c r="J1344" s="167"/>
    </row>
    <row r="1345" spans="2:10" x14ac:dyDescent="0.25">
      <c r="B1345" s="169">
        <f t="shared" si="41"/>
        <v>0.68894601542418754</v>
      </c>
      <c r="C1345">
        <v>5815</v>
      </c>
      <c r="E1345">
        <v>9</v>
      </c>
      <c r="F1345">
        <v>9</v>
      </c>
      <c r="G1345" s="15">
        <v>1</v>
      </c>
      <c r="H1345" s="167">
        <f t="shared" si="40"/>
        <v>5.1413881748071976E-4</v>
      </c>
      <c r="I1345" s="167"/>
      <c r="J1345" s="167"/>
    </row>
    <row r="1346" spans="2:10" x14ac:dyDescent="0.25">
      <c r="B1346" s="169">
        <f t="shared" si="41"/>
        <v>0.68946015424166829</v>
      </c>
      <c r="C1346">
        <v>6954</v>
      </c>
      <c r="E1346">
        <v>1</v>
      </c>
      <c r="F1346">
        <v>1</v>
      </c>
      <c r="G1346" s="15">
        <v>1</v>
      </c>
      <c r="H1346" s="167">
        <f t="shared" si="40"/>
        <v>5.1413881748071976E-4</v>
      </c>
      <c r="I1346" s="167"/>
      <c r="J1346" s="167"/>
    </row>
    <row r="1347" spans="2:10" x14ac:dyDescent="0.25">
      <c r="B1347" s="169">
        <f t="shared" si="41"/>
        <v>0.68997429305914904</v>
      </c>
      <c r="C1347">
        <v>6961</v>
      </c>
      <c r="E1347">
        <v>2</v>
      </c>
      <c r="F1347">
        <v>2</v>
      </c>
      <c r="G1347" s="15">
        <v>1</v>
      </c>
      <c r="H1347" s="167">
        <f t="shared" si="40"/>
        <v>5.1413881748071976E-4</v>
      </c>
      <c r="I1347" s="167"/>
      <c r="J1347" s="167"/>
    </row>
    <row r="1348" spans="2:10" x14ac:dyDescent="0.25">
      <c r="B1348" s="169">
        <f t="shared" si="41"/>
        <v>0.69048843187662978</v>
      </c>
      <c r="C1348">
        <v>1776</v>
      </c>
      <c r="E1348">
        <v>13</v>
      </c>
      <c r="F1348">
        <v>13</v>
      </c>
      <c r="G1348" s="15">
        <v>1</v>
      </c>
      <c r="H1348" s="167">
        <f t="shared" si="40"/>
        <v>5.1413881748071976E-4</v>
      </c>
      <c r="I1348" s="167"/>
      <c r="J1348" s="167"/>
    </row>
    <row r="1349" spans="2:10" x14ac:dyDescent="0.25">
      <c r="B1349" s="169">
        <f t="shared" si="41"/>
        <v>0.69100257069411053</v>
      </c>
      <c r="C1349">
        <v>2610</v>
      </c>
      <c r="E1349">
        <v>3</v>
      </c>
      <c r="F1349">
        <v>3</v>
      </c>
      <c r="G1349" s="15">
        <v>1</v>
      </c>
      <c r="H1349" s="167">
        <f t="shared" si="40"/>
        <v>5.1413881748071976E-4</v>
      </c>
      <c r="I1349" s="167"/>
      <c r="J1349" s="167"/>
    </row>
    <row r="1350" spans="2:10" x14ac:dyDescent="0.25">
      <c r="B1350" s="169">
        <f t="shared" si="41"/>
        <v>0.69151670951159128</v>
      </c>
      <c r="C1350">
        <v>6985</v>
      </c>
      <c r="E1350">
        <v>6</v>
      </c>
      <c r="F1350">
        <v>6</v>
      </c>
      <c r="G1350" s="15">
        <v>1</v>
      </c>
      <c r="H1350" s="167">
        <f t="shared" ref="H1350:H1413" si="42">1/$L$6</f>
        <v>5.1413881748071976E-4</v>
      </c>
      <c r="I1350" s="167"/>
      <c r="J1350" s="167"/>
    </row>
    <row r="1351" spans="2:10" x14ac:dyDescent="0.25">
      <c r="B1351" s="169">
        <f t="shared" ref="B1351:B1414" si="43">B1350+H1351</f>
        <v>0.69203084832907202</v>
      </c>
      <c r="C1351">
        <v>2691</v>
      </c>
      <c r="E1351">
        <v>3</v>
      </c>
      <c r="F1351">
        <v>3</v>
      </c>
      <c r="G1351" s="15">
        <v>1</v>
      </c>
      <c r="H1351" s="167">
        <f t="shared" si="42"/>
        <v>5.1413881748071976E-4</v>
      </c>
      <c r="I1351" s="167"/>
      <c r="J1351" s="167"/>
    </row>
    <row r="1352" spans="2:10" x14ac:dyDescent="0.25">
      <c r="B1352" s="169">
        <f t="shared" si="43"/>
        <v>0.69254498714655277</v>
      </c>
      <c r="C1352">
        <v>6993</v>
      </c>
      <c r="E1352">
        <v>3</v>
      </c>
      <c r="F1352">
        <v>3</v>
      </c>
      <c r="G1352" s="15">
        <v>1</v>
      </c>
      <c r="H1352" s="167">
        <f t="shared" si="42"/>
        <v>5.1413881748071976E-4</v>
      </c>
      <c r="I1352" s="167"/>
      <c r="J1352" s="167"/>
    </row>
    <row r="1353" spans="2:10" x14ac:dyDescent="0.25">
      <c r="B1353" s="169">
        <f t="shared" si="43"/>
        <v>0.69305912596403352</v>
      </c>
      <c r="C1353">
        <v>5831</v>
      </c>
      <c r="E1353">
        <v>1</v>
      </c>
      <c r="F1353">
        <v>1</v>
      </c>
      <c r="G1353" s="15">
        <v>1</v>
      </c>
      <c r="H1353" s="167">
        <f t="shared" si="42"/>
        <v>5.1413881748071976E-4</v>
      </c>
      <c r="I1353" s="167"/>
      <c r="J1353" s="167"/>
    </row>
    <row r="1354" spans="2:10" x14ac:dyDescent="0.25">
      <c r="B1354" s="169">
        <f t="shared" si="43"/>
        <v>0.69357326478151426</v>
      </c>
      <c r="C1354">
        <v>5517</v>
      </c>
      <c r="E1354">
        <v>1</v>
      </c>
      <c r="F1354">
        <v>1</v>
      </c>
      <c r="G1354" s="15">
        <v>1</v>
      </c>
      <c r="H1354" s="167">
        <f t="shared" si="42"/>
        <v>5.1413881748071976E-4</v>
      </c>
      <c r="I1354" s="167"/>
      <c r="J1354" s="167"/>
    </row>
    <row r="1355" spans="2:10" x14ac:dyDescent="0.25">
      <c r="B1355" s="169">
        <f t="shared" si="43"/>
        <v>0.69408740359899501</v>
      </c>
      <c r="C1355">
        <v>6965</v>
      </c>
      <c r="E1355">
        <v>3</v>
      </c>
      <c r="F1355">
        <v>3</v>
      </c>
      <c r="G1355" s="15">
        <v>1</v>
      </c>
      <c r="H1355" s="167">
        <f t="shared" si="42"/>
        <v>5.1413881748071976E-4</v>
      </c>
      <c r="I1355" s="167"/>
      <c r="J1355" s="167"/>
    </row>
    <row r="1356" spans="2:10" x14ac:dyDescent="0.25">
      <c r="B1356" s="169">
        <f t="shared" si="43"/>
        <v>0.69460154241647576</v>
      </c>
      <c r="C1356">
        <v>1777</v>
      </c>
      <c r="E1356">
        <v>1</v>
      </c>
      <c r="F1356">
        <v>1</v>
      </c>
      <c r="G1356" s="15">
        <v>1</v>
      </c>
      <c r="H1356" s="167">
        <f t="shared" si="42"/>
        <v>5.1413881748071976E-4</v>
      </c>
      <c r="I1356" s="167"/>
      <c r="J1356" s="167"/>
    </row>
    <row r="1357" spans="2:10" x14ac:dyDescent="0.25">
      <c r="B1357" s="169">
        <f t="shared" si="43"/>
        <v>0.69511568123395651</v>
      </c>
      <c r="C1357">
        <v>6517</v>
      </c>
      <c r="E1357">
        <v>2</v>
      </c>
      <c r="F1357">
        <v>2</v>
      </c>
      <c r="G1357" s="15">
        <v>1</v>
      </c>
      <c r="H1357" s="167">
        <f t="shared" si="42"/>
        <v>5.1413881748071976E-4</v>
      </c>
      <c r="I1357" s="167"/>
      <c r="J1357" s="167"/>
    </row>
    <row r="1358" spans="2:10" x14ac:dyDescent="0.25">
      <c r="B1358" s="169">
        <f t="shared" si="43"/>
        <v>0.69562982005143725</v>
      </c>
      <c r="C1358">
        <v>1780</v>
      </c>
      <c r="E1358">
        <v>1</v>
      </c>
      <c r="F1358">
        <v>1</v>
      </c>
      <c r="G1358" s="15">
        <v>1</v>
      </c>
      <c r="H1358" s="167">
        <f t="shared" si="42"/>
        <v>5.1413881748071976E-4</v>
      </c>
      <c r="I1358" s="167"/>
      <c r="J1358" s="167"/>
    </row>
    <row r="1359" spans="2:10" x14ac:dyDescent="0.25">
      <c r="B1359" s="169">
        <f t="shared" si="43"/>
        <v>0.696143958868918</v>
      </c>
      <c r="C1359">
        <v>2461</v>
      </c>
      <c r="E1359">
        <v>1</v>
      </c>
      <c r="F1359">
        <v>1</v>
      </c>
      <c r="G1359" s="15">
        <v>1</v>
      </c>
      <c r="H1359" s="167">
        <f t="shared" si="42"/>
        <v>5.1413881748071976E-4</v>
      </c>
      <c r="I1359" s="167"/>
      <c r="J1359" s="167"/>
    </row>
    <row r="1360" spans="2:10" x14ac:dyDescent="0.25">
      <c r="B1360" s="169">
        <f t="shared" si="43"/>
        <v>0.69665809768639875</v>
      </c>
      <c r="C1360">
        <v>5996</v>
      </c>
      <c r="E1360">
        <v>190</v>
      </c>
      <c r="F1360">
        <v>195</v>
      </c>
      <c r="G1360" s="15">
        <v>1.0263157894736801</v>
      </c>
      <c r="H1360" s="167">
        <f t="shared" si="42"/>
        <v>5.1413881748071976E-4</v>
      </c>
      <c r="I1360" s="167"/>
      <c r="J1360" s="167"/>
    </row>
    <row r="1361" spans="2:10" x14ac:dyDescent="0.25">
      <c r="B1361" s="169">
        <f t="shared" si="43"/>
        <v>0.69717223650387949</v>
      </c>
      <c r="C1361">
        <v>4784</v>
      </c>
      <c r="E1361">
        <v>36</v>
      </c>
      <c r="F1361">
        <v>37</v>
      </c>
      <c r="G1361" s="15">
        <v>1.0277777777777799</v>
      </c>
      <c r="H1361" s="167">
        <f t="shared" si="42"/>
        <v>5.1413881748071976E-4</v>
      </c>
      <c r="I1361" s="167"/>
      <c r="J1361" s="167"/>
    </row>
    <row r="1362" spans="2:10" x14ac:dyDescent="0.25">
      <c r="B1362" s="169">
        <f t="shared" si="43"/>
        <v>0.69768637532136024</v>
      </c>
      <c r="C1362">
        <v>5995</v>
      </c>
      <c r="E1362">
        <v>190</v>
      </c>
      <c r="F1362">
        <v>196</v>
      </c>
      <c r="G1362" s="15">
        <v>1.03157894736842</v>
      </c>
      <c r="H1362" s="167">
        <f t="shared" si="42"/>
        <v>5.1413881748071976E-4</v>
      </c>
      <c r="I1362" s="167"/>
      <c r="J1362" s="167"/>
    </row>
    <row r="1363" spans="2:10" x14ac:dyDescent="0.25">
      <c r="B1363" s="169">
        <f t="shared" si="43"/>
        <v>0.69820051413884099</v>
      </c>
      <c r="C1363">
        <v>6386</v>
      </c>
      <c r="E1363">
        <v>135</v>
      </c>
      <c r="F1363">
        <v>141</v>
      </c>
      <c r="G1363" s="15">
        <v>1.0444444444444401</v>
      </c>
      <c r="H1363" s="167">
        <f t="shared" si="42"/>
        <v>5.1413881748071976E-4</v>
      </c>
      <c r="I1363" s="167"/>
      <c r="J1363" s="167"/>
    </row>
    <row r="1364" spans="2:10" x14ac:dyDescent="0.25">
      <c r="B1364" s="169">
        <f t="shared" si="43"/>
        <v>0.69871465295632174</v>
      </c>
      <c r="C1364">
        <v>5547</v>
      </c>
      <c r="E1364">
        <v>317</v>
      </c>
      <c r="F1364">
        <v>334</v>
      </c>
      <c r="G1364" s="15">
        <v>1.05362776025237</v>
      </c>
      <c r="H1364" s="167">
        <f t="shared" si="42"/>
        <v>5.1413881748071976E-4</v>
      </c>
      <c r="I1364" s="167"/>
      <c r="J1364" s="167"/>
    </row>
    <row r="1365" spans="2:10" x14ac:dyDescent="0.25">
      <c r="B1365" s="169">
        <f t="shared" si="43"/>
        <v>0.69922879177380248</v>
      </c>
      <c r="C1365">
        <v>4768</v>
      </c>
      <c r="E1365">
        <v>35</v>
      </c>
      <c r="F1365">
        <v>37</v>
      </c>
      <c r="G1365" s="15">
        <v>1.05714285714286</v>
      </c>
      <c r="H1365" s="167">
        <f t="shared" si="42"/>
        <v>5.1413881748071976E-4</v>
      </c>
      <c r="I1365" s="167"/>
      <c r="J1365" s="167"/>
    </row>
    <row r="1366" spans="2:10" x14ac:dyDescent="0.25">
      <c r="B1366" s="169">
        <f t="shared" si="43"/>
        <v>0.69974293059128323</v>
      </c>
      <c r="C1366">
        <v>2364</v>
      </c>
      <c r="E1366">
        <v>15</v>
      </c>
      <c r="F1366">
        <v>16</v>
      </c>
      <c r="G1366" s="15">
        <v>1.06666666666667</v>
      </c>
      <c r="H1366" s="167">
        <f t="shared" si="42"/>
        <v>5.1413881748071976E-4</v>
      </c>
      <c r="I1366" s="167"/>
      <c r="J1366" s="167"/>
    </row>
    <row r="1367" spans="2:10" x14ac:dyDescent="0.25">
      <c r="B1367" s="169">
        <f t="shared" si="43"/>
        <v>0.70025706940876398</v>
      </c>
      <c r="C1367">
        <v>4351</v>
      </c>
      <c r="E1367">
        <v>108</v>
      </c>
      <c r="F1367">
        <v>116</v>
      </c>
      <c r="G1367" s="15">
        <v>1.07407407407407</v>
      </c>
      <c r="H1367" s="167">
        <f t="shared" si="42"/>
        <v>5.1413881748071976E-4</v>
      </c>
      <c r="I1367" s="167"/>
      <c r="J1367" s="167"/>
    </row>
    <row r="1368" spans="2:10" x14ac:dyDescent="0.25">
      <c r="B1368" s="169">
        <f t="shared" si="43"/>
        <v>0.70077120822624472</v>
      </c>
      <c r="C1368">
        <v>6512</v>
      </c>
      <c r="E1368">
        <v>27</v>
      </c>
      <c r="F1368">
        <v>29</v>
      </c>
      <c r="G1368" s="15">
        <v>1.07407407407407</v>
      </c>
      <c r="H1368" s="167">
        <f t="shared" si="42"/>
        <v>5.1413881748071976E-4</v>
      </c>
      <c r="I1368" s="167"/>
      <c r="J1368" s="167"/>
    </row>
    <row r="1369" spans="2:10" x14ac:dyDescent="0.25">
      <c r="B1369" s="169">
        <f t="shared" si="43"/>
        <v>0.70128534704372547</v>
      </c>
      <c r="C1369">
        <v>4295</v>
      </c>
      <c r="E1369">
        <v>157</v>
      </c>
      <c r="F1369">
        <v>170</v>
      </c>
      <c r="G1369" s="15">
        <v>1.0828025477707</v>
      </c>
      <c r="H1369" s="167">
        <f t="shared" si="42"/>
        <v>5.1413881748071976E-4</v>
      </c>
      <c r="I1369" s="167"/>
      <c r="J1369" s="167"/>
    </row>
    <row r="1370" spans="2:10" x14ac:dyDescent="0.25">
      <c r="B1370" s="169">
        <f t="shared" si="43"/>
        <v>0.70179948586120622</v>
      </c>
      <c r="C1370">
        <v>4980</v>
      </c>
      <c r="E1370">
        <v>154</v>
      </c>
      <c r="F1370">
        <v>167</v>
      </c>
      <c r="G1370" s="15">
        <v>1.0844155844155801</v>
      </c>
      <c r="H1370" s="167">
        <f t="shared" si="42"/>
        <v>5.1413881748071976E-4</v>
      </c>
      <c r="I1370" s="167"/>
      <c r="J1370" s="167"/>
    </row>
    <row r="1371" spans="2:10" x14ac:dyDescent="0.25">
      <c r="B1371" s="169">
        <f t="shared" si="43"/>
        <v>0.70231362467868697</v>
      </c>
      <c r="C1371">
        <v>3697</v>
      </c>
      <c r="E1371">
        <v>20</v>
      </c>
      <c r="F1371">
        <v>22</v>
      </c>
      <c r="G1371" s="15">
        <v>1.1000000000000001</v>
      </c>
      <c r="H1371" s="167">
        <f t="shared" si="42"/>
        <v>5.1413881748071976E-4</v>
      </c>
      <c r="I1371" s="167"/>
      <c r="J1371" s="167"/>
    </row>
    <row r="1372" spans="2:10" x14ac:dyDescent="0.25">
      <c r="B1372" s="169">
        <f t="shared" si="43"/>
        <v>0.70282776349616771</v>
      </c>
      <c r="C1372">
        <v>3857</v>
      </c>
      <c r="E1372">
        <v>40</v>
      </c>
      <c r="F1372">
        <v>44</v>
      </c>
      <c r="G1372" s="15">
        <v>1.1000000000000001</v>
      </c>
      <c r="H1372" s="167">
        <f t="shared" si="42"/>
        <v>5.1413881748071976E-4</v>
      </c>
      <c r="I1372" s="167"/>
      <c r="J1372" s="167"/>
    </row>
    <row r="1373" spans="2:10" x14ac:dyDescent="0.25">
      <c r="B1373" s="169">
        <f t="shared" si="43"/>
        <v>0.70334190231364846</v>
      </c>
      <c r="C1373">
        <v>4373</v>
      </c>
      <c r="E1373">
        <v>135</v>
      </c>
      <c r="F1373">
        <v>150</v>
      </c>
      <c r="G1373" s="15">
        <v>1.1111111111111101</v>
      </c>
      <c r="H1373" s="167">
        <f t="shared" si="42"/>
        <v>5.1413881748071976E-4</v>
      </c>
      <c r="I1373" s="167"/>
      <c r="J1373" s="167"/>
    </row>
    <row r="1374" spans="2:10" x14ac:dyDescent="0.25">
      <c r="B1374" s="169">
        <f t="shared" si="43"/>
        <v>0.70385604113112921</v>
      </c>
      <c r="C1374">
        <v>4374</v>
      </c>
      <c r="E1374">
        <v>135</v>
      </c>
      <c r="F1374">
        <v>150</v>
      </c>
      <c r="G1374" s="15">
        <v>1.1111111111111101</v>
      </c>
      <c r="H1374" s="167">
        <f t="shared" si="42"/>
        <v>5.1413881748071976E-4</v>
      </c>
      <c r="I1374" s="167"/>
      <c r="J1374" s="167"/>
    </row>
    <row r="1375" spans="2:10" x14ac:dyDescent="0.25">
      <c r="B1375" s="169">
        <f t="shared" si="43"/>
        <v>0.70437017994860995</v>
      </c>
      <c r="C1375">
        <v>4375</v>
      </c>
      <c r="E1375">
        <v>135</v>
      </c>
      <c r="F1375">
        <v>150</v>
      </c>
      <c r="G1375" s="15">
        <v>1.1111111111111101</v>
      </c>
      <c r="H1375" s="167">
        <f t="shared" si="42"/>
        <v>5.1413881748071976E-4</v>
      </c>
      <c r="I1375" s="167"/>
      <c r="J1375" s="167"/>
    </row>
    <row r="1376" spans="2:10" x14ac:dyDescent="0.25">
      <c r="B1376" s="169">
        <f t="shared" si="43"/>
        <v>0.7048843187660907</v>
      </c>
      <c r="C1376">
        <v>4376</v>
      </c>
      <c r="E1376">
        <v>135</v>
      </c>
      <c r="F1376">
        <v>150</v>
      </c>
      <c r="G1376" s="15">
        <v>1.1111111111111101</v>
      </c>
      <c r="H1376" s="167">
        <f t="shared" si="42"/>
        <v>5.1413881748071976E-4</v>
      </c>
      <c r="I1376" s="167"/>
      <c r="J1376" s="167"/>
    </row>
    <row r="1377" spans="2:10" x14ac:dyDescent="0.25">
      <c r="B1377" s="169">
        <f t="shared" si="43"/>
        <v>0.70539845758357145</v>
      </c>
      <c r="C1377">
        <v>4377</v>
      </c>
      <c r="E1377">
        <v>135</v>
      </c>
      <c r="F1377">
        <v>150</v>
      </c>
      <c r="G1377" s="15">
        <v>1.1111111111111101</v>
      </c>
      <c r="H1377" s="167">
        <f t="shared" si="42"/>
        <v>5.1413881748071976E-4</v>
      </c>
      <c r="I1377" s="167"/>
      <c r="J1377" s="167"/>
    </row>
    <row r="1378" spans="2:10" x14ac:dyDescent="0.25">
      <c r="B1378" s="169">
        <f t="shared" si="43"/>
        <v>0.70591259640105219</v>
      </c>
      <c r="C1378">
        <v>4378</v>
      </c>
      <c r="E1378">
        <v>135</v>
      </c>
      <c r="F1378">
        <v>150</v>
      </c>
      <c r="G1378" s="15">
        <v>1.1111111111111101</v>
      </c>
      <c r="H1378" s="167">
        <f t="shared" si="42"/>
        <v>5.1413881748071976E-4</v>
      </c>
      <c r="I1378" s="167"/>
      <c r="J1378" s="167"/>
    </row>
    <row r="1379" spans="2:10" x14ac:dyDescent="0.25">
      <c r="B1379" s="169">
        <f t="shared" si="43"/>
        <v>0.70642673521853294</v>
      </c>
      <c r="C1379">
        <v>4320</v>
      </c>
      <c r="E1379">
        <v>121</v>
      </c>
      <c r="F1379">
        <v>136</v>
      </c>
      <c r="G1379" s="15">
        <v>1.1239669421487599</v>
      </c>
      <c r="H1379" s="167">
        <f t="shared" si="42"/>
        <v>5.1413881748071976E-4</v>
      </c>
      <c r="I1379" s="167"/>
      <c r="J1379" s="167"/>
    </row>
    <row r="1380" spans="2:10" x14ac:dyDescent="0.25">
      <c r="B1380" s="169">
        <f t="shared" si="43"/>
        <v>0.70694087403601369</v>
      </c>
      <c r="C1380">
        <v>5690</v>
      </c>
      <c r="E1380">
        <v>8</v>
      </c>
      <c r="F1380">
        <v>9</v>
      </c>
      <c r="G1380" s="15">
        <v>1.125</v>
      </c>
      <c r="H1380" s="167">
        <f t="shared" si="42"/>
        <v>5.1413881748071976E-4</v>
      </c>
      <c r="I1380" s="167"/>
      <c r="J1380" s="167"/>
    </row>
    <row r="1381" spans="2:10" x14ac:dyDescent="0.25">
      <c r="B1381" s="169">
        <f t="shared" si="43"/>
        <v>0.70745501285349444</v>
      </c>
      <c r="C1381">
        <v>4129</v>
      </c>
      <c r="E1381">
        <v>8</v>
      </c>
      <c r="F1381">
        <v>9</v>
      </c>
      <c r="G1381" s="15">
        <v>1.125</v>
      </c>
      <c r="H1381" s="167">
        <f t="shared" si="42"/>
        <v>5.1413881748071976E-4</v>
      </c>
      <c r="I1381" s="167"/>
      <c r="J1381" s="167"/>
    </row>
    <row r="1382" spans="2:10" x14ac:dyDescent="0.25">
      <c r="B1382" s="169">
        <f t="shared" si="43"/>
        <v>0.70796915167097518</v>
      </c>
      <c r="C1382">
        <v>4314</v>
      </c>
      <c r="E1382">
        <v>120</v>
      </c>
      <c r="F1382">
        <v>136</v>
      </c>
      <c r="G1382" s="15">
        <v>1.13333333333333</v>
      </c>
      <c r="H1382" s="167">
        <f t="shared" si="42"/>
        <v>5.1413881748071976E-4</v>
      </c>
      <c r="I1382" s="167"/>
      <c r="J1382" s="167"/>
    </row>
    <row r="1383" spans="2:10" x14ac:dyDescent="0.25">
      <c r="B1383" s="169">
        <f t="shared" si="43"/>
        <v>0.70848329048845593</v>
      </c>
      <c r="C1383">
        <v>2598</v>
      </c>
      <c r="E1383">
        <v>15</v>
      </c>
      <c r="F1383">
        <v>17</v>
      </c>
      <c r="G1383" s="15">
        <v>1.13333333333333</v>
      </c>
      <c r="H1383" s="167">
        <f t="shared" si="42"/>
        <v>5.1413881748071976E-4</v>
      </c>
      <c r="I1383" s="167"/>
      <c r="J1383" s="167"/>
    </row>
    <row r="1384" spans="2:10" x14ac:dyDescent="0.25">
      <c r="B1384" s="169">
        <f t="shared" si="43"/>
        <v>0.70899742930593668</v>
      </c>
      <c r="C1384">
        <v>519</v>
      </c>
      <c r="E1384">
        <v>20</v>
      </c>
      <c r="F1384">
        <v>23</v>
      </c>
      <c r="G1384" s="15">
        <v>1.1499999999999999</v>
      </c>
      <c r="H1384" s="167">
        <f t="shared" si="42"/>
        <v>5.1413881748071976E-4</v>
      </c>
      <c r="I1384" s="167"/>
      <c r="J1384" s="167"/>
    </row>
    <row r="1385" spans="2:10" x14ac:dyDescent="0.25">
      <c r="B1385" s="169">
        <f t="shared" si="43"/>
        <v>0.70951156812341742</v>
      </c>
      <c r="C1385">
        <v>3941</v>
      </c>
      <c r="E1385">
        <v>60</v>
      </c>
      <c r="F1385">
        <v>70</v>
      </c>
      <c r="G1385" s="15">
        <v>1.1666666666666701</v>
      </c>
      <c r="H1385" s="167">
        <f t="shared" si="42"/>
        <v>5.1413881748071976E-4</v>
      </c>
      <c r="I1385" s="167"/>
      <c r="J1385" s="167"/>
    </row>
    <row r="1386" spans="2:10" x14ac:dyDescent="0.25">
      <c r="B1386" s="169">
        <f t="shared" si="43"/>
        <v>0.71002570694089817</v>
      </c>
      <c r="C1386">
        <v>5912</v>
      </c>
      <c r="E1386">
        <v>30</v>
      </c>
      <c r="F1386">
        <v>35</v>
      </c>
      <c r="G1386" s="15">
        <v>1.1666666666666701</v>
      </c>
      <c r="H1386" s="167">
        <f t="shared" si="42"/>
        <v>5.1413881748071976E-4</v>
      </c>
      <c r="I1386" s="167"/>
      <c r="J1386" s="167"/>
    </row>
    <row r="1387" spans="2:10" x14ac:dyDescent="0.25">
      <c r="B1387" s="169">
        <f t="shared" si="43"/>
        <v>0.71053984575837892</v>
      </c>
      <c r="C1387">
        <v>6033</v>
      </c>
      <c r="E1387">
        <v>77</v>
      </c>
      <c r="F1387">
        <v>90</v>
      </c>
      <c r="G1387" s="15">
        <v>1.1688311688311701</v>
      </c>
      <c r="H1387" s="167">
        <f t="shared" si="42"/>
        <v>5.1413881748071976E-4</v>
      </c>
      <c r="I1387" s="167"/>
      <c r="J1387" s="167"/>
    </row>
    <row r="1388" spans="2:10" x14ac:dyDescent="0.25">
      <c r="B1388" s="169">
        <f t="shared" si="43"/>
        <v>0.71105398457585967</v>
      </c>
      <c r="C1388">
        <v>7022</v>
      </c>
      <c r="E1388">
        <v>132</v>
      </c>
      <c r="F1388">
        <v>156</v>
      </c>
      <c r="G1388" s="15">
        <v>1.1818181818181801</v>
      </c>
      <c r="H1388" s="167">
        <f t="shared" si="42"/>
        <v>5.1413881748071976E-4</v>
      </c>
      <c r="I1388" s="167"/>
      <c r="J1388" s="167"/>
    </row>
    <row r="1389" spans="2:10" x14ac:dyDescent="0.25">
      <c r="B1389" s="169">
        <f t="shared" si="43"/>
        <v>0.71156812339334041</v>
      </c>
      <c r="C1389">
        <v>4154</v>
      </c>
      <c r="E1389">
        <v>11</v>
      </c>
      <c r="F1389">
        <v>13</v>
      </c>
      <c r="G1389" s="15">
        <v>1.1818181818181801</v>
      </c>
      <c r="H1389" s="167">
        <f t="shared" si="42"/>
        <v>5.1413881748071976E-4</v>
      </c>
      <c r="I1389" s="167"/>
      <c r="J1389" s="167"/>
    </row>
    <row r="1390" spans="2:10" x14ac:dyDescent="0.25">
      <c r="B1390" s="169">
        <f t="shared" si="43"/>
        <v>0.71208226221082116</v>
      </c>
      <c r="C1390">
        <v>4354</v>
      </c>
      <c r="E1390">
        <v>103</v>
      </c>
      <c r="F1390">
        <v>122</v>
      </c>
      <c r="G1390" s="15">
        <v>1.1844660194174801</v>
      </c>
      <c r="H1390" s="167">
        <f t="shared" si="42"/>
        <v>5.1413881748071976E-4</v>
      </c>
      <c r="I1390" s="167"/>
      <c r="J1390" s="167"/>
    </row>
    <row r="1391" spans="2:10" x14ac:dyDescent="0.25">
      <c r="B1391" s="169">
        <f t="shared" si="43"/>
        <v>0.71259640102830191</v>
      </c>
      <c r="C1391">
        <v>6451</v>
      </c>
      <c r="E1391">
        <v>103</v>
      </c>
      <c r="F1391">
        <v>122</v>
      </c>
      <c r="G1391" s="15">
        <v>1.1844660194174801</v>
      </c>
      <c r="H1391" s="167">
        <f t="shared" si="42"/>
        <v>5.1413881748071976E-4</v>
      </c>
      <c r="I1391" s="167"/>
      <c r="J1391" s="167"/>
    </row>
    <row r="1392" spans="2:10" x14ac:dyDescent="0.25">
      <c r="B1392" s="169">
        <f t="shared" si="43"/>
        <v>0.71311053984578265</v>
      </c>
      <c r="C1392">
        <v>5965</v>
      </c>
      <c r="E1392">
        <v>65</v>
      </c>
      <c r="F1392">
        <v>77</v>
      </c>
      <c r="G1392" s="15">
        <v>1.18461538461538</v>
      </c>
      <c r="H1392" s="167">
        <f t="shared" si="42"/>
        <v>5.1413881748071976E-4</v>
      </c>
      <c r="I1392" s="167"/>
      <c r="J1392" s="167"/>
    </row>
    <row r="1393" spans="2:10" x14ac:dyDescent="0.25">
      <c r="B1393" s="169">
        <f t="shared" si="43"/>
        <v>0.7136246786632634</v>
      </c>
      <c r="C1393">
        <v>2478</v>
      </c>
      <c r="E1393">
        <v>65</v>
      </c>
      <c r="F1393">
        <v>77</v>
      </c>
      <c r="G1393" s="15">
        <v>1.18461538461538</v>
      </c>
      <c r="H1393" s="167">
        <f t="shared" si="42"/>
        <v>5.1413881748071976E-4</v>
      </c>
      <c r="I1393" s="167"/>
      <c r="J1393" s="167"/>
    </row>
    <row r="1394" spans="2:10" x14ac:dyDescent="0.25">
      <c r="B1394" s="169">
        <f t="shared" si="43"/>
        <v>0.71413881748074415</v>
      </c>
      <c r="C1394">
        <v>6485</v>
      </c>
      <c r="E1394">
        <v>16</v>
      </c>
      <c r="F1394">
        <v>19</v>
      </c>
      <c r="G1394" s="15">
        <v>1.1875</v>
      </c>
      <c r="H1394" s="167">
        <f t="shared" si="42"/>
        <v>5.1413881748071976E-4</v>
      </c>
      <c r="I1394" s="167"/>
      <c r="J1394" s="167"/>
    </row>
    <row r="1395" spans="2:10" x14ac:dyDescent="0.25">
      <c r="B1395" s="169">
        <f t="shared" si="43"/>
        <v>0.7146529562982249</v>
      </c>
      <c r="C1395">
        <v>1884</v>
      </c>
      <c r="E1395">
        <v>16</v>
      </c>
      <c r="F1395">
        <v>19</v>
      </c>
      <c r="G1395" s="15">
        <v>1.1875</v>
      </c>
      <c r="H1395" s="167">
        <f t="shared" si="42"/>
        <v>5.1413881748071976E-4</v>
      </c>
      <c r="I1395" s="167"/>
      <c r="J1395" s="167"/>
    </row>
    <row r="1396" spans="2:10" x14ac:dyDescent="0.25">
      <c r="B1396" s="169">
        <f t="shared" si="43"/>
        <v>0.71516709511570564</v>
      </c>
      <c r="C1396">
        <v>6466</v>
      </c>
      <c r="E1396">
        <v>81</v>
      </c>
      <c r="F1396">
        <v>97</v>
      </c>
      <c r="G1396" s="15">
        <v>1.19753086419753</v>
      </c>
      <c r="H1396" s="167">
        <f t="shared" si="42"/>
        <v>5.1413881748071976E-4</v>
      </c>
      <c r="I1396" s="167"/>
      <c r="J1396" s="167"/>
    </row>
    <row r="1397" spans="2:10" x14ac:dyDescent="0.25">
      <c r="B1397" s="169">
        <f t="shared" si="43"/>
        <v>0.71568123393318639</v>
      </c>
      <c r="C1397">
        <v>3842</v>
      </c>
      <c r="E1397">
        <v>60</v>
      </c>
      <c r="F1397">
        <v>72</v>
      </c>
      <c r="G1397" s="15">
        <v>1.2</v>
      </c>
      <c r="H1397" s="167">
        <f t="shared" si="42"/>
        <v>5.1413881748071976E-4</v>
      </c>
      <c r="I1397" s="167"/>
      <c r="J1397" s="167"/>
    </row>
    <row r="1398" spans="2:10" x14ac:dyDescent="0.25">
      <c r="B1398" s="169">
        <f t="shared" si="43"/>
        <v>0.71619537275066714</v>
      </c>
      <c r="C1398">
        <v>6036</v>
      </c>
      <c r="E1398">
        <v>110</v>
      </c>
      <c r="F1398">
        <v>132</v>
      </c>
      <c r="G1398" s="15">
        <v>1.2</v>
      </c>
      <c r="H1398" s="167">
        <f t="shared" si="42"/>
        <v>5.1413881748071976E-4</v>
      </c>
      <c r="I1398" s="167"/>
      <c r="J1398" s="167"/>
    </row>
    <row r="1399" spans="2:10" x14ac:dyDescent="0.25">
      <c r="B1399" s="169">
        <f t="shared" si="43"/>
        <v>0.71670951156814788</v>
      </c>
      <c r="C1399">
        <v>3891</v>
      </c>
      <c r="E1399">
        <v>50</v>
      </c>
      <c r="F1399">
        <v>60</v>
      </c>
      <c r="G1399" s="15">
        <v>1.2</v>
      </c>
      <c r="H1399" s="167">
        <f t="shared" si="42"/>
        <v>5.1413881748071976E-4</v>
      </c>
      <c r="I1399" s="167"/>
      <c r="J1399" s="167"/>
    </row>
    <row r="1400" spans="2:10" x14ac:dyDescent="0.25">
      <c r="B1400" s="169">
        <f t="shared" si="43"/>
        <v>0.71722365038562863</v>
      </c>
      <c r="C1400">
        <v>4622</v>
      </c>
      <c r="E1400">
        <v>15</v>
      </c>
      <c r="F1400">
        <v>18</v>
      </c>
      <c r="G1400" s="15">
        <v>1.2</v>
      </c>
      <c r="H1400" s="167">
        <f t="shared" si="42"/>
        <v>5.1413881748071976E-4</v>
      </c>
      <c r="I1400" s="167"/>
      <c r="J1400" s="167"/>
    </row>
    <row r="1401" spans="2:10" x14ac:dyDescent="0.25">
      <c r="B1401" s="169">
        <f t="shared" si="43"/>
        <v>0.71773778920310938</v>
      </c>
      <c r="C1401">
        <v>3830</v>
      </c>
      <c r="E1401">
        <v>5</v>
      </c>
      <c r="F1401">
        <v>6</v>
      </c>
      <c r="G1401" s="15">
        <v>1.2</v>
      </c>
      <c r="H1401" s="167">
        <f t="shared" si="42"/>
        <v>5.1413881748071976E-4</v>
      </c>
      <c r="I1401" s="167"/>
      <c r="J1401" s="167"/>
    </row>
    <row r="1402" spans="2:10" x14ac:dyDescent="0.25">
      <c r="B1402" s="169">
        <f t="shared" si="43"/>
        <v>0.71825192802059012</v>
      </c>
      <c r="C1402">
        <v>4362</v>
      </c>
      <c r="E1402">
        <v>177</v>
      </c>
      <c r="F1402">
        <v>213</v>
      </c>
      <c r="G1402" s="15">
        <v>1.20338983050847</v>
      </c>
      <c r="H1402" s="167">
        <f t="shared" si="42"/>
        <v>5.1413881748071976E-4</v>
      </c>
      <c r="I1402" s="167"/>
      <c r="J1402" s="167"/>
    </row>
    <row r="1403" spans="2:10" x14ac:dyDescent="0.25">
      <c r="B1403" s="169">
        <f t="shared" si="43"/>
        <v>0.71876606683807087</v>
      </c>
      <c r="C1403">
        <v>5951</v>
      </c>
      <c r="E1403">
        <v>130</v>
      </c>
      <c r="F1403">
        <v>157</v>
      </c>
      <c r="G1403" s="15">
        <v>1.2076923076923101</v>
      </c>
      <c r="H1403" s="167">
        <f t="shared" si="42"/>
        <v>5.1413881748071976E-4</v>
      </c>
      <c r="I1403" s="167"/>
      <c r="J1403" s="167"/>
    </row>
    <row r="1404" spans="2:10" x14ac:dyDescent="0.25">
      <c r="B1404" s="169">
        <f t="shared" si="43"/>
        <v>0.71928020565555162</v>
      </c>
      <c r="C1404">
        <v>6454</v>
      </c>
      <c r="E1404">
        <v>105</v>
      </c>
      <c r="F1404">
        <v>127</v>
      </c>
      <c r="G1404" s="15">
        <v>1.2095238095238099</v>
      </c>
      <c r="H1404" s="167">
        <f t="shared" si="42"/>
        <v>5.1413881748071976E-4</v>
      </c>
      <c r="I1404" s="167"/>
      <c r="J1404" s="167"/>
    </row>
    <row r="1405" spans="2:10" x14ac:dyDescent="0.25">
      <c r="B1405" s="169">
        <f t="shared" si="43"/>
        <v>0.71979434447303237</v>
      </c>
      <c r="C1405">
        <v>4758</v>
      </c>
      <c r="E1405">
        <v>33</v>
      </c>
      <c r="F1405">
        <v>40</v>
      </c>
      <c r="G1405" s="15">
        <v>1.2121212121212099</v>
      </c>
      <c r="H1405" s="167">
        <f t="shared" si="42"/>
        <v>5.1413881748071976E-4</v>
      </c>
      <c r="I1405" s="167"/>
      <c r="J1405" s="167"/>
    </row>
    <row r="1406" spans="2:10" x14ac:dyDescent="0.25">
      <c r="B1406" s="169">
        <f t="shared" si="43"/>
        <v>0.72030848329051311</v>
      </c>
      <c r="C1406">
        <v>4759</v>
      </c>
      <c r="E1406">
        <v>33</v>
      </c>
      <c r="F1406">
        <v>40</v>
      </c>
      <c r="G1406" s="15">
        <v>1.2121212121212099</v>
      </c>
      <c r="H1406" s="167">
        <f t="shared" si="42"/>
        <v>5.1413881748071976E-4</v>
      </c>
      <c r="I1406" s="167"/>
      <c r="J1406" s="167"/>
    </row>
    <row r="1407" spans="2:10" x14ac:dyDescent="0.25">
      <c r="B1407" s="169">
        <f t="shared" si="43"/>
        <v>0.72082262210799386</v>
      </c>
      <c r="C1407">
        <v>2605</v>
      </c>
      <c r="E1407">
        <v>14</v>
      </c>
      <c r="F1407">
        <v>17</v>
      </c>
      <c r="G1407" s="15">
        <v>1.21428571428571</v>
      </c>
      <c r="H1407" s="167">
        <f t="shared" si="42"/>
        <v>5.1413881748071976E-4</v>
      </c>
      <c r="I1407" s="167"/>
      <c r="J1407" s="167"/>
    </row>
    <row r="1408" spans="2:10" x14ac:dyDescent="0.25">
      <c r="B1408" s="169">
        <f t="shared" si="43"/>
        <v>0.72133676092547461</v>
      </c>
      <c r="C1408">
        <v>3982</v>
      </c>
      <c r="E1408">
        <v>60</v>
      </c>
      <c r="F1408">
        <v>73</v>
      </c>
      <c r="G1408" s="15">
        <v>1.2166666666666699</v>
      </c>
      <c r="H1408" s="167">
        <f t="shared" si="42"/>
        <v>5.1413881748071976E-4</v>
      </c>
      <c r="I1408" s="167"/>
      <c r="J1408" s="167"/>
    </row>
    <row r="1409" spans="2:10" x14ac:dyDescent="0.25">
      <c r="B1409" s="169">
        <f t="shared" si="43"/>
        <v>0.72185089974295535</v>
      </c>
      <c r="C1409">
        <v>5090</v>
      </c>
      <c r="E1409">
        <v>101</v>
      </c>
      <c r="F1409">
        <v>125</v>
      </c>
      <c r="G1409" s="15">
        <v>1.2376237623762401</v>
      </c>
      <c r="H1409" s="167">
        <f t="shared" si="42"/>
        <v>5.1413881748071976E-4</v>
      </c>
      <c r="I1409" s="167"/>
      <c r="J1409" s="167"/>
    </row>
    <row r="1410" spans="2:10" x14ac:dyDescent="0.25">
      <c r="B1410" s="169">
        <f t="shared" si="43"/>
        <v>0.7223650385604361</v>
      </c>
      <c r="C1410">
        <v>3972</v>
      </c>
      <c r="E1410">
        <v>50</v>
      </c>
      <c r="F1410">
        <v>62</v>
      </c>
      <c r="G1410" s="15">
        <v>1.24</v>
      </c>
      <c r="H1410" s="167">
        <f t="shared" si="42"/>
        <v>5.1413881748071976E-4</v>
      </c>
      <c r="I1410" s="167"/>
      <c r="J1410" s="167"/>
    </row>
    <row r="1411" spans="2:10" x14ac:dyDescent="0.25">
      <c r="B1411" s="169">
        <f t="shared" si="43"/>
        <v>0.72287917737791685</v>
      </c>
      <c r="C1411">
        <v>6481</v>
      </c>
      <c r="E1411">
        <v>115</v>
      </c>
      <c r="F1411">
        <v>143</v>
      </c>
      <c r="G1411" s="15">
        <v>1.24347826086957</v>
      </c>
      <c r="H1411" s="167">
        <f t="shared" si="42"/>
        <v>5.1413881748071976E-4</v>
      </c>
      <c r="I1411" s="167"/>
      <c r="J1411" s="167"/>
    </row>
    <row r="1412" spans="2:10" x14ac:dyDescent="0.25">
      <c r="B1412" s="169">
        <f t="shared" si="43"/>
        <v>0.7233933161953976</v>
      </c>
      <c r="C1412">
        <v>5882</v>
      </c>
      <c r="E1412">
        <v>41</v>
      </c>
      <c r="F1412">
        <v>51</v>
      </c>
      <c r="G1412" s="15">
        <v>1.24390243902439</v>
      </c>
      <c r="H1412" s="167">
        <f t="shared" si="42"/>
        <v>5.1413881748071976E-4</v>
      </c>
      <c r="I1412" s="167"/>
      <c r="J1412" s="167"/>
    </row>
    <row r="1413" spans="2:10" x14ac:dyDescent="0.25">
      <c r="B1413" s="169">
        <f t="shared" si="43"/>
        <v>0.72390745501287834</v>
      </c>
      <c r="C1413">
        <v>5949</v>
      </c>
      <c r="E1413">
        <v>125</v>
      </c>
      <c r="F1413">
        <v>156</v>
      </c>
      <c r="G1413" s="15">
        <v>1.248</v>
      </c>
      <c r="H1413" s="167">
        <f t="shared" si="42"/>
        <v>5.1413881748071976E-4</v>
      </c>
      <c r="I1413" s="167"/>
      <c r="J1413" s="167"/>
    </row>
    <row r="1414" spans="2:10" x14ac:dyDescent="0.25">
      <c r="B1414" s="169">
        <f t="shared" si="43"/>
        <v>0.72442159383035909</v>
      </c>
      <c r="C1414">
        <v>4755</v>
      </c>
      <c r="E1414">
        <v>40</v>
      </c>
      <c r="F1414">
        <v>50</v>
      </c>
      <c r="G1414" s="15">
        <v>1.25</v>
      </c>
      <c r="H1414" s="167">
        <f t="shared" ref="H1414:H1477" si="44">1/$L$6</f>
        <v>5.1413881748071976E-4</v>
      </c>
      <c r="I1414" s="167"/>
      <c r="J1414" s="167"/>
    </row>
    <row r="1415" spans="2:10" x14ac:dyDescent="0.25">
      <c r="B1415" s="169">
        <f t="shared" ref="B1415:B1478" si="45">B1414+H1415</f>
        <v>0.72493573264783984</v>
      </c>
      <c r="C1415">
        <v>5760</v>
      </c>
      <c r="E1415">
        <v>4</v>
      </c>
      <c r="F1415">
        <v>5</v>
      </c>
      <c r="G1415" s="15">
        <v>1.25</v>
      </c>
      <c r="H1415" s="167">
        <f t="shared" si="44"/>
        <v>5.1413881748071976E-4</v>
      </c>
      <c r="I1415" s="167"/>
      <c r="J1415" s="167"/>
    </row>
    <row r="1416" spans="2:10" x14ac:dyDescent="0.25">
      <c r="B1416" s="169">
        <f t="shared" si="45"/>
        <v>0.72544987146532058</v>
      </c>
      <c r="C1416">
        <v>3915</v>
      </c>
      <c r="E1416">
        <v>4</v>
      </c>
      <c r="F1416">
        <v>5</v>
      </c>
      <c r="G1416" s="15">
        <v>1.25</v>
      </c>
      <c r="H1416" s="167">
        <f t="shared" si="44"/>
        <v>5.1413881748071976E-4</v>
      </c>
      <c r="I1416" s="167"/>
      <c r="J1416" s="167"/>
    </row>
    <row r="1417" spans="2:10" x14ac:dyDescent="0.25">
      <c r="B1417" s="169">
        <f t="shared" si="45"/>
        <v>0.72596401028280133</v>
      </c>
      <c r="C1417">
        <v>4069</v>
      </c>
      <c r="E1417">
        <v>4</v>
      </c>
      <c r="F1417">
        <v>5</v>
      </c>
      <c r="G1417" s="15">
        <v>1.25</v>
      </c>
      <c r="H1417" s="167">
        <f t="shared" si="44"/>
        <v>5.1413881748071976E-4</v>
      </c>
      <c r="I1417" s="167"/>
      <c r="J1417" s="167"/>
    </row>
    <row r="1418" spans="2:10" x14ac:dyDescent="0.25">
      <c r="B1418" s="169">
        <f t="shared" si="45"/>
        <v>0.72647814910028208</v>
      </c>
      <c r="C1418">
        <v>6723</v>
      </c>
      <c r="E1418">
        <v>4</v>
      </c>
      <c r="F1418">
        <v>5</v>
      </c>
      <c r="G1418" s="15">
        <v>1.25</v>
      </c>
      <c r="H1418" s="167">
        <f t="shared" si="44"/>
        <v>5.1413881748071976E-4</v>
      </c>
      <c r="I1418" s="167"/>
      <c r="J1418" s="167"/>
    </row>
    <row r="1419" spans="2:10" x14ac:dyDescent="0.25">
      <c r="B1419" s="169">
        <f t="shared" si="45"/>
        <v>0.72699228791776282</v>
      </c>
      <c r="C1419">
        <v>5692</v>
      </c>
      <c r="E1419">
        <v>59</v>
      </c>
      <c r="F1419">
        <v>74</v>
      </c>
      <c r="G1419" s="15">
        <v>1.2542372881355901</v>
      </c>
      <c r="H1419" s="167">
        <f t="shared" si="44"/>
        <v>5.1413881748071976E-4</v>
      </c>
      <c r="I1419" s="167"/>
      <c r="J1419" s="167"/>
    </row>
    <row r="1420" spans="2:10" x14ac:dyDescent="0.25">
      <c r="B1420" s="169">
        <f t="shared" si="45"/>
        <v>0.72750642673524357</v>
      </c>
      <c r="C1420">
        <v>4767</v>
      </c>
      <c r="E1420">
        <v>35</v>
      </c>
      <c r="F1420">
        <v>44</v>
      </c>
      <c r="G1420" s="15">
        <v>1.25714285714286</v>
      </c>
      <c r="H1420" s="167">
        <f t="shared" si="44"/>
        <v>5.1413881748071976E-4</v>
      </c>
      <c r="I1420" s="167"/>
      <c r="J1420" s="167"/>
    </row>
    <row r="1421" spans="2:10" x14ac:dyDescent="0.25">
      <c r="B1421" s="169">
        <f t="shared" si="45"/>
        <v>0.72802056555272432</v>
      </c>
      <c r="C1421">
        <v>4783</v>
      </c>
      <c r="E1421">
        <v>35</v>
      </c>
      <c r="F1421">
        <v>44</v>
      </c>
      <c r="G1421" s="15">
        <v>1.25714285714286</v>
      </c>
      <c r="H1421" s="167">
        <f t="shared" si="44"/>
        <v>5.1413881748071976E-4</v>
      </c>
      <c r="I1421" s="167"/>
      <c r="J1421" s="167"/>
    </row>
    <row r="1422" spans="2:10" x14ac:dyDescent="0.25">
      <c r="B1422" s="169">
        <f t="shared" si="45"/>
        <v>0.72853470437020507</v>
      </c>
      <c r="C1422">
        <v>2382</v>
      </c>
      <c r="E1422">
        <v>15</v>
      </c>
      <c r="F1422">
        <v>19</v>
      </c>
      <c r="G1422" s="15">
        <v>1.2666666666666699</v>
      </c>
      <c r="H1422" s="167">
        <f t="shared" si="44"/>
        <v>5.1413881748071976E-4</v>
      </c>
      <c r="I1422" s="167"/>
      <c r="J1422" s="167"/>
    </row>
    <row r="1423" spans="2:10" x14ac:dyDescent="0.25">
      <c r="B1423" s="169">
        <f t="shared" si="45"/>
        <v>0.72904884318768581</v>
      </c>
      <c r="C1423">
        <v>3824</v>
      </c>
      <c r="E1423">
        <v>80</v>
      </c>
      <c r="F1423">
        <v>102</v>
      </c>
      <c r="G1423" s="15">
        <v>1.2749999999999999</v>
      </c>
      <c r="H1423" s="167">
        <f t="shared" si="44"/>
        <v>5.1413881748071976E-4</v>
      </c>
      <c r="I1423" s="167"/>
      <c r="J1423" s="167"/>
    </row>
    <row r="1424" spans="2:10" x14ac:dyDescent="0.25">
      <c r="B1424" s="169">
        <f t="shared" si="45"/>
        <v>0.72956298200516656</v>
      </c>
      <c r="C1424">
        <v>3983</v>
      </c>
      <c r="E1424">
        <v>25</v>
      </c>
      <c r="F1424">
        <v>32</v>
      </c>
      <c r="G1424" s="15">
        <v>1.28</v>
      </c>
      <c r="H1424" s="167">
        <f t="shared" si="44"/>
        <v>5.1413881748071976E-4</v>
      </c>
      <c r="I1424" s="167"/>
      <c r="J1424" s="167"/>
    </row>
    <row r="1425" spans="2:10" x14ac:dyDescent="0.25">
      <c r="B1425" s="169">
        <f t="shared" si="45"/>
        <v>0.73007712082264731</v>
      </c>
      <c r="C1425">
        <v>3709</v>
      </c>
      <c r="E1425">
        <v>7</v>
      </c>
      <c r="F1425">
        <v>9</v>
      </c>
      <c r="G1425" s="15">
        <v>1.28571428571429</v>
      </c>
      <c r="H1425" s="167">
        <f t="shared" si="44"/>
        <v>5.1413881748071976E-4</v>
      </c>
      <c r="I1425" s="167"/>
      <c r="J1425" s="167"/>
    </row>
    <row r="1426" spans="2:10" x14ac:dyDescent="0.25">
      <c r="B1426" s="169">
        <f t="shared" si="45"/>
        <v>0.73059125964012805</v>
      </c>
      <c r="C1426">
        <v>3710</v>
      </c>
      <c r="E1426">
        <v>7</v>
      </c>
      <c r="F1426">
        <v>9</v>
      </c>
      <c r="G1426" s="15">
        <v>1.28571428571429</v>
      </c>
      <c r="H1426" s="167">
        <f t="shared" si="44"/>
        <v>5.1413881748071976E-4</v>
      </c>
      <c r="I1426" s="167"/>
      <c r="J1426" s="167"/>
    </row>
    <row r="1427" spans="2:10" x14ac:dyDescent="0.25">
      <c r="B1427" s="169">
        <f t="shared" si="45"/>
        <v>0.7311053984576088</v>
      </c>
      <c r="C1427">
        <v>3883</v>
      </c>
      <c r="E1427">
        <v>75</v>
      </c>
      <c r="F1427">
        <v>97</v>
      </c>
      <c r="G1427" s="15">
        <v>1.2933333333333299</v>
      </c>
      <c r="H1427" s="167">
        <f t="shared" si="44"/>
        <v>5.1413881748071976E-4</v>
      </c>
      <c r="I1427" s="167"/>
      <c r="J1427" s="167"/>
    </row>
    <row r="1428" spans="2:10" x14ac:dyDescent="0.25">
      <c r="B1428" s="169">
        <f t="shared" si="45"/>
        <v>0.73161953727508955</v>
      </c>
      <c r="C1428">
        <v>4553</v>
      </c>
      <c r="E1428">
        <v>85</v>
      </c>
      <c r="F1428">
        <v>110</v>
      </c>
      <c r="G1428" s="15">
        <v>1.29411764705882</v>
      </c>
      <c r="H1428" s="167">
        <f t="shared" si="44"/>
        <v>5.1413881748071976E-4</v>
      </c>
      <c r="I1428" s="167"/>
      <c r="J1428" s="167"/>
    </row>
    <row r="1429" spans="2:10" x14ac:dyDescent="0.25">
      <c r="B1429" s="169">
        <f t="shared" si="45"/>
        <v>0.7321336760925703</v>
      </c>
      <c r="C1429">
        <v>4800</v>
      </c>
      <c r="E1429">
        <v>10</v>
      </c>
      <c r="F1429">
        <v>13</v>
      </c>
      <c r="G1429" s="15">
        <v>1.3</v>
      </c>
      <c r="H1429" s="167">
        <f t="shared" si="44"/>
        <v>5.1413881748071976E-4</v>
      </c>
      <c r="I1429" s="167"/>
      <c r="J1429" s="167"/>
    </row>
    <row r="1430" spans="2:10" x14ac:dyDescent="0.25">
      <c r="B1430" s="169">
        <f t="shared" si="45"/>
        <v>0.73264781491005104</v>
      </c>
      <c r="C1430">
        <v>5657</v>
      </c>
      <c r="E1430">
        <v>10</v>
      </c>
      <c r="F1430">
        <v>13</v>
      </c>
      <c r="G1430" s="15">
        <v>1.3</v>
      </c>
      <c r="H1430" s="167">
        <f t="shared" si="44"/>
        <v>5.1413881748071976E-4</v>
      </c>
      <c r="I1430" s="167"/>
      <c r="J1430" s="167"/>
    </row>
    <row r="1431" spans="2:10" x14ac:dyDescent="0.25">
      <c r="B1431" s="169">
        <f t="shared" si="45"/>
        <v>0.73316195372753179</v>
      </c>
      <c r="C1431">
        <v>3998</v>
      </c>
      <c r="E1431">
        <v>10</v>
      </c>
      <c r="F1431">
        <v>13</v>
      </c>
      <c r="G1431" s="15">
        <v>1.3</v>
      </c>
      <c r="H1431" s="167">
        <f t="shared" si="44"/>
        <v>5.1413881748071976E-4</v>
      </c>
      <c r="I1431" s="167"/>
      <c r="J1431" s="167"/>
    </row>
    <row r="1432" spans="2:10" x14ac:dyDescent="0.25">
      <c r="B1432" s="169">
        <f t="shared" si="45"/>
        <v>0.73367609254501254</v>
      </c>
      <c r="C1432">
        <v>4198</v>
      </c>
      <c r="E1432">
        <v>20</v>
      </c>
      <c r="F1432">
        <v>26</v>
      </c>
      <c r="G1432" s="15">
        <v>1.3</v>
      </c>
      <c r="H1432" s="167">
        <f t="shared" si="44"/>
        <v>5.1413881748071976E-4</v>
      </c>
      <c r="I1432" s="167"/>
      <c r="J1432" s="167"/>
    </row>
    <row r="1433" spans="2:10" x14ac:dyDescent="0.25">
      <c r="B1433" s="169">
        <f t="shared" si="45"/>
        <v>0.73419023136249328</v>
      </c>
      <c r="C1433">
        <v>4285</v>
      </c>
      <c r="E1433">
        <v>152</v>
      </c>
      <c r="F1433">
        <v>199</v>
      </c>
      <c r="G1433" s="15">
        <v>1.30921052631579</v>
      </c>
      <c r="H1433" s="167">
        <f t="shared" si="44"/>
        <v>5.1413881748071976E-4</v>
      </c>
      <c r="I1433" s="167"/>
      <c r="J1433" s="167"/>
    </row>
    <row r="1434" spans="2:10" x14ac:dyDescent="0.25">
      <c r="B1434" s="169">
        <f t="shared" si="45"/>
        <v>0.73470437017997403</v>
      </c>
      <c r="C1434">
        <v>5609</v>
      </c>
      <c r="E1434">
        <v>159</v>
      </c>
      <c r="F1434">
        <v>209</v>
      </c>
      <c r="G1434" s="15">
        <v>1.31446540880503</v>
      </c>
      <c r="H1434" s="167">
        <f t="shared" si="44"/>
        <v>5.1413881748071976E-4</v>
      </c>
      <c r="I1434" s="167"/>
      <c r="J1434" s="167"/>
    </row>
    <row r="1435" spans="2:10" x14ac:dyDescent="0.25">
      <c r="B1435" s="169">
        <f t="shared" si="45"/>
        <v>0.73521850899745478</v>
      </c>
      <c r="C1435">
        <v>4340</v>
      </c>
      <c r="E1435">
        <v>99</v>
      </c>
      <c r="F1435">
        <v>132</v>
      </c>
      <c r="G1435" s="15">
        <v>1.3333333333333299</v>
      </c>
      <c r="H1435" s="167">
        <f t="shared" si="44"/>
        <v>5.1413881748071976E-4</v>
      </c>
      <c r="I1435" s="167"/>
      <c r="J1435" s="167"/>
    </row>
    <row r="1436" spans="2:10" x14ac:dyDescent="0.25">
      <c r="B1436" s="169">
        <f t="shared" si="45"/>
        <v>0.73573264781493553</v>
      </c>
      <c r="C1436">
        <v>3700</v>
      </c>
      <c r="E1436">
        <v>3</v>
      </c>
      <c r="F1436">
        <v>4</v>
      </c>
      <c r="G1436" s="15">
        <v>1.3333333333333299</v>
      </c>
      <c r="H1436" s="167">
        <f t="shared" si="44"/>
        <v>5.1413881748071976E-4</v>
      </c>
      <c r="I1436" s="167"/>
      <c r="J1436" s="167"/>
    </row>
    <row r="1437" spans="2:10" x14ac:dyDescent="0.25">
      <c r="B1437" s="169">
        <f t="shared" si="45"/>
        <v>0.73624678663241627</v>
      </c>
      <c r="C1437">
        <v>4836</v>
      </c>
      <c r="E1437">
        <v>3</v>
      </c>
      <c r="F1437">
        <v>4</v>
      </c>
      <c r="G1437" s="15">
        <v>1.3333333333333299</v>
      </c>
      <c r="H1437" s="167">
        <f t="shared" si="44"/>
        <v>5.1413881748071976E-4</v>
      </c>
      <c r="I1437" s="167"/>
      <c r="J1437" s="167"/>
    </row>
    <row r="1438" spans="2:10" x14ac:dyDescent="0.25">
      <c r="B1438" s="169">
        <f t="shared" si="45"/>
        <v>0.73676092544989702</v>
      </c>
      <c r="C1438">
        <v>5620</v>
      </c>
      <c r="E1438">
        <v>3</v>
      </c>
      <c r="F1438">
        <v>4</v>
      </c>
      <c r="G1438" s="15">
        <v>1.3333333333333299</v>
      </c>
      <c r="H1438" s="167">
        <f t="shared" si="44"/>
        <v>5.1413881748071976E-4</v>
      </c>
      <c r="I1438" s="167"/>
      <c r="J1438" s="167"/>
    </row>
    <row r="1439" spans="2:10" x14ac:dyDescent="0.25">
      <c r="B1439" s="169">
        <f t="shared" si="45"/>
        <v>0.73727506426737777</v>
      </c>
      <c r="C1439">
        <v>3834</v>
      </c>
      <c r="E1439">
        <v>3</v>
      </c>
      <c r="F1439">
        <v>4</v>
      </c>
      <c r="G1439" s="15">
        <v>1.3333333333333299</v>
      </c>
      <c r="H1439" s="167">
        <f t="shared" si="44"/>
        <v>5.1413881748071976E-4</v>
      </c>
      <c r="I1439" s="167"/>
      <c r="J1439" s="167"/>
    </row>
    <row r="1440" spans="2:10" x14ac:dyDescent="0.25">
      <c r="B1440" s="169">
        <f t="shared" si="45"/>
        <v>0.73778920308485851</v>
      </c>
      <c r="C1440">
        <v>4092</v>
      </c>
      <c r="E1440">
        <v>6</v>
      </c>
      <c r="F1440">
        <v>8</v>
      </c>
      <c r="G1440" s="15">
        <v>1.3333333333333299</v>
      </c>
      <c r="H1440" s="167">
        <f t="shared" si="44"/>
        <v>5.1413881748071976E-4</v>
      </c>
      <c r="I1440" s="167"/>
      <c r="J1440" s="167"/>
    </row>
    <row r="1441" spans="2:10" x14ac:dyDescent="0.25">
      <c r="B1441" s="169">
        <f t="shared" si="45"/>
        <v>0.73830334190233926</v>
      </c>
      <c r="C1441">
        <v>6081</v>
      </c>
      <c r="E1441">
        <v>15</v>
      </c>
      <c r="F1441">
        <v>20</v>
      </c>
      <c r="G1441" s="15">
        <v>1.3333333333333299</v>
      </c>
      <c r="H1441" s="167">
        <f t="shared" si="44"/>
        <v>5.1413881748071976E-4</v>
      </c>
      <c r="I1441" s="167"/>
      <c r="J1441" s="167"/>
    </row>
    <row r="1442" spans="2:10" x14ac:dyDescent="0.25">
      <c r="B1442" s="169">
        <f t="shared" si="45"/>
        <v>0.73881748071982001</v>
      </c>
      <c r="C1442">
        <v>4480</v>
      </c>
      <c r="E1442">
        <v>43</v>
      </c>
      <c r="F1442">
        <v>58</v>
      </c>
      <c r="G1442" s="15">
        <v>1.34883720930233</v>
      </c>
      <c r="H1442" s="167">
        <f t="shared" si="44"/>
        <v>5.1413881748071976E-4</v>
      </c>
      <c r="I1442" s="167"/>
      <c r="J1442" s="167"/>
    </row>
    <row r="1443" spans="2:10" x14ac:dyDescent="0.25">
      <c r="B1443" s="169">
        <f t="shared" si="45"/>
        <v>0.73933161953730075</v>
      </c>
      <c r="C1443">
        <v>4482</v>
      </c>
      <c r="E1443">
        <v>43</v>
      </c>
      <c r="F1443">
        <v>58</v>
      </c>
      <c r="G1443" s="15">
        <v>1.34883720930233</v>
      </c>
      <c r="H1443" s="167">
        <f t="shared" si="44"/>
        <v>5.1413881748071976E-4</v>
      </c>
      <c r="I1443" s="167"/>
      <c r="J1443" s="167"/>
    </row>
    <row r="1444" spans="2:10" x14ac:dyDescent="0.25">
      <c r="B1444" s="169">
        <f t="shared" si="45"/>
        <v>0.7398457583547815</v>
      </c>
      <c r="C1444">
        <v>4483</v>
      </c>
      <c r="E1444">
        <v>43</v>
      </c>
      <c r="F1444">
        <v>58</v>
      </c>
      <c r="G1444" s="15">
        <v>1.34883720930233</v>
      </c>
      <c r="H1444" s="167">
        <f t="shared" si="44"/>
        <v>5.1413881748071976E-4</v>
      </c>
      <c r="I1444" s="167"/>
      <c r="J1444" s="167"/>
    </row>
    <row r="1445" spans="2:10" x14ac:dyDescent="0.25">
      <c r="B1445" s="169">
        <f t="shared" si="45"/>
        <v>0.74035989717226225</v>
      </c>
      <c r="C1445">
        <v>632</v>
      </c>
      <c r="E1445">
        <v>80</v>
      </c>
      <c r="F1445">
        <v>109</v>
      </c>
      <c r="G1445" s="15">
        <v>1.3625</v>
      </c>
      <c r="H1445" s="167">
        <f t="shared" si="44"/>
        <v>5.1413881748071976E-4</v>
      </c>
      <c r="I1445" s="167"/>
      <c r="J1445" s="167"/>
    </row>
    <row r="1446" spans="2:10" x14ac:dyDescent="0.25">
      <c r="B1446" s="169">
        <f t="shared" si="45"/>
        <v>0.740874035989743</v>
      </c>
      <c r="C1446">
        <v>3657</v>
      </c>
      <c r="E1446">
        <v>120</v>
      </c>
      <c r="F1446">
        <v>164</v>
      </c>
      <c r="G1446" s="15">
        <v>1.36666666666667</v>
      </c>
      <c r="H1446" s="167">
        <f t="shared" si="44"/>
        <v>5.1413881748071976E-4</v>
      </c>
      <c r="I1446" s="167"/>
      <c r="J1446" s="167"/>
    </row>
    <row r="1447" spans="2:10" x14ac:dyDescent="0.25">
      <c r="B1447" s="169">
        <f t="shared" si="45"/>
        <v>0.74138817480722374</v>
      </c>
      <c r="C1447">
        <v>2341</v>
      </c>
      <c r="E1447">
        <v>16</v>
      </c>
      <c r="F1447">
        <v>22</v>
      </c>
      <c r="G1447" s="15">
        <v>1.375</v>
      </c>
      <c r="H1447" s="167">
        <f t="shared" si="44"/>
        <v>5.1413881748071976E-4</v>
      </c>
      <c r="I1447" s="167"/>
      <c r="J1447" s="167"/>
    </row>
    <row r="1448" spans="2:10" x14ac:dyDescent="0.25">
      <c r="B1448" s="169">
        <f t="shared" si="45"/>
        <v>0.74190231362470449</v>
      </c>
      <c r="C1448">
        <v>5984</v>
      </c>
      <c r="E1448">
        <v>31</v>
      </c>
      <c r="F1448">
        <v>43</v>
      </c>
      <c r="G1448" s="15">
        <v>1.38709677419355</v>
      </c>
      <c r="H1448" s="167">
        <f t="shared" si="44"/>
        <v>5.1413881748071976E-4</v>
      </c>
      <c r="I1448" s="167"/>
      <c r="J1448" s="167"/>
    </row>
    <row r="1449" spans="2:10" x14ac:dyDescent="0.25">
      <c r="B1449" s="169">
        <f t="shared" si="45"/>
        <v>0.74241645244218524</v>
      </c>
      <c r="C1449">
        <v>3950</v>
      </c>
      <c r="E1449">
        <v>80</v>
      </c>
      <c r="F1449">
        <v>111</v>
      </c>
      <c r="G1449" s="15">
        <v>1.3875</v>
      </c>
      <c r="H1449" s="167">
        <f t="shared" si="44"/>
        <v>5.1413881748071976E-4</v>
      </c>
      <c r="I1449" s="167"/>
      <c r="J1449" s="167"/>
    </row>
    <row r="1450" spans="2:10" x14ac:dyDescent="0.25">
      <c r="B1450" s="169">
        <f t="shared" si="45"/>
        <v>0.74293059125966598</v>
      </c>
      <c r="C1450">
        <v>3961</v>
      </c>
      <c r="E1450">
        <v>80</v>
      </c>
      <c r="F1450">
        <v>111</v>
      </c>
      <c r="G1450" s="15">
        <v>1.3875</v>
      </c>
      <c r="H1450" s="167">
        <f t="shared" si="44"/>
        <v>5.1413881748071976E-4</v>
      </c>
      <c r="I1450" s="167"/>
      <c r="J1450" s="167"/>
    </row>
    <row r="1451" spans="2:10" x14ac:dyDescent="0.25">
      <c r="B1451" s="169">
        <f t="shared" si="45"/>
        <v>0.74344473007714673</v>
      </c>
      <c r="C1451">
        <v>3904</v>
      </c>
      <c r="E1451">
        <v>10</v>
      </c>
      <c r="F1451">
        <v>14</v>
      </c>
      <c r="G1451" s="15">
        <v>1.4</v>
      </c>
      <c r="H1451" s="167">
        <f t="shared" si="44"/>
        <v>5.1413881748071976E-4</v>
      </c>
      <c r="I1451" s="167"/>
      <c r="J1451" s="167"/>
    </row>
    <row r="1452" spans="2:10" x14ac:dyDescent="0.25">
      <c r="B1452" s="169">
        <f t="shared" si="45"/>
        <v>0.74395886889462748</v>
      </c>
      <c r="C1452">
        <v>2365</v>
      </c>
      <c r="E1452">
        <v>15</v>
      </c>
      <c r="F1452">
        <v>21</v>
      </c>
      <c r="G1452" s="15">
        <v>1.4</v>
      </c>
      <c r="H1452" s="167">
        <f t="shared" si="44"/>
        <v>5.1413881748071976E-4</v>
      </c>
      <c r="I1452" s="167"/>
      <c r="J1452" s="167"/>
    </row>
    <row r="1453" spans="2:10" x14ac:dyDescent="0.25">
      <c r="B1453" s="169">
        <f t="shared" si="45"/>
        <v>0.74447300771210823</v>
      </c>
      <c r="C1453">
        <v>2355</v>
      </c>
      <c r="E1453">
        <v>15</v>
      </c>
      <c r="F1453">
        <v>21</v>
      </c>
      <c r="G1453" s="15">
        <v>1.4</v>
      </c>
      <c r="H1453" s="167">
        <f t="shared" si="44"/>
        <v>5.1413881748071976E-4</v>
      </c>
      <c r="I1453" s="167"/>
      <c r="J1453" s="167"/>
    </row>
    <row r="1454" spans="2:10" x14ac:dyDescent="0.25">
      <c r="B1454" s="169">
        <f t="shared" si="45"/>
        <v>0.74498714652958897</v>
      </c>
      <c r="C1454">
        <v>6050</v>
      </c>
      <c r="E1454">
        <v>170</v>
      </c>
      <c r="F1454">
        <v>240</v>
      </c>
      <c r="G1454" s="15">
        <v>1.4117647058823499</v>
      </c>
      <c r="H1454" s="167">
        <f t="shared" si="44"/>
        <v>5.1413881748071976E-4</v>
      </c>
      <c r="I1454" s="167"/>
      <c r="J1454" s="167"/>
    </row>
    <row r="1455" spans="2:10" x14ac:dyDescent="0.25">
      <c r="B1455" s="169">
        <f t="shared" si="45"/>
        <v>0.74550128534706972</v>
      </c>
      <c r="C1455">
        <v>3467</v>
      </c>
      <c r="E1455">
        <v>24</v>
      </c>
      <c r="F1455">
        <v>34</v>
      </c>
      <c r="G1455" s="15">
        <v>1.4166666666666701</v>
      </c>
      <c r="H1455" s="167">
        <f t="shared" si="44"/>
        <v>5.1413881748071976E-4</v>
      </c>
      <c r="I1455" s="167"/>
      <c r="J1455" s="167"/>
    </row>
    <row r="1456" spans="2:10" x14ac:dyDescent="0.25">
      <c r="B1456" s="169">
        <f t="shared" si="45"/>
        <v>0.74601542416455047</v>
      </c>
      <c r="C1456">
        <v>6472</v>
      </c>
      <c r="E1456">
        <v>55</v>
      </c>
      <c r="F1456">
        <v>78</v>
      </c>
      <c r="G1456" s="15">
        <v>1.41818181818182</v>
      </c>
      <c r="H1456" s="167">
        <f t="shared" si="44"/>
        <v>5.1413881748071976E-4</v>
      </c>
      <c r="I1456" s="167"/>
      <c r="J1456" s="167"/>
    </row>
    <row r="1457" spans="2:10" x14ac:dyDescent="0.25">
      <c r="B1457" s="169">
        <f t="shared" si="45"/>
        <v>0.74652956298203121</v>
      </c>
      <c r="C1457">
        <v>3611</v>
      </c>
      <c r="E1457">
        <v>40</v>
      </c>
      <c r="F1457">
        <v>57</v>
      </c>
      <c r="G1457" s="15">
        <v>1.425</v>
      </c>
      <c r="H1457" s="167">
        <f t="shared" si="44"/>
        <v>5.1413881748071976E-4</v>
      </c>
      <c r="I1457" s="167"/>
      <c r="J1457" s="167"/>
    </row>
    <row r="1458" spans="2:10" x14ac:dyDescent="0.25">
      <c r="B1458" s="169">
        <f t="shared" si="45"/>
        <v>0.74704370179951196</v>
      </c>
      <c r="C1458">
        <v>5523</v>
      </c>
      <c r="E1458">
        <v>14</v>
      </c>
      <c r="F1458">
        <v>20</v>
      </c>
      <c r="G1458" s="15">
        <v>1.4285714285714299</v>
      </c>
      <c r="H1458" s="167">
        <f t="shared" si="44"/>
        <v>5.1413881748071976E-4</v>
      </c>
      <c r="I1458" s="167"/>
      <c r="J1458" s="167"/>
    </row>
    <row r="1459" spans="2:10" x14ac:dyDescent="0.25">
      <c r="B1459" s="169">
        <f t="shared" si="45"/>
        <v>0.74755784061699271</v>
      </c>
      <c r="C1459">
        <v>3871</v>
      </c>
      <c r="E1459">
        <v>30</v>
      </c>
      <c r="F1459">
        <v>43</v>
      </c>
      <c r="G1459" s="15">
        <v>1.43333333333333</v>
      </c>
      <c r="H1459" s="167">
        <f t="shared" si="44"/>
        <v>5.1413881748071976E-4</v>
      </c>
      <c r="I1459" s="167"/>
      <c r="J1459" s="167"/>
    </row>
    <row r="1460" spans="2:10" x14ac:dyDescent="0.25">
      <c r="B1460" s="169">
        <f t="shared" si="45"/>
        <v>0.74807197943447346</v>
      </c>
      <c r="C1460">
        <v>3859</v>
      </c>
      <c r="E1460">
        <v>30</v>
      </c>
      <c r="F1460">
        <v>43</v>
      </c>
      <c r="G1460" s="15">
        <v>1.43333333333333</v>
      </c>
      <c r="H1460" s="167">
        <f t="shared" si="44"/>
        <v>5.1413881748071976E-4</v>
      </c>
      <c r="I1460" s="167"/>
      <c r="J1460" s="167"/>
    </row>
    <row r="1461" spans="2:10" x14ac:dyDescent="0.25">
      <c r="B1461" s="169">
        <f t="shared" si="45"/>
        <v>0.7485861182519542</v>
      </c>
      <c r="C1461">
        <v>2416</v>
      </c>
      <c r="E1461">
        <v>45</v>
      </c>
      <c r="F1461">
        <v>65</v>
      </c>
      <c r="G1461" s="15">
        <v>1.44444444444444</v>
      </c>
      <c r="H1461" s="167">
        <f t="shared" si="44"/>
        <v>5.1413881748071976E-4</v>
      </c>
      <c r="I1461" s="167"/>
      <c r="J1461" s="167"/>
    </row>
    <row r="1462" spans="2:10" x14ac:dyDescent="0.25">
      <c r="B1462" s="169">
        <f t="shared" si="45"/>
        <v>0.74910025706943495</v>
      </c>
      <c r="C1462">
        <v>2417</v>
      </c>
      <c r="E1462">
        <v>45</v>
      </c>
      <c r="F1462">
        <v>65</v>
      </c>
      <c r="G1462" s="15">
        <v>1.44444444444444</v>
      </c>
      <c r="H1462" s="167">
        <f t="shared" si="44"/>
        <v>5.1413881748071976E-4</v>
      </c>
      <c r="I1462" s="167"/>
      <c r="J1462" s="167"/>
    </row>
    <row r="1463" spans="2:10" x14ac:dyDescent="0.25">
      <c r="B1463" s="169">
        <f t="shared" si="45"/>
        <v>0.7496143958869157</v>
      </c>
      <c r="C1463">
        <v>3641</v>
      </c>
      <c r="E1463">
        <v>20</v>
      </c>
      <c r="F1463">
        <v>29</v>
      </c>
      <c r="G1463" s="15">
        <v>1.45</v>
      </c>
      <c r="H1463" s="167">
        <f t="shared" si="44"/>
        <v>5.1413881748071976E-4</v>
      </c>
      <c r="I1463" s="167"/>
      <c r="J1463" s="167"/>
    </row>
    <row r="1464" spans="2:10" x14ac:dyDescent="0.25">
      <c r="B1464" s="169">
        <f t="shared" si="45"/>
        <v>0.75012853470439644</v>
      </c>
      <c r="C1464">
        <v>3962</v>
      </c>
      <c r="E1464">
        <v>80</v>
      </c>
      <c r="F1464">
        <v>116</v>
      </c>
      <c r="G1464" s="15">
        <v>1.45</v>
      </c>
      <c r="H1464" s="167">
        <f t="shared" si="44"/>
        <v>5.1413881748071976E-4</v>
      </c>
      <c r="I1464" s="167"/>
      <c r="J1464" s="167"/>
    </row>
    <row r="1465" spans="2:10" x14ac:dyDescent="0.25">
      <c r="B1465" s="169">
        <f t="shared" si="45"/>
        <v>0.75064267352187719</v>
      </c>
      <c r="C1465">
        <v>4769</v>
      </c>
      <c r="E1465">
        <v>35</v>
      </c>
      <c r="F1465">
        <v>51</v>
      </c>
      <c r="G1465" s="15">
        <v>1.45714285714286</v>
      </c>
      <c r="H1465" s="167">
        <f t="shared" si="44"/>
        <v>5.1413881748071976E-4</v>
      </c>
      <c r="I1465" s="167"/>
      <c r="J1465" s="167"/>
    </row>
    <row r="1466" spans="2:10" x14ac:dyDescent="0.25">
      <c r="B1466" s="169">
        <f t="shared" si="45"/>
        <v>0.75115681233935794</v>
      </c>
      <c r="C1466">
        <v>4785</v>
      </c>
      <c r="E1466">
        <v>35</v>
      </c>
      <c r="F1466">
        <v>51</v>
      </c>
      <c r="G1466" s="15">
        <v>1.45714285714286</v>
      </c>
      <c r="H1466" s="167">
        <f t="shared" si="44"/>
        <v>5.1413881748071976E-4</v>
      </c>
      <c r="I1466" s="167"/>
      <c r="J1466" s="167"/>
    </row>
    <row r="1467" spans="2:10" x14ac:dyDescent="0.25">
      <c r="B1467" s="169">
        <f t="shared" si="45"/>
        <v>0.75167095115683868</v>
      </c>
      <c r="C1467">
        <v>5463</v>
      </c>
      <c r="E1467">
        <v>15</v>
      </c>
      <c r="F1467">
        <v>22</v>
      </c>
      <c r="G1467" s="15">
        <v>1.4666666666666699</v>
      </c>
      <c r="H1467" s="167">
        <f t="shared" si="44"/>
        <v>5.1413881748071976E-4</v>
      </c>
      <c r="I1467" s="167"/>
      <c r="J1467" s="167"/>
    </row>
    <row r="1468" spans="2:10" x14ac:dyDescent="0.25">
      <c r="B1468" s="169">
        <f t="shared" si="45"/>
        <v>0.75218508997431943</v>
      </c>
      <c r="C1468">
        <v>4790</v>
      </c>
      <c r="E1468">
        <v>36</v>
      </c>
      <c r="F1468">
        <v>53</v>
      </c>
      <c r="G1468" s="15">
        <v>1.4722222222222201</v>
      </c>
      <c r="H1468" s="167">
        <f t="shared" si="44"/>
        <v>5.1413881748071976E-4</v>
      </c>
      <c r="I1468" s="167"/>
      <c r="J1468" s="167"/>
    </row>
    <row r="1469" spans="2:10" x14ac:dyDescent="0.25">
      <c r="B1469" s="169">
        <f t="shared" si="45"/>
        <v>0.75269922879180018</v>
      </c>
      <c r="C1469">
        <v>5764</v>
      </c>
      <c r="E1469">
        <v>206</v>
      </c>
      <c r="F1469">
        <v>304</v>
      </c>
      <c r="G1469" s="15">
        <v>1.4757281553398101</v>
      </c>
      <c r="H1469" s="167">
        <f t="shared" si="44"/>
        <v>5.1413881748071976E-4</v>
      </c>
      <c r="I1469" s="167"/>
      <c r="J1469" s="167"/>
    </row>
    <row r="1470" spans="2:10" x14ac:dyDescent="0.25">
      <c r="B1470" s="169">
        <f t="shared" si="45"/>
        <v>0.75321336760928093</v>
      </c>
      <c r="C1470">
        <v>5763</v>
      </c>
      <c r="E1470">
        <v>206</v>
      </c>
      <c r="F1470">
        <v>305</v>
      </c>
      <c r="G1470" s="15">
        <v>1.48058252427184</v>
      </c>
      <c r="H1470" s="167">
        <f t="shared" si="44"/>
        <v>5.1413881748071976E-4</v>
      </c>
      <c r="I1470" s="167"/>
      <c r="J1470" s="167"/>
    </row>
    <row r="1471" spans="2:10" x14ac:dyDescent="0.25">
      <c r="B1471" s="169">
        <f t="shared" si="45"/>
        <v>0.75372750642676167</v>
      </c>
      <c r="C1471">
        <v>3719</v>
      </c>
      <c r="E1471">
        <v>2</v>
      </c>
      <c r="F1471">
        <v>3</v>
      </c>
      <c r="G1471" s="15">
        <v>1.5</v>
      </c>
      <c r="H1471" s="167">
        <f t="shared" si="44"/>
        <v>5.1413881748071976E-4</v>
      </c>
      <c r="I1471" s="167"/>
      <c r="J1471" s="167"/>
    </row>
    <row r="1472" spans="2:10" x14ac:dyDescent="0.25">
      <c r="B1472" s="169">
        <f t="shared" si="45"/>
        <v>0.75424164524424242</v>
      </c>
      <c r="C1472">
        <v>3721</v>
      </c>
      <c r="E1472">
        <v>2</v>
      </c>
      <c r="F1472">
        <v>3</v>
      </c>
      <c r="G1472" s="15">
        <v>1.5</v>
      </c>
      <c r="H1472" s="167">
        <f t="shared" si="44"/>
        <v>5.1413881748071976E-4</v>
      </c>
      <c r="I1472" s="167"/>
      <c r="J1472" s="167"/>
    </row>
    <row r="1473" spans="2:10" x14ac:dyDescent="0.25">
      <c r="B1473" s="169">
        <f t="shared" si="45"/>
        <v>0.75475578406172317</v>
      </c>
      <c r="C1473">
        <v>4627</v>
      </c>
      <c r="E1473">
        <v>2</v>
      </c>
      <c r="F1473">
        <v>3</v>
      </c>
      <c r="G1473" s="15">
        <v>1.5</v>
      </c>
      <c r="H1473" s="167">
        <f t="shared" si="44"/>
        <v>5.1413881748071976E-4</v>
      </c>
      <c r="I1473" s="167"/>
      <c r="J1473" s="167"/>
    </row>
    <row r="1474" spans="2:10" x14ac:dyDescent="0.25">
      <c r="B1474" s="169">
        <f t="shared" si="45"/>
        <v>0.75526992287920391</v>
      </c>
      <c r="C1474">
        <v>3745</v>
      </c>
      <c r="E1474">
        <v>2</v>
      </c>
      <c r="F1474">
        <v>3</v>
      </c>
      <c r="G1474" s="15">
        <v>1.5</v>
      </c>
      <c r="H1474" s="167">
        <f t="shared" si="44"/>
        <v>5.1413881748071976E-4</v>
      </c>
      <c r="I1474" s="167"/>
      <c r="J1474" s="167"/>
    </row>
    <row r="1475" spans="2:10" x14ac:dyDescent="0.25">
      <c r="B1475" s="169">
        <f t="shared" si="45"/>
        <v>0.75578406169668466</v>
      </c>
      <c r="C1475">
        <v>3748</v>
      </c>
      <c r="E1475">
        <v>2</v>
      </c>
      <c r="F1475">
        <v>3</v>
      </c>
      <c r="G1475" s="15">
        <v>1.5</v>
      </c>
      <c r="H1475" s="167">
        <f t="shared" si="44"/>
        <v>5.1413881748071976E-4</v>
      </c>
      <c r="I1475" s="167"/>
      <c r="J1475" s="167"/>
    </row>
    <row r="1476" spans="2:10" x14ac:dyDescent="0.25">
      <c r="B1476" s="169">
        <f t="shared" si="45"/>
        <v>0.75629820051416541</v>
      </c>
      <c r="C1476">
        <v>3861</v>
      </c>
      <c r="E1476">
        <v>6</v>
      </c>
      <c r="F1476">
        <v>9</v>
      </c>
      <c r="G1476" s="15">
        <v>1.5</v>
      </c>
      <c r="H1476" s="167">
        <f t="shared" si="44"/>
        <v>5.1413881748071976E-4</v>
      </c>
      <c r="I1476" s="167"/>
      <c r="J1476" s="167"/>
    </row>
    <row r="1477" spans="2:10" x14ac:dyDescent="0.25">
      <c r="B1477" s="169">
        <f t="shared" si="45"/>
        <v>0.75681233933164616</v>
      </c>
      <c r="C1477">
        <v>5577</v>
      </c>
      <c r="E1477">
        <v>2</v>
      </c>
      <c r="F1477">
        <v>3</v>
      </c>
      <c r="G1477" s="15">
        <v>1.5</v>
      </c>
      <c r="H1477" s="167">
        <f t="shared" si="44"/>
        <v>5.1413881748071976E-4</v>
      </c>
      <c r="I1477" s="167"/>
      <c r="J1477" s="167"/>
    </row>
    <row r="1478" spans="2:10" x14ac:dyDescent="0.25">
      <c r="B1478" s="169">
        <f t="shared" si="45"/>
        <v>0.7573264781491269</v>
      </c>
      <c r="C1478">
        <v>5613</v>
      </c>
      <c r="E1478">
        <v>2</v>
      </c>
      <c r="F1478">
        <v>3</v>
      </c>
      <c r="G1478" s="15">
        <v>1.5</v>
      </c>
      <c r="H1478" s="167">
        <f t="shared" ref="H1478:H1541" si="46">1/$L$6</f>
        <v>5.1413881748071976E-4</v>
      </c>
      <c r="I1478" s="167"/>
      <c r="J1478" s="167"/>
    </row>
    <row r="1479" spans="2:10" x14ac:dyDescent="0.25">
      <c r="B1479" s="169">
        <f t="shared" ref="B1479:B1542" si="47">B1478+H1479</f>
        <v>0.75784061696660765</v>
      </c>
      <c r="C1479">
        <v>5093</v>
      </c>
      <c r="E1479">
        <v>2</v>
      </c>
      <c r="F1479">
        <v>3</v>
      </c>
      <c r="G1479" s="15">
        <v>1.5</v>
      </c>
      <c r="H1479" s="167">
        <f t="shared" si="46"/>
        <v>5.1413881748071976E-4</v>
      </c>
      <c r="I1479" s="167"/>
      <c r="J1479" s="167"/>
    </row>
    <row r="1480" spans="2:10" x14ac:dyDescent="0.25">
      <c r="B1480" s="169">
        <f t="shared" si="47"/>
        <v>0.7583547557840884</v>
      </c>
      <c r="C1480">
        <v>5894</v>
      </c>
      <c r="E1480">
        <v>90</v>
      </c>
      <c r="F1480">
        <v>135</v>
      </c>
      <c r="G1480" s="15">
        <v>1.5</v>
      </c>
      <c r="H1480" s="167">
        <f t="shared" si="46"/>
        <v>5.1413881748071976E-4</v>
      </c>
      <c r="I1480" s="167"/>
      <c r="J1480" s="167"/>
    </row>
    <row r="1481" spans="2:10" x14ac:dyDescent="0.25">
      <c r="B1481" s="169">
        <f t="shared" si="47"/>
        <v>0.75886889460156914</v>
      </c>
      <c r="C1481">
        <v>4889</v>
      </c>
      <c r="E1481">
        <v>12</v>
      </c>
      <c r="F1481">
        <v>18</v>
      </c>
      <c r="G1481" s="15">
        <v>1.5</v>
      </c>
      <c r="H1481" s="167">
        <f t="shared" si="46"/>
        <v>5.1413881748071976E-4</v>
      </c>
      <c r="I1481" s="167"/>
      <c r="J1481" s="167"/>
    </row>
    <row r="1482" spans="2:10" x14ac:dyDescent="0.25">
      <c r="B1482" s="169">
        <f t="shared" si="47"/>
        <v>0.75938303341904989</v>
      </c>
      <c r="C1482">
        <v>4894</v>
      </c>
      <c r="E1482">
        <v>12</v>
      </c>
      <c r="F1482">
        <v>18</v>
      </c>
      <c r="G1482" s="15">
        <v>1.5</v>
      </c>
      <c r="H1482" s="167">
        <f t="shared" si="46"/>
        <v>5.1413881748071976E-4</v>
      </c>
      <c r="I1482" s="167"/>
      <c r="J1482" s="167"/>
    </row>
    <row r="1483" spans="2:10" x14ac:dyDescent="0.25">
      <c r="B1483" s="169">
        <f t="shared" si="47"/>
        <v>0.75989717223653064</v>
      </c>
      <c r="C1483">
        <v>3978</v>
      </c>
      <c r="E1483">
        <v>80</v>
      </c>
      <c r="F1483">
        <v>120</v>
      </c>
      <c r="G1483" s="15">
        <v>1.5</v>
      </c>
      <c r="H1483" s="167">
        <f t="shared" si="46"/>
        <v>5.1413881748071976E-4</v>
      </c>
      <c r="I1483" s="167"/>
      <c r="J1483" s="167"/>
    </row>
    <row r="1484" spans="2:10" x14ac:dyDescent="0.25">
      <c r="B1484" s="169">
        <f t="shared" si="47"/>
        <v>0.76041131105401139</v>
      </c>
      <c r="C1484">
        <v>5653</v>
      </c>
      <c r="E1484">
        <v>2</v>
      </c>
      <c r="F1484">
        <v>3</v>
      </c>
      <c r="G1484" s="15">
        <v>1.5</v>
      </c>
      <c r="H1484" s="167">
        <f t="shared" si="46"/>
        <v>5.1413881748071976E-4</v>
      </c>
      <c r="I1484" s="167"/>
      <c r="J1484" s="167"/>
    </row>
    <row r="1485" spans="2:10" x14ac:dyDescent="0.25">
      <c r="B1485" s="169">
        <f t="shared" si="47"/>
        <v>0.76092544987149213</v>
      </c>
      <c r="C1485">
        <v>5759</v>
      </c>
      <c r="E1485">
        <v>4</v>
      </c>
      <c r="F1485">
        <v>6</v>
      </c>
      <c r="G1485" s="15">
        <v>1.5</v>
      </c>
      <c r="H1485" s="167">
        <f t="shared" si="46"/>
        <v>5.1413881748071976E-4</v>
      </c>
      <c r="I1485" s="167"/>
      <c r="J1485" s="167"/>
    </row>
    <row r="1486" spans="2:10" x14ac:dyDescent="0.25">
      <c r="B1486" s="169">
        <f t="shared" si="47"/>
        <v>0.76143958868897288</v>
      </c>
      <c r="C1486">
        <v>4110</v>
      </c>
      <c r="E1486">
        <v>6</v>
      </c>
      <c r="F1486">
        <v>9</v>
      </c>
      <c r="G1486" s="15">
        <v>1.5</v>
      </c>
      <c r="H1486" s="167">
        <f t="shared" si="46"/>
        <v>5.1413881748071976E-4</v>
      </c>
      <c r="I1486" s="167"/>
      <c r="J1486" s="167"/>
    </row>
    <row r="1487" spans="2:10" x14ac:dyDescent="0.25">
      <c r="B1487" s="169">
        <f t="shared" si="47"/>
        <v>0.76195372750645363</v>
      </c>
      <c r="C1487">
        <v>4187</v>
      </c>
      <c r="E1487">
        <v>4</v>
      </c>
      <c r="F1487">
        <v>6</v>
      </c>
      <c r="G1487" s="15">
        <v>1.5</v>
      </c>
      <c r="H1487" s="167">
        <f t="shared" si="46"/>
        <v>5.1413881748071976E-4</v>
      </c>
      <c r="I1487" s="167"/>
      <c r="J1487" s="167"/>
    </row>
    <row r="1488" spans="2:10" x14ac:dyDescent="0.25">
      <c r="B1488" s="169">
        <f t="shared" si="47"/>
        <v>0.76246786632393437</v>
      </c>
      <c r="C1488">
        <v>4142</v>
      </c>
      <c r="E1488">
        <v>4</v>
      </c>
      <c r="F1488">
        <v>6</v>
      </c>
      <c r="G1488" s="15">
        <v>1.5</v>
      </c>
      <c r="H1488" s="167">
        <f t="shared" si="46"/>
        <v>5.1413881748071976E-4</v>
      </c>
      <c r="I1488" s="167"/>
      <c r="J1488" s="167"/>
    </row>
    <row r="1489" spans="2:10" x14ac:dyDescent="0.25">
      <c r="B1489" s="169">
        <f t="shared" si="47"/>
        <v>0.76298200514141512</v>
      </c>
      <c r="C1489">
        <v>2448</v>
      </c>
      <c r="E1489">
        <v>18</v>
      </c>
      <c r="F1489">
        <v>27</v>
      </c>
      <c r="G1489" s="15">
        <v>1.5</v>
      </c>
      <c r="H1489" s="167">
        <f t="shared" si="46"/>
        <v>5.1413881748071976E-4</v>
      </c>
      <c r="I1489" s="167"/>
      <c r="J1489" s="167"/>
    </row>
    <row r="1490" spans="2:10" x14ac:dyDescent="0.25">
      <c r="B1490" s="169">
        <f t="shared" si="47"/>
        <v>0.76349614395889587</v>
      </c>
      <c r="C1490">
        <v>4147</v>
      </c>
      <c r="E1490">
        <v>12</v>
      </c>
      <c r="F1490">
        <v>18</v>
      </c>
      <c r="G1490" s="15">
        <v>1.5</v>
      </c>
      <c r="H1490" s="167">
        <f t="shared" si="46"/>
        <v>5.1413881748071976E-4</v>
      </c>
      <c r="I1490" s="167"/>
      <c r="J1490" s="167"/>
    </row>
    <row r="1491" spans="2:10" x14ac:dyDescent="0.25">
      <c r="B1491" s="169">
        <f t="shared" si="47"/>
        <v>0.76401028277637661</v>
      </c>
      <c r="C1491">
        <v>7169</v>
      </c>
      <c r="E1491">
        <v>6</v>
      </c>
      <c r="F1491">
        <v>9</v>
      </c>
      <c r="G1491" s="15">
        <v>1.5</v>
      </c>
      <c r="H1491" s="167">
        <f t="shared" si="46"/>
        <v>5.1413881748071976E-4</v>
      </c>
      <c r="I1491" s="167"/>
      <c r="J1491" s="167"/>
    </row>
    <row r="1492" spans="2:10" x14ac:dyDescent="0.25">
      <c r="B1492" s="169">
        <f t="shared" si="47"/>
        <v>0.76452442159385736</v>
      </c>
      <c r="C1492">
        <v>4156</v>
      </c>
      <c r="E1492">
        <v>6</v>
      </c>
      <c r="F1492">
        <v>9</v>
      </c>
      <c r="G1492" s="15">
        <v>1.5</v>
      </c>
      <c r="H1492" s="167">
        <f t="shared" si="46"/>
        <v>5.1413881748071976E-4</v>
      </c>
      <c r="I1492" s="167"/>
      <c r="J1492" s="167"/>
    </row>
    <row r="1493" spans="2:10" x14ac:dyDescent="0.25">
      <c r="B1493" s="169">
        <f t="shared" si="47"/>
        <v>0.76503856041133811</v>
      </c>
      <c r="C1493">
        <v>5793</v>
      </c>
      <c r="E1493">
        <v>2</v>
      </c>
      <c r="F1493">
        <v>3</v>
      </c>
      <c r="G1493" s="15">
        <v>1.5</v>
      </c>
      <c r="H1493" s="167">
        <f t="shared" si="46"/>
        <v>5.1413881748071976E-4</v>
      </c>
      <c r="I1493" s="167"/>
      <c r="J1493" s="167"/>
    </row>
    <row r="1494" spans="2:10" x14ac:dyDescent="0.25">
      <c r="B1494" s="169">
        <f t="shared" si="47"/>
        <v>0.76555269922881886</v>
      </c>
      <c r="C1494">
        <v>5794</v>
      </c>
      <c r="E1494">
        <v>2</v>
      </c>
      <c r="F1494">
        <v>3</v>
      </c>
      <c r="G1494" s="15">
        <v>1.5</v>
      </c>
      <c r="H1494" s="167">
        <f t="shared" si="46"/>
        <v>5.1413881748071976E-4</v>
      </c>
      <c r="I1494" s="167"/>
      <c r="J1494" s="167"/>
    </row>
    <row r="1495" spans="2:10" x14ac:dyDescent="0.25">
      <c r="B1495" s="169">
        <f t="shared" si="47"/>
        <v>0.7660668380462996</v>
      </c>
      <c r="C1495">
        <v>5826</v>
      </c>
      <c r="E1495">
        <v>2</v>
      </c>
      <c r="F1495">
        <v>3</v>
      </c>
      <c r="G1495" s="15">
        <v>1.5</v>
      </c>
      <c r="H1495" s="167">
        <f t="shared" si="46"/>
        <v>5.1413881748071976E-4</v>
      </c>
      <c r="I1495" s="167"/>
      <c r="J1495" s="167"/>
    </row>
    <row r="1496" spans="2:10" x14ac:dyDescent="0.25">
      <c r="B1496" s="169">
        <f t="shared" si="47"/>
        <v>0.76658097686378035</v>
      </c>
      <c r="C1496">
        <v>4344</v>
      </c>
      <c r="E1496">
        <v>89</v>
      </c>
      <c r="F1496">
        <v>134</v>
      </c>
      <c r="G1496" s="15">
        <v>1.50561797752809</v>
      </c>
      <c r="H1496" s="167">
        <f t="shared" si="46"/>
        <v>5.1413881748071976E-4</v>
      </c>
      <c r="I1496" s="167"/>
      <c r="J1496" s="167"/>
    </row>
    <row r="1497" spans="2:10" x14ac:dyDescent="0.25">
      <c r="B1497" s="169">
        <f t="shared" si="47"/>
        <v>0.7670951156812611</v>
      </c>
      <c r="C1497">
        <v>3980</v>
      </c>
      <c r="E1497">
        <v>80</v>
      </c>
      <c r="F1497">
        <v>122</v>
      </c>
      <c r="G1497" s="15">
        <v>1.5249999999999999</v>
      </c>
      <c r="H1497" s="167">
        <f t="shared" si="46"/>
        <v>5.1413881748071976E-4</v>
      </c>
      <c r="I1497" s="167"/>
      <c r="J1497" s="167"/>
    </row>
    <row r="1498" spans="2:10" x14ac:dyDescent="0.25">
      <c r="B1498" s="169">
        <f t="shared" si="47"/>
        <v>0.76760925449874184</v>
      </c>
      <c r="C1498">
        <v>4382</v>
      </c>
      <c r="E1498">
        <v>135</v>
      </c>
      <c r="F1498">
        <v>206</v>
      </c>
      <c r="G1498" s="15">
        <v>1.5259259259259299</v>
      </c>
      <c r="H1498" s="167">
        <f t="shared" si="46"/>
        <v>5.1413881748071976E-4</v>
      </c>
      <c r="I1498" s="167"/>
      <c r="J1498" s="167"/>
    </row>
    <row r="1499" spans="2:10" x14ac:dyDescent="0.25">
      <c r="B1499" s="169">
        <f t="shared" si="47"/>
        <v>0.76812339331622259</v>
      </c>
      <c r="C1499">
        <v>2346</v>
      </c>
      <c r="E1499">
        <v>15</v>
      </c>
      <c r="F1499">
        <v>23</v>
      </c>
      <c r="G1499" s="15">
        <v>1.5333333333333301</v>
      </c>
      <c r="H1499" s="167">
        <f t="shared" si="46"/>
        <v>5.1413881748071976E-4</v>
      </c>
      <c r="I1499" s="167"/>
      <c r="J1499" s="167"/>
    </row>
    <row r="1500" spans="2:10" x14ac:dyDescent="0.25">
      <c r="B1500" s="169">
        <f t="shared" si="47"/>
        <v>0.76863753213370334</v>
      </c>
      <c r="C1500">
        <v>4771</v>
      </c>
      <c r="E1500">
        <v>35</v>
      </c>
      <c r="F1500">
        <v>54</v>
      </c>
      <c r="G1500" s="15">
        <v>1.54285714285714</v>
      </c>
      <c r="H1500" s="167">
        <f t="shared" si="46"/>
        <v>5.1413881748071976E-4</v>
      </c>
      <c r="I1500" s="167"/>
      <c r="J1500" s="167"/>
    </row>
    <row r="1501" spans="2:10" x14ac:dyDescent="0.25">
      <c r="B1501" s="169">
        <f t="shared" si="47"/>
        <v>0.76915167095118409</v>
      </c>
      <c r="C1501">
        <v>4787</v>
      </c>
      <c r="E1501">
        <v>35</v>
      </c>
      <c r="F1501">
        <v>54</v>
      </c>
      <c r="G1501" s="15">
        <v>1.54285714285714</v>
      </c>
      <c r="H1501" s="167">
        <f t="shared" si="46"/>
        <v>5.1413881748071976E-4</v>
      </c>
      <c r="I1501" s="167"/>
      <c r="J1501" s="167"/>
    </row>
    <row r="1502" spans="2:10" x14ac:dyDescent="0.25">
      <c r="B1502" s="169">
        <f t="shared" si="47"/>
        <v>0.76966580976866483</v>
      </c>
      <c r="C1502">
        <v>6476</v>
      </c>
      <c r="E1502">
        <v>31</v>
      </c>
      <c r="F1502">
        <v>48</v>
      </c>
      <c r="G1502" s="15">
        <v>1.54838709677419</v>
      </c>
      <c r="H1502" s="167">
        <f t="shared" si="46"/>
        <v>5.1413881748071976E-4</v>
      </c>
      <c r="I1502" s="167"/>
      <c r="J1502" s="167"/>
    </row>
    <row r="1503" spans="2:10" x14ac:dyDescent="0.25">
      <c r="B1503" s="169">
        <f t="shared" si="47"/>
        <v>0.77017994858614558</v>
      </c>
      <c r="C1503">
        <v>3635</v>
      </c>
      <c r="E1503">
        <v>20</v>
      </c>
      <c r="F1503">
        <v>31</v>
      </c>
      <c r="G1503" s="15">
        <v>1.55</v>
      </c>
      <c r="H1503" s="167">
        <f t="shared" si="46"/>
        <v>5.1413881748071976E-4</v>
      </c>
      <c r="I1503" s="167"/>
      <c r="J1503" s="167"/>
    </row>
    <row r="1504" spans="2:10" x14ac:dyDescent="0.25">
      <c r="B1504" s="169">
        <f t="shared" si="47"/>
        <v>0.77069408740362633</v>
      </c>
      <c r="C1504">
        <v>4834</v>
      </c>
      <c r="E1504">
        <v>40</v>
      </c>
      <c r="F1504">
        <v>62</v>
      </c>
      <c r="G1504" s="15">
        <v>1.55</v>
      </c>
      <c r="H1504" s="167">
        <f t="shared" si="46"/>
        <v>5.1413881748071976E-4</v>
      </c>
      <c r="I1504" s="167"/>
      <c r="J1504" s="167"/>
    </row>
    <row r="1505" spans="2:10" x14ac:dyDescent="0.25">
      <c r="B1505" s="169">
        <f t="shared" si="47"/>
        <v>0.77120822622110707</v>
      </c>
      <c r="C1505">
        <v>5950</v>
      </c>
      <c r="E1505">
        <v>20</v>
      </c>
      <c r="F1505">
        <v>31</v>
      </c>
      <c r="G1505" s="15">
        <v>1.55</v>
      </c>
      <c r="H1505" s="167">
        <f t="shared" si="46"/>
        <v>5.1413881748071976E-4</v>
      </c>
      <c r="I1505" s="167"/>
      <c r="J1505" s="167"/>
    </row>
    <row r="1506" spans="2:10" x14ac:dyDescent="0.25">
      <c r="B1506" s="169">
        <f t="shared" si="47"/>
        <v>0.77172236503858782</v>
      </c>
      <c r="C1506">
        <v>4776</v>
      </c>
      <c r="E1506">
        <v>29</v>
      </c>
      <c r="F1506">
        <v>45</v>
      </c>
      <c r="G1506" s="15">
        <v>1.55172413793103</v>
      </c>
      <c r="H1506" s="167">
        <f t="shared" si="46"/>
        <v>5.1413881748071976E-4</v>
      </c>
      <c r="I1506" s="167"/>
      <c r="J1506" s="167"/>
    </row>
    <row r="1507" spans="2:10" x14ac:dyDescent="0.25">
      <c r="B1507" s="169">
        <f t="shared" si="47"/>
        <v>0.77223650385606857</v>
      </c>
      <c r="C1507">
        <v>4774</v>
      </c>
      <c r="E1507">
        <v>34</v>
      </c>
      <c r="F1507">
        <v>53</v>
      </c>
      <c r="G1507" s="15">
        <v>1.5588235294117601</v>
      </c>
      <c r="H1507" s="167">
        <f t="shared" si="46"/>
        <v>5.1413881748071976E-4</v>
      </c>
      <c r="I1507" s="167"/>
      <c r="J1507" s="167"/>
    </row>
    <row r="1508" spans="2:10" x14ac:dyDescent="0.25">
      <c r="B1508" s="169">
        <f t="shared" si="47"/>
        <v>0.77275064267354932</v>
      </c>
      <c r="C1508">
        <v>3893</v>
      </c>
      <c r="E1508">
        <v>30</v>
      </c>
      <c r="F1508">
        <v>47</v>
      </c>
      <c r="G1508" s="15">
        <v>1.56666666666667</v>
      </c>
      <c r="H1508" s="167">
        <f t="shared" si="46"/>
        <v>5.1413881748071976E-4</v>
      </c>
      <c r="I1508" s="167"/>
      <c r="J1508" s="167"/>
    </row>
    <row r="1509" spans="2:10" x14ac:dyDescent="0.25">
      <c r="B1509" s="169">
        <f t="shared" si="47"/>
        <v>0.77326478149103006</v>
      </c>
      <c r="C1509">
        <v>6484</v>
      </c>
      <c r="E1509">
        <v>21</v>
      </c>
      <c r="F1509">
        <v>33</v>
      </c>
      <c r="G1509" s="15">
        <v>1.5714285714285701</v>
      </c>
      <c r="H1509" s="167">
        <f t="shared" si="46"/>
        <v>5.1413881748071976E-4</v>
      </c>
      <c r="I1509" s="167"/>
      <c r="J1509" s="167"/>
    </row>
    <row r="1510" spans="2:10" x14ac:dyDescent="0.25">
      <c r="B1510" s="169">
        <f t="shared" si="47"/>
        <v>0.77377892030851081</v>
      </c>
      <c r="C1510">
        <v>3640</v>
      </c>
      <c r="E1510">
        <v>40</v>
      </c>
      <c r="F1510">
        <v>63</v>
      </c>
      <c r="G1510" s="15">
        <v>1.575</v>
      </c>
      <c r="H1510" s="167">
        <f t="shared" si="46"/>
        <v>5.1413881748071976E-4</v>
      </c>
      <c r="I1510" s="167"/>
      <c r="J1510" s="167"/>
    </row>
    <row r="1511" spans="2:10" x14ac:dyDescent="0.25">
      <c r="B1511" s="169">
        <f t="shared" si="47"/>
        <v>0.77429305912599156</v>
      </c>
      <c r="C1511">
        <v>5567</v>
      </c>
      <c r="E1511">
        <v>80</v>
      </c>
      <c r="F1511">
        <v>126</v>
      </c>
      <c r="G1511" s="15">
        <v>1.575</v>
      </c>
      <c r="H1511" s="167">
        <f t="shared" si="46"/>
        <v>5.1413881748071976E-4</v>
      </c>
      <c r="I1511" s="167"/>
      <c r="J1511" s="167"/>
    </row>
    <row r="1512" spans="2:10" x14ac:dyDescent="0.25">
      <c r="B1512" s="169">
        <f t="shared" si="47"/>
        <v>0.7748071979434723</v>
      </c>
      <c r="C1512">
        <v>4420</v>
      </c>
      <c r="E1512">
        <v>5</v>
      </c>
      <c r="F1512">
        <v>8</v>
      </c>
      <c r="G1512" s="15">
        <v>1.6</v>
      </c>
      <c r="H1512" s="167">
        <f t="shared" si="46"/>
        <v>5.1413881748071976E-4</v>
      </c>
      <c r="I1512" s="167"/>
      <c r="J1512" s="167"/>
    </row>
    <row r="1513" spans="2:10" x14ac:dyDescent="0.25">
      <c r="B1513" s="169">
        <f t="shared" si="47"/>
        <v>0.77532133676095305</v>
      </c>
      <c r="C1513">
        <v>4421</v>
      </c>
      <c r="E1513">
        <v>5</v>
      </c>
      <c r="F1513">
        <v>8</v>
      </c>
      <c r="G1513" s="15">
        <v>1.6</v>
      </c>
      <c r="H1513" s="167">
        <f t="shared" si="46"/>
        <v>5.1413881748071976E-4</v>
      </c>
      <c r="I1513" s="167"/>
      <c r="J1513" s="167"/>
    </row>
    <row r="1514" spans="2:10" x14ac:dyDescent="0.25">
      <c r="B1514" s="169">
        <f t="shared" si="47"/>
        <v>0.7758354755784338</v>
      </c>
      <c r="C1514">
        <v>4422</v>
      </c>
      <c r="E1514">
        <v>5</v>
      </c>
      <c r="F1514">
        <v>8</v>
      </c>
      <c r="G1514" s="15">
        <v>1.6</v>
      </c>
      <c r="H1514" s="167">
        <f t="shared" si="46"/>
        <v>5.1413881748071976E-4</v>
      </c>
      <c r="I1514" s="167"/>
      <c r="J1514" s="167"/>
    </row>
    <row r="1515" spans="2:10" x14ac:dyDescent="0.25">
      <c r="B1515" s="169">
        <f t="shared" si="47"/>
        <v>0.77634961439591454</v>
      </c>
      <c r="C1515">
        <v>4895</v>
      </c>
      <c r="E1515">
        <v>25</v>
      </c>
      <c r="F1515">
        <v>40</v>
      </c>
      <c r="G1515" s="15">
        <v>1.6</v>
      </c>
      <c r="H1515" s="167">
        <f t="shared" si="46"/>
        <v>5.1413881748071976E-4</v>
      </c>
      <c r="I1515" s="167"/>
      <c r="J1515" s="167"/>
    </row>
    <row r="1516" spans="2:10" x14ac:dyDescent="0.25">
      <c r="B1516" s="169">
        <f t="shared" si="47"/>
        <v>0.77686375321339529</v>
      </c>
      <c r="C1516">
        <v>5677</v>
      </c>
      <c r="E1516">
        <v>5</v>
      </c>
      <c r="F1516">
        <v>8</v>
      </c>
      <c r="G1516" s="15">
        <v>1.6</v>
      </c>
      <c r="H1516" s="167">
        <f t="shared" si="46"/>
        <v>5.1413881748071976E-4</v>
      </c>
      <c r="I1516" s="167"/>
      <c r="J1516" s="167"/>
    </row>
    <row r="1517" spans="2:10" x14ac:dyDescent="0.25">
      <c r="B1517" s="169">
        <f t="shared" si="47"/>
        <v>0.77737789203087604</v>
      </c>
      <c r="C1517">
        <v>3957</v>
      </c>
      <c r="E1517">
        <v>10</v>
      </c>
      <c r="F1517">
        <v>16</v>
      </c>
      <c r="G1517" s="15">
        <v>1.6</v>
      </c>
      <c r="H1517" s="167">
        <f t="shared" si="46"/>
        <v>5.1413881748071976E-4</v>
      </c>
      <c r="I1517" s="167"/>
      <c r="J1517" s="167"/>
    </row>
    <row r="1518" spans="2:10" x14ac:dyDescent="0.25">
      <c r="B1518" s="169">
        <f t="shared" si="47"/>
        <v>0.77789203084835679</v>
      </c>
      <c r="C1518">
        <v>1626</v>
      </c>
      <c r="E1518">
        <v>5</v>
      </c>
      <c r="F1518">
        <v>8</v>
      </c>
      <c r="G1518" s="15">
        <v>1.6</v>
      </c>
      <c r="H1518" s="167">
        <f t="shared" si="46"/>
        <v>5.1413881748071976E-4</v>
      </c>
      <c r="I1518" s="167"/>
      <c r="J1518" s="167"/>
    </row>
    <row r="1519" spans="2:10" x14ac:dyDescent="0.25">
      <c r="B1519" s="169">
        <f t="shared" si="47"/>
        <v>0.77840616966583753</v>
      </c>
      <c r="C1519">
        <v>4308</v>
      </c>
      <c r="E1519">
        <v>131</v>
      </c>
      <c r="F1519">
        <v>210</v>
      </c>
      <c r="G1519" s="15">
        <v>1.6030534351145</v>
      </c>
      <c r="H1519" s="167">
        <f t="shared" si="46"/>
        <v>5.1413881748071976E-4</v>
      </c>
      <c r="I1519" s="167"/>
      <c r="J1519" s="167"/>
    </row>
    <row r="1520" spans="2:10" x14ac:dyDescent="0.25">
      <c r="B1520" s="169">
        <f t="shared" si="47"/>
        <v>0.77892030848331828</v>
      </c>
      <c r="C1520">
        <v>1902</v>
      </c>
      <c r="E1520">
        <v>80</v>
      </c>
      <c r="F1520">
        <v>129</v>
      </c>
      <c r="G1520" s="15">
        <v>1.6125</v>
      </c>
      <c r="H1520" s="167">
        <f t="shared" si="46"/>
        <v>5.1413881748071976E-4</v>
      </c>
      <c r="I1520" s="167"/>
      <c r="J1520" s="167"/>
    </row>
    <row r="1521" spans="2:10" x14ac:dyDescent="0.25">
      <c r="B1521" s="169">
        <f t="shared" si="47"/>
        <v>0.77943444730079903</v>
      </c>
      <c r="C1521">
        <v>1904</v>
      </c>
      <c r="E1521">
        <v>80</v>
      </c>
      <c r="F1521">
        <v>129</v>
      </c>
      <c r="G1521" s="15">
        <v>1.6125</v>
      </c>
      <c r="H1521" s="167">
        <f t="shared" si="46"/>
        <v>5.1413881748071976E-4</v>
      </c>
      <c r="I1521" s="167"/>
      <c r="J1521" s="167"/>
    </row>
    <row r="1522" spans="2:10" x14ac:dyDescent="0.25">
      <c r="B1522" s="169">
        <f t="shared" si="47"/>
        <v>0.77994858611827977</v>
      </c>
      <c r="C1522">
        <v>3892</v>
      </c>
      <c r="E1522">
        <v>50</v>
      </c>
      <c r="F1522">
        <v>81</v>
      </c>
      <c r="G1522" s="15">
        <v>1.62</v>
      </c>
      <c r="H1522" s="167">
        <f t="shared" si="46"/>
        <v>5.1413881748071976E-4</v>
      </c>
      <c r="I1522" s="167"/>
      <c r="J1522" s="167"/>
    </row>
    <row r="1523" spans="2:10" x14ac:dyDescent="0.25">
      <c r="B1523" s="169">
        <f t="shared" si="47"/>
        <v>0.78046272493576052</v>
      </c>
      <c r="C1523">
        <v>2443</v>
      </c>
      <c r="E1523">
        <v>31</v>
      </c>
      <c r="F1523">
        <v>51</v>
      </c>
      <c r="G1523" s="15">
        <v>1.6451612903225801</v>
      </c>
      <c r="H1523" s="167">
        <f t="shared" si="46"/>
        <v>5.1413881748071976E-4</v>
      </c>
      <c r="I1523" s="167"/>
      <c r="J1523" s="167"/>
    </row>
    <row r="1524" spans="2:10" x14ac:dyDescent="0.25">
      <c r="B1524" s="169">
        <f t="shared" si="47"/>
        <v>0.78097686375324127</v>
      </c>
      <c r="C1524">
        <v>3644</v>
      </c>
      <c r="E1524">
        <v>44</v>
      </c>
      <c r="F1524">
        <v>73</v>
      </c>
      <c r="G1524" s="15">
        <v>1.6590909090909101</v>
      </c>
      <c r="H1524" s="167">
        <f t="shared" si="46"/>
        <v>5.1413881748071976E-4</v>
      </c>
      <c r="I1524" s="167"/>
      <c r="J1524" s="167"/>
    </row>
    <row r="1525" spans="2:10" x14ac:dyDescent="0.25">
      <c r="B1525" s="169">
        <f t="shared" si="47"/>
        <v>0.78149100257072202</v>
      </c>
      <c r="C1525">
        <v>4428</v>
      </c>
      <c r="E1525">
        <v>30</v>
      </c>
      <c r="F1525">
        <v>50</v>
      </c>
      <c r="G1525" s="15">
        <v>1.6666666666666701</v>
      </c>
      <c r="H1525" s="167">
        <f t="shared" si="46"/>
        <v>5.1413881748071976E-4</v>
      </c>
      <c r="I1525" s="167"/>
      <c r="J1525" s="167"/>
    </row>
    <row r="1526" spans="2:10" x14ac:dyDescent="0.25">
      <c r="B1526" s="169">
        <f t="shared" si="47"/>
        <v>0.78200514138820276</v>
      </c>
      <c r="C1526">
        <v>5581</v>
      </c>
      <c r="E1526">
        <v>3</v>
      </c>
      <c r="F1526">
        <v>5</v>
      </c>
      <c r="G1526" s="15">
        <v>1.6666666666666701</v>
      </c>
      <c r="H1526" s="167">
        <f t="shared" si="46"/>
        <v>5.1413881748071976E-4</v>
      </c>
      <c r="I1526" s="167"/>
      <c r="J1526" s="167"/>
    </row>
    <row r="1527" spans="2:10" x14ac:dyDescent="0.25">
      <c r="B1527" s="169">
        <f t="shared" si="47"/>
        <v>0.78251928020568351</v>
      </c>
      <c r="C1527">
        <v>4756</v>
      </c>
      <c r="E1527">
        <v>3</v>
      </c>
      <c r="F1527">
        <v>5</v>
      </c>
      <c r="G1527" s="15">
        <v>1.6666666666666701</v>
      </c>
      <c r="H1527" s="167">
        <f t="shared" si="46"/>
        <v>5.1413881748071976E-4</v>
      </c>
      <c r="I1527" s="167"/>
      <c r="J1527" s="167"/>
    </row>
    <row r="1528" spans="2:10" x14ac:dyDescent="0.25">
      <c r="B1528" s="169">
        <f t="shared" si="47"/>
        <v>0.78303341902316426</v>
      </c>
      <c r="C1528">
        <v>6054</v>
      </c>
      <c r="E1528">
        <v>15</v>
      </c>
      <c r="F1528">
        <v>25</v>
      </c>
      <c r="G1528" s="15">
        <v>1.6666666666666701</v>
      </c>
      <c r="H1528" s="167">
        <f t="shared" si="46"/>
        <v>5.1413881748071976E-4</v>
      </c>
      <c r="I1528" s="167"/>
      <c r="J1528" s="167"/>
    </row>
    <row r="1529" spans="2:10" x14ac:dyDescent="0.25">
      <c r="B1529" s="169">
        <f t="shared" si="47"/>
        <v>0.783547557840645</v>
      </c>
      <c r="C1529">
        <v>3913</v>
      </c>
      <c r="E1529">
        <v>30</v>
      </c>
      <c r="F1529">
        <v>50</v>
      </c>
      <c r="G1529" s="15">
        <v>1.6666666666666701</v>
      </c>
      <c r="H1529" s="167">
        <f t="shared" si="46"/>
        <v>5.1413881748071976E-4</v>
      </c>
      <c r="I1529" s="167"/>
      <c r="J1529" s="167"/>
    </row>
    <row r="1530" spans="2:10" x14ac:dyDescent="0.25">
      <c r="B1530" s="169">
        <f t="shared" si="47"/>
        <v>0.78406169665812575</v>
      </c>
      <c r="C1530">
        <v>1770</v>
      </c>
      <c r="E1530">
        <v>9</v>
      </c>
      <c r="F1530">
        <v>15</v>
      </c>
      <c r="G1530" s="15">
        <v>1.6666666666666701</v>
      </c>
      <c r="H1530" s="167">
        <f t="shared" si="46"/>
        <v>5.1413881748071976E-4</v>
      </c>
      <c r="I1530" s="167"/>
      <c r="J1530" s="167"/>
    </row>
    <row r="1531" spans="2:10" x14ac:dyDescent="0.25">
      <c r="B1531" s="169">
        <f t="shared" si="47"/>
        <v>0.7845758354756065</v>
      </c>
      <c r="C1531">
        <v>6952</v>
      </c>
      <c r="E1531">
        <v>3</v>
      </c>
      <c r="F1531">
        <v>5</v>
      </c>
      <c r="G1531" s="15">
        <v>1.6666666666666701</v>
      </c>
      <c r="H1531" s="167">
        <f t="shared" si="46"/>
        <v>5.1413881748071976E-4</v>
      </c>
      <c r="I1531" s="167"/>
      <c r="J1531" s="167"/>
    </row>
    <row r="1532" spans="2:10" x14ac:dyDescent="0.25">
      <c r="B1532" s="169">
        <f t="shared" si="47"/>
        <v>0.78508997429308724</v>
      </c>
      <c r="C1532">
        <v>5584</v>
      </c>
      <c r="E1532">
        <v>30</v>
      </c>
      <c r="F1532">
        <v>51</v>
      </c>
      <c r="G1532" s="15">
        <v>1.7</v>
      </c>
      <c r="H1532" s="167">
        <f t="shared" si="46"/>
        <v>5.1413881748071976E-4</v>
      </c>
      <c r="I1532" s="167"/>
      <c r="J1532" s="167"/>
    </row>
    <row r="1533" spans="2:10" x14ac:dyDescent="0.25">
      <c r="B1533" s="169">
        <f t="shared" si="47"/>
        <v>0.78560411311056799</v>
      </c>
      <c r="C1533">
        <v>3890</v>
      </c>
      <c r="E1533">
        <v>50</v>
      </c>
      <c r="F1533">
        <v>85</v>
      </c>
      <c r="G1533" s="15">
        <v>1.7</v>
      </c>
      <c r="H1533" s="167">
        <f t="shared" si="46"/>
        <v>5.1413881748071976E-4</v>
      </c>
      <c r="I1533" s="167"/>
      <c r="J1533" s="167"/>
    </row>
    <row r="1534" spans="2:10" x14ac:dyDescent="0.25">
      <c r="B1534" s="169">
        <f t="shared" si="47"/>
        <v>0.78611825192804874</v>
      </c>
      <c r="C1534">
        <v>1866</v>
      </c>
      <c r="E1534">
        <v>10</v>
      </c>
      <c r="F1534">
        <v>17</v>
      </c>
      <c r="G1534" s="15">
        <v>1.7</v>
      </c>
      <c r="H1534" s="167">
        <f t="shared" si="46"/>
        <v>5.1413881748071976E-4</v>
      </c>
      <c r="I1534" s="167"/>
      <c r="J1534" s="167"/>
    </row>
    <row r="1535" spans="2:10" x14ac:dyDescent="0.25">
      <c r="B1535" s="169">
        <f t="shared" si="47"/>
        <v>0.78663239074552949</v>
      </c>
      <c r="C1535">
        <v>6107</v>
      </c>
      <c r="E1535">
        <v>41</v>
      </c>
      <c r="F1535">
        <v>71</v>
      </c>
      <c r="G1535" s="15">
        <v>1.73170731707317</v>
      </c>
      <c r="H1535" s="167">
        <f t="shared" si="46"/>
        <v>5.1413881748071976E-4</v>
      </c>
      <c r="I1535" s="167"/>
      <c r="J1535" s="167"/>
    </row>
    <row r="1536" spans="2:10" x14ac:dyDescent="0.25">
      <c r="B1536" s="169">
        <f t="shared" si="47"/>
        <v>0.78714652956301023</v>
      </c>
      <c r="C1536">
        <v>6108</v>
      </c>
      <c r="E1536">
        <v>41</v>
      </c>
      <c r="F1536">
        <v>71</v>
      </c>
      <c r="G1536" s="15">
        <v>1.73170731707317</v>
      </c>
      <c r="H1536" s="167">
        <f t="shared" si="46"/>
        <v>5.1413881748071976E-4</v>
      </c>
      <c r="I1536" s="167"/>
      <c r="J1536" s="167"/>
    </row>
    <row r="1537" spans="2:10" x14ac:dyDescent="0.25">
      <c r="B1537" s="169">
        <f t="shared" si="47"/>
        <v>0.78766066838049098</v>
      </c>
      <c r="C1537">
        <v>6787</v>
      </c>
      <c r="E1537">
        <v>38</v>
      </c>
      <c r="F1537">
        <v>66</v>
      </c>
      <c r="G1537" s="15">
        <v>1.73684210526316</v>
      </c>
      <c r="H1537" s="167">
        <f t="shared" si="46"/>
        <v>5.1413881748071976E-4</v>
      </c>
      <c r="I1537" s="167"/>
      <c r="J1537" s="167"/>
    </row>
    <row r="1538" spans="2:10" x14ac:dyDescent="0.25">
      <c r="B1538" s="169">
        <f t="shared" si="47"/>
        <v>0.78817480719797173</v>
      </c>
      <c r="C1538">
        <v>4365</v>
      </c>
      <c r="E1538">
        <v>121</v>
      </c>
      <c r="F1538">
        <v>211</v>
      </c>
      <c r="G1538" s="15">
        <v>1.74380165289256</v>
      </c>
      <c r="H1538" s="167">
        <f t="shared" si="46"/>
        <v>5.1413881748071976E-4</v>
      </c>
      <c r="I1538" s="167"/>
      <c r="J1538" s="167"/>
    </row>
    <row r="1539" spans="2:10" x14ac:dyDescent="0.25">
      <c r="B1539" s="169">
        <f t="shared" si="47"/>
        <v>0.78868894601545247</v>
      </c>
      <c r="C1539">
        <v>5952</v>
      </c>
      <c r="E1539">
        <v>20</v>
      </c>
      <c r="F1539">
        <v>35</v>
      </c>
      <c r="G1539" s="15">
        <v>1.75</v>
      </c>
      <c r="H1539" s="167">
        <f t="shared" si="46"/>
        <v>5.1413881748071976E-4</v>
      </c>
      <c r="I1539" s="167"/>
      <c r="J1539" s="167"/>
    </row>
    <row r="1540" spans="2:10" x14ac:dyDescent="0.25">
      <c r="B1540" s="169">
        <f t="shared" si="47"/>
        <v>0.78920308483293322</v>
      </c>
      <c r="C1540">
        <v>6486</v>
      </c>
      <c r="E1540">
        <v>25</v>
      </c>
      <c r="F1540">
        <v>44</v>
      </c>
      <c r="G1540" s="15">
        <v>1.76</v>
      </c>
      <c r="H1540" s="167">
        <f t="shared" si="46"/>
        <v>5.1413881748071976E-4</v>
      </c>
      <c r="I1540" s="167"/>
      <c r="J1540" s="167"/>
    </row>
    <row r="1541" spans="2:10" x14ac:dyDescent="0.25">
      <c r="B1541" s="169">
        <f t="shared" si="47"/>
        <v>0.78971722365041397</v>
      </c>
      <c r="C1541">
        <v>4791</v>
      </c>
      <c r="E1541">
        <v>34</v>
      </c>
      <c r="F1541">
        <v>60</v>
      </c>
      <c r="G1541" s="15">
        <v>1.76470588235294</v>
      </c>
      <c r="H1541" s="167">
        <f t="shared" si="46"/>
        <v>5.1413881748071976E-4</v>
      </c>
      <c r="I1541" s="167"/>
      <c r="J1541" s="167"/>
    </row>
    <row r="1542" spans="2:10" x14ac:dyDescent="0.25">
      <c r="B1542" s="169">
        <f t="shared" si="47"/>
        <v>0.79023136246789472</v>
      </c>
      <c r="C1542">
        <v>3975</v>
      </c>
      <c r="E1542">
        <v>90</v>
      </c>
      <c r="F1542">
        <v>160</v>
      </c>
      <c r="G1542" s="15">
        <v>1.7777777777777799</v>
      </c>
      <c r="H1542" s="167">
        <f t="shared" ref="H1542:H1605" si="48">1/$L$6</f>
        <v>5.1413881748071976E-4</v>
      </c>
      <c r="I1542" s="167"/>
      <c r="J1542" s="167"/>
    </row>
    <row r="1543" spans="2:10" x14ac:dyDescent="0.25">
      <c r="B1543" s="169">
        <f t="shared" ref="B1543:B1606" si="49">B1542+H1543</f>
        <v>0.79074550128537546</v>
      </c>
      <c r="C1543">
        <v>5489</v>
      </c>
      <c r="E1543">
        <v>27</v>
      </c>
      <c r="F1543">
        <v>48</v>
      </c>
      <c r="G1543" s="15">
        <v>1.7777777777777799</v>
      </c>
      <c r="H1543" s="167">
        <f t="shared" si="48"/>
        <v>5.1413881748071976E-4</v>
      </c>
      <c r="I1543" s="167"/>
      <c r="J1543" s="167"/>
    </row>
    <row r="1544" spans="2:10" x14ac:dyDescent="0.25">
      <c r="B1544" s="169">
        <f t="shared" si="49"/>
        <v>0.79125964010285621</v>
      </c>
      <c r="C1544">
        <v>4522</v>
      </c>
      <c r="E1544">
        <v>172</v>
      </c>
      <c r="F1544">
        <v>308</v>
      </c>
      <c r="G1544" s="15">
        <v>1.7906976744186001</v>
      </c>
      <c r="H1544" s="167">
        <f t="shared" si="48"/>
        <v>5.1413881748071976E-4</v>
      </c>
      <c r="I1544" s="167"/>
      <c r="J1544" s="167"/>
    </row>
    <row r="1545" spans="2:10" x14ac:dyDescent="0.25">
      <c r="B1545" s="169">
        <f t="shared" si="49"/>
        <v>0.79177377892033696</v>
      </c>
      <c r="C1545">
        <v>3629</v>
      </c>
      <c r="E1545">
        <v>30</v>
      </c>
      <c r="F1545">
        <v>54</v>
      </c>
      <c r="G1545" s="15">
        <v>1.8</v>
      </c>
      <c r="H1545" s="167">
        <f t="shared" si="48"/>
        <v>5.1413881748071976E-4</v>
      </c>
      <c r="I1545" s="167"/>
      <c r="J1545" s="167"/>
    </row>
    <row r="1546" spans="2:10" x14ac:dyDescent="0.25">
      <c r="B1546" s="169">
        <f t="shared" si="49"/>
        <v>0.7922879177378177</v>
      </c>
      <c r="C1546">
        <v>4252</v>
      </c>
      <c r="E1546">
        <v>5</v>
      </c>
      <c r="F1546">
        <v>9</v>
      </c>
      <c r="G1546" s="15">
        <v>1.8</v>
      </c>
      <c r="H1546" s="167">
        <f t="shared" si="48"/>
        <v>5.1413881748071976E-4</v>
      </c>
      <c r="I1546" s="167"/>
      <c r="J1546" s="167"/>
    </row>
    <row r="1547" spans="2:10" x14ac:dyDescent="0.25">
      <c r="B1547" s="169">
        <f t="shared" si="49"/>
        <v>0.79280205655529845</v>
      </c>
      <c r="C1547">
        <v>4773</v>
      </c>
      <c r="E1547">
        <v>35</v>
      </c>
      <c r="F1547">
        <v>63</v>
      </c>
      <c r="G1547" s="15">
        <v>1.8</v>
      </c>
      <c r="H1547" s="167">
        <f t="shared" si="48"/>
        <v>5.1413881748071976E-4</v>
      </c>
      <c r="I1547" s="167"/>
      <c r="J1547" s="167"/>
    </row>
    <row r="1548" spans="2:10" x14ac:dyDescent="0.25">
      <c r="B1548" s="169">
        <f t="shared" si="49"/>
        <v>0.7933161953727792</v>
      </c>
      <c r="C1548">
        <v>4789</v>
      </c>
      <c r="E1548">
        <v>35</v>
      </c>
      <c r="F1548">
        <v>63</v>
      </c>
      <c r="G1548" s="15">
        <v>1.8</v>
      </c>
      <c r="H1548" s="167">
        <f t="shared" si="48"/>
        <v>5.1413881748071976E-4</v>
      </c>
      <c r="I1548" s="167"/>
      <c r="J1548" s="167"/>
    </row>
    <row r="1549" spans="2:10" x14ac:dyDescent="0.25">
      <c r="B1549" s="169">
        <f t="shared" si="49"/>
        <v>0.79383033419025995</v>
      </c>
      <c r="C1549">
        <v>4899</v>
      </c>
      <c r="E1549">
        <v>10</v>
      </c>
      <c r="F1549">
        <v>18</v>
      </c>
      <c r="G1549" s="15">
        <v>1.8</v>
      </c>
      <c r="H1549" s="167">
        <f t="shared" si="48"/>
        <v>5.1413881748071976E-4</v>
      </c>
      <c r="I1549" s="167"/>
      <c r="J1549" s="167"/>
    </row>
    <row r="1550" spans="2:10" x14ac:dyDescent="0.25">
      <c r="B1550" s="169">
        <f t="shared" si="49"/>
        <v>0.79434447300774069</v>
      </c>
      <c r="C1550">
        <v>3934</v>
      </c>
      <c r="E1550">
        <v>40</v>
      </c>
      <c r="F1550">
        <v>72</v>
      </c>
      <c r="G1550" s="15">
        <v>1.8</v>
      </c>
      <c r="H1550" s="167">
        <f t="shared" si="48"/>
        <v>5.1413881748071976E-4</v>
      </c>
      <c r="I1550" s="167"/>
      <c r="J1550" s="167"/>
    </row>
    <row r="1551" spans="2:10" x14ac:dyDescent="0.25">
      <c r="B1551" s="169">
        <f t="shared" si="49"/>
        <v>0.79485861182522144</v>
      </c>
      <c r="C1551">
        <v>6128</v>
      </c>
      <c r="E1551">
        <v>5</v>
      </c>
      <c r="F1551">
        <v>9</v>
      </c>
      <c r="G1551" s="15">
        <v>1.8</v>
      </c>
      <c r="H1551" s="167">
        <f t="shared" si="48"/>
        <v>5.1413881748071976E-4</v>
      </c>
      <c r="I1551" s="167"/>
      <c r="J1551" s="167"/>
    </row>
    <row r="1552" spans="2:10" x14ac:dyDescent="0.25">
      <c r="B1552" s="169">
        <f t="shared" si="49"/>
        <v>0.79537275064270219</v>
      </c>
      <c r="C1552">
        <v>6129</v>
      </c>
      <c r="E1552">
        <v>5</v>
      </c>
      <c r="F1552">
        <v>9</v>
      </c>
      <c r="G1552" s="15">
        <v>1.8</v>
      </c>
      <c r="H1552" s="167">
        <f t="shared" si="48"/>
        <v>5.1413881748071976E-4</v>
      </c>
      <c r="I1552" s="167"/>
      <c r="J1552" s="167"/>
    </row>
    <row r="1553" spans="2:10" x14ac:dyDescent="0.25">
      <c r="B1553" s="169">
        <f t="shared" si="49"/>
        <v>0.79588688946018293</v>
      </c>
      <c r="C1553">
        <v>3645</v>
      </c>
      <c r="E1553">
        <v>20</v>
      </c>
      <c r="F1553">
        <v>36</v>
      </c>
      <c r="G1553" s="15">
        <v>1.8</v>
      </c>
      <c r="H1553" s="167">
        <f t="shared" si="48"/>
        <v>5.1413881748071976E-4</v>
      </c>
      <c r="I1553" s="167"/>
      <c r="J1553" s="167"/>
    </row>
    <row r="1554" spans="2:10" x14ac:dyDescent="0.25">
      <c r="B1554" s="169">
        <f t="shared" si="49"/>
        <v>0.79640102827766368</v>
      </c>
      <c r="C1554">
        <v>7128</v>
      </c>
      <c r="E1554">
        <v>15</v>
      </c>
      <c r="F1554">
        <v>27</v>
      </c>
      <c r="G1554" s="15">
        <v>1.8</v>
      </c>
      <c r="H1554" s="167">
        <f t="shared" si="48"/>
        <v>5.1413881748071976E-4</v>
      </c>
      <c r="I1554" s="167"/>
      <c r="J1554" s="167"/>
    </row>
    <row r="1555" spans="2:10" x14ac:dyDescent="0.25">
      <c r="B1555" s="169">
        <f t="shared" si="49"/>
        <v>0.79691516709514443</v>
      </c>
      <c r="C1555">
        <v>5460</v>
      </c>
      <c r="E1555">
        <v>15</v>
      </c>
      <c r="F1555">
        <v>27</v>
      </c>
      <c r="G1555" s="15">
        <v>1.8</v>
      </c>
      <c r="H1555" s="167">
        <f t="shared" si="48"/>
        <v>5.1413881748071976E-4</v>
      </c>
      <c r="I1555" s="167"/>
      <c r="J1555" s="167"/>
    </row>
    <row r="1556" spans="2:10" x14ac:dyDescent="0.25">
      <c r="B1556" s="169">
        <f t="shared" si="49"/>
        <v>0.79742930591262517</v>
      </c>
      <c r="C1556">
        <v>4792</v>
      </c>
      <c r="E1556">
        <v>33</v>
      </c>
      <c r="F1556">
        <v>60</v>
      </c>
      <c r="G1556" s="15">
        <v>1.8181818181818199</v>
      </c>
      <c r="H1556" s="167">
        <f t="shared" si="48"/>
        <v>5.1413881748071976E-4</v>
      </c>
      <c r="I1556" s="167"/>
      <c r="J1556" s="167"/>
    </row>
    <row r="1557" spans="2:10" x14ac:dyDescent="0.25">
      <c r="B1557" s="169">
        <f t="shared" si="49"/>
        <v>0.79794344473010592</v>
      </c>
      <c r="C1557">
        <v>4442</v>
      </c>
      <c r="E1557">
        <v>30</v>
      </c>
      <c r="F1557">
        <v>55</v>
      </c>
      <c r="G1557" s="15">
        <v>1.8333333333333299</v>
      </c>
      <c r="H1557" s="167">
        <f t="shared" si="48"/>
        <v>5.1413881748071976E-4</v>
      </c>
      <c r="I1557" s="167"/>
      <c r="J1557" s="167"/>
    </row>
    <row r="1558" spans="2:10" x14ac:dyDescent="0.25">
      <c r="B1558" s="169">
        <f t="shared" si="49"/>
        <v>0.79845758354758667</v>
      </c>
      <c r="C1558">
        <v>3885</v>
      </c>
      <c r="E1558">
        <v>30</v>
      </c>
      <c r="F1558">
        <v>55</v>
      </c>
      <c r="G1558" s="15">
        <v>1.8333333333333299</v>
      </c>
      <c r="H1558" s="167">
        <f t="shared" si="48"/>
        <v>5.1413881748071976E-4</v>
      </c>
      <c r="I1558" s="167"/>
      <c r="J1558" s="167"/>
    </row>
    <row r="1559" spans="2:10" x14ac:dyDescent="0.25">
      <c r="B1559" s="169">
        <f t="shared" si="49"/>
        <v>0.79897172236506742</v>
      </c>
      <c r="C1559">
        <v>3654</v>
      </c>
      <c r="E1559">
        <v>120</v>
      </c>
      <c r="F1559">
        <v>221</v>
      </c>
      <c r="G1559" s="15">
        <v>1.8416666666666699</v>
      </c>
      <c r="H1559" s="167">
        <f t="shared" si="48"/>
        <v>5.1413881748071976E-4</v>
      </c>
      <c r="I1559" s="167"/>
      <c r="J1559" s="167"/>
    </row>
    <row r="1560" spans="2:10" x14ac:dyDescent="0.25">
      <c r="B1560" s="169">
        <f t="shared" si="49"/>
        <v>0.79948586118254816</v>
      </c>
      <c r="C1560">
        <v>6119</v>
      </c>
      <c r="E1560">
        <v>39</v>
      </c>
      <c r="F1560">
        <v>72</v>
      </c>
      <c r="G1560" s="15">
        <v>1.84615384615385</v>
      </c>
      <c r="H1560" s="167">
        <f t="shared" si="48"/>
        <v>5.1413881748071976E-4</v>
      </c>
      <c r="I1560" s="167"/>
      <c r="J1560" s="167"/>
    </row>
    <row r="1561" spans="2:10" x14ac:dyDescent="0.25">
      <c r="B1561" s="169">
        <f t="shared" si="49"/>
        <v>0.80000000000002891</v>
      </c>
      <c r="C1561">
        <v>6125</v>
      </c>
      <c r="E1561">
        <v>39</v>
      </c>
      <c r="F1561">
        <v>72</v>
      </c>
      <c r="G1561" s="15">
        <v>1.84615384615385</v>
      </c>
      <c r="H1561" s="167">
        <f t="shared" si="48"/>
        <v>5.1413881748071976E-4</v>
      </c>
      <c r="I1561" s="167"/>
      <c r="J1561" s="167"/>
    </row>
    <row r="1562" spans="2:10" x14ac:dyDescent="0.25">
      <c r="B1562" s="169">
        <f t="shared" si="49"/>
        <v>0.80051413881750966</v>
      </c>
      <c r="C1562">
        <v>6859</v>
      </c>
      <c r="E1562">
        <v>20</v>
      </c>
      <c r="F1562">
        <v>37</v>
      </c>
      <c r="G1562" s="15">
        <v>1.85</v>
      </c>
      <c r="H1562" s="167">
        <f t="shared" si="48"/>
        <v>5.1413881748071976E-4</v>
      </c>
      <c r="I1562" s="167"/>
      <c r="J1562" s="167"/>
    </row>
    <row r="1563" spans="2:10" x14ac:dyDescent="0.25">
      <c r="B1563" s="169">
        <f t="shared" si="49"/>
        <v>0.8010282776349904</v>
      </c>
      <c r="C1563">
        <v>3836</v>
      </c>
      <c r="E1563">
        <v>14</v>
      </c>
      <c r="F1563">
        <v>26</v>
      </c>
      <c r="G1563" s="15">
        <v>1.8571428571428601</v>
      </c>
      <c r="H1563" s="167">
        <f t="shared" si="48"/>
        <v>5.1413881748071976E-4</v>
      </c>
      <c r="I1563" s="167"/>
      <c r="J1563" s="167"/>
    </row>
    <row r="1564" spans="2:10" x14ac:dyDescent="0.25">
      <c r="B1564" s="169">
        <f t="shared" si="49"/>
        <v>0.80154241645247115</v>
      </c>
      <c r="C1564">
        <v>2675</v>
      </c>
      <c r="E1564">
        <v>37</v>
      </c>
      <c r="F1564">
        <v>69</v>
      </c>
      <c r="G1564" s="15">
        <v>1.86486486486486</v>
      </c>
      <c r="H1564" s="167">
        <f t="shared" si="48"/>
        <v>5.1413881748071976E-4</v>
      </c>
      <c r="I1564" s="167"/>
      <c r="J1564" s="167"/>
    </row>
    <row r="1565" spans="2:10" x14ac:dyDescent="0.25">
      <c r="B1565" s="169">
        <f t="shared" si="49"/>
        <v>0.8020565552699519</v>
      </c>
      <c r="C1565">
        <v>4403</v>
      </c>
      <c r="E1565">
        <v>40</v>
      </c>
      <c r="F1565">
        <v>75</v>
      </c>
      <c r="G1565" s="15">
        <v>1.875</v>
      </c>
      <c r="H1565" s="167">
        <f t="shared" si="48"/>
        <v>5.1413881748071976E-4</v>
      </c>
      <c r="I1565" s="167"/>
      <c r="J1565" s="167"/>
    </row>
    <row r="1566" spans="2:10" x14ac:dyDescent="0.25">
      <c r="B1566" s="169">
        <f t="shared" si="49"/>
        <v>0.80257069408743265</v>
      </c>
      <c r="C1566">
        <v>3908</v>
      </c>
      <c r="E1566">
        <v>75</v>
      </c>
      <c r="F1566">
        <v>142</v>
      </c>
      <c r="G1566" s="15">
        <v>1.89333333333333</v>
      </c>
      <c r="H1566" s="167">
        <f t="shared" si="48"/>
        <v>5.1413881748071976E-4</v>
      </c>
      <c r="I1566" s="167"/>
      <c r="J1566" s="167"/>
    </row>
    <row r="1567" spans="2:10" x14ac:dyDescent="0.25">
      <c r="B1567" s="169">
        <f t="shared" si="49"/>
        <v>0.80308483290491339</v>
      </c>
      <c r="C1567">
        <v>2606</v>
      </c>
      <c r="E1567">
        <v>13</v>
      </c>
      <c r="F1567">
        <v>25</v>
      </c>
      <c r="G1567" s="15">
        <v>1.92307692307692</v>
      </c>
      <c r="H1567" s="167">
        <f t="shared" si="48"/>
        <v>5.1413881748071976E-4</v>
      </c>
      <c r="I1567" s="167"/>
      <c r="J1567" s="167"/>
    </row>
    <row r="1568" spans="2:10" x14ac:dyDescent="0.25">
      <c r="B1568" s="169">
        <f t="shared" si="49"/>
        <v>0.80359897172239414</v>
      </c>
      <c r="C1568">
        <v>2687</v>
      </c>
      <c r="E1568">
        <v>13</v>
      </c>
      <c r="F1568">
        <v>25</v>
      </c>
      <c r="G1568" s="15">
        <v>1.92307692307692</v>
      </c>
      <c r="H1568" s="167">
        <f t="shared" si="48"/>
        <v>5.1413881748071976E-4</v>
      </c>
      <c r="I1568" s="167"/>
      <c r="J1568" s="167"/>
    </row>
    <row r="1569" spans="2:10" x14ac:dyDescent="0.25">
      <c r="B1569" s="169">
        <f t="shared" si="49"/>
        <v>0.80411311053987489</v>
      </c>
      <c r="C1569">
        <v>4385</v>
      </c>
      <c r="E1569">
        <v>103</v>
      </c>
      <c r="F1569">
        <v>199</v>
      </c>
      <c r="G1569" s="15">
        <v>1.9320388349514599</v>
      </c>
      <c r="H1569" s="167">
        <f t="shared" si="48"/>
        <v>5.1413881748071976E-4</v>
      </c>
      <c r="I1569" s="167"/>
      <c r="J1569" s="167"/>
    </row>
    <row r="1570" spans="2:10" x14ac:dyDescent="0.25">
      <c r="B1570" s="169">
        <f t="shared" si="49"/>
        <v>0.80462724935735563</v>
      </c>
      <c r="C1570">
        <v>6446</v>
      </c>
      <c r="E1570">
        <v>15</v>
      </c>
      <c r="F1570">
        <v>29</v>
      </c>
      <c r="G1570" s="15">
        <v>1.93333333333333</v>
      </c>
      <c r="H1570" s="167">
        <f t="shared" si="48"/>
        <v>5.1413881748071976E-4</v>
      </c>
      <c r="I1570" s="167"/>
      <c r="J1570" s="167"/>
    </row>
    <row r="1571" spans="2:10" x14ac:dyDescent="0.25">
      <c r="B1571" s="169">
        <f t="shared" si="49"/>
        <v>0.80514138817483638</v>
      </c>
      <c r="C1571">
        <v>4290</v>
      </c>
      <c r="E1571">
        <v>92</v>
      </c>
      <c r="F1571">
        <v>179</v>
      </c>
      <c r="G1571" s="15">
        <v>1.9456521739130399</v>
      </c>
      <c r="H1571" s="167">
        <f t="shared" si="48"/>
        <v>5.1413881748071976E-4</v>
      </c>
      <c r="I1571" s="167"/>
      <c r="J1571" s="167"/>
    </row>
    <row r="1572" spans="2:10" x14ac:dyDescent="0.25">
      <c r="B1572" s="169">
        <f t="shared" si="49"/>
        <v>0.80565552699231713</v>
      </c>
      <c r="C1572">
        <v>3612</v>
      </c>
      <c r="E1572">
        <v>20</v>
      </c>
      <c r="F1572">
        <v>39</v>
      </c>
      <c r="G1572" s="15">
        <v>1.95</v>
      </c>
      <c r="H1572" s="167">
        <f t="shared" si="48"/>
        <v>5.1413881748071976E-4</v>
      </c>
      <c r="I1572" s="167"/>
      <c r="J1572" s="167"/>
    </row>
    <row r="1573" spans="2:10" x14ac:dyDescent="0.25">
      <c r="B1573" s="169">
        <f t="shared" si="49"/>
        <v>0.80616966580979788</v>
      </c>
      <c r="C1573">
        <v>3660</v>
      </c>
      <c r="E1573">
        <v>80</v>
      </c>
      <c r="F1573">
        <v>156</v>
      </c>
      <c r="G1573" s="15">
        <v>1.95</v>
      </c>
      <c r="H1573" s="167">
        <f t="shared" si="48"/>
        <v>5.1413881748071976E-4</v>
      </c>
      <c r="I1573" s="167"/>
      <c r="J1573" s="167"/>
    </row>
    <row r="1574" spans="2:10" x14ac:dyDescent="0.25">
      <c r="B1574" s="169">
        <f t="shared" si="49"/>
        <v>0.80668380462727862</v>
      </c>
      <c r="C1574">
        <v>3718</v>
      </c>
      <c r="E1574">
        <v>2</v>
      </c>
      <c r="F1574">
        <v>4</v>
      </c>
      <c r="G1574" s="15">
        <v>2</v>
      </c>
      <c r="H1574" s="167">
        <f t="shared" si="48"/>
        <v>5.1413881748071976E-4</v>
      </c>
      <c r="I1574" s="167"/>
      <c r="J1574" s="167"/>
    </row>
    <row r="1575" spans="2:10" x14ac:dyDescent="0.25">
      <c r="B1575" s="169">
        <f t="shared" si="49"/>
        <v>0.80719794344475937</v>
      </c>
      <c r="C1575">
        <v>3698</v>
      </c>
      <c r="E1575">
        <v>1</v>
      </c>
      <c r="F1575">
        <v>2</v>
      </c>
      <c r="G1575" s="15">
        <v>2</v>
      </c>
      <c r="H1575" s="167">
        <f t="shared" si="48"/>
        <v>5.1413881748071976E-4</v>
      </c>
      <c r="I1575" s="167"/>
      <c r="J1575" s="167"/>
    </row>
    <row r="1576" spans="2:10" x14ac:dyDescent="0.25">
      <c r="B1576" s="169">
        <f t="shared" si="49"/>
        <v>0.80771208226224012</v>
      </c>
      <c r="C1576">
        <v>3720</v>
      </c>
      <c r="E1576">
        <v>2</v>
      </c>
      <c r="F1576">
        <v>4</v>
      </c>
      <c r="G1576" s="15">
        <v>2</v>
      </c>
      <c r="H1576" s="167">
        <f t="shared" si="48"/>
        <v>5.1413881748071976E-4</v>
      </c>
      <c r="I1576" s="167"/>
      <c r="J1576" s="167"/>
    </row>
    <row r="1577" spans="2:10" x14ac:dyDescent="0.25">
      <c r="B1577" s="169">
        <f t="shared" si="49"/>
        <v>0.80822622107972086</v>
      </c>
      <c r="C1577">
        <v>3703</v>
      </c>
      <c r="E1577">
        <v>5</v>
      </c>
      <c r="F1577">
        <v>10</v>
      </c>
      <c r="G1577" s="15">
        <v>2</v>
      </c>
      <c r="H1577" s="167">
        <f t="shared" si="48"/>
        <v>5.1413881748071976E-4</v>
      </c>
      <c r="I1577" s="167"/>
      <c r="J1577" s="167"/>
    </row>
    <row r="1578" spans="2:10" x14ac:dyDescent="0.25">
      <c r="B1578" s="169">
        <f t="shared" si="49"/>
        <v>0.80874035989720161</v>
      </c>
      <c r="C1578">
        <v>4862</v>
      </c>
      <c r="E1578">
        <v>20</v>
      </c>
      <c r="F1578">
        <v>40</v>
      </c>
      <c r="G1578" s="15">
        <v>2</v>
      </c>
      <c r="H1578" s="167">
        <f t="shared" si="48"/>
        <v>5.1413881748071976E-4</v>
      </c>
      <c r="I1578" s="167"/>
      <c r="J1578" s="167"/>
    </row>
    <row r="1579" spans="2:10" x14ac:dyDescent="0.25">
      <c r="B1579" s="169">
        <f t="shared" si="49"/>
        <v>0.80925449871468236</v>
      </c>
      <c r="C1579">
        <v>3704</v>
      </c>
      <c r="E1579">
        <v>5</v>
      </c>
      <c r="F1579">
        <v>10</v>
      </c>
      <c r="G1579" s="15">
        <v>2</v>
      </c>
      <c r="H1579" s="167">
        <f t="shared" si="48"/>
        <v>5.1413881748071976E-4</v>
      </c>
      <c r="I1579" s="167"/>
      <c r="J1579" s="167"/>
    </row>
    <row r="1580" spans="2:10" x14ac:dyDescent="0.25">
      <c r="B1580" s="169">
        <f t="shared" si="49"/>
        <v>0.8097686375321631</v>
      </c>
      <c r="C1580">
        <v>3666</v>
      </c>
      <c r="E1580">
        <v>80</v>
      </c>
      <c r="F1580">
        <v>160</v>
      </c>
      <c r="G1580" s="15">
        <v>2</v>
      </c>
      <c r="H1580" s="167">
        <f t="shared" si="48"/>
        <v>5.1413881748071976E-4</v>
      </c>
      <c r="I1580" s="167"/>
      <c r="J1580" s="167"/>
    </row>
    <row r="1581" spans="2:10" x14ac:dyDescent="0.25">
      <c r="B1581" s="169">
        <f t="shared" si="49"/>
        <v>0.81028277634964385</v>
      </c>
      <c r="C1581">
        <v>3714</v>
      </c>
      <c r="E1581">
        <v>2</v>
      </c>
      <c r="F1581">
        <v>4</v>
      </c>
      <c r="G1581" s="15">
        <v>2</v>
      </c>
      <c r="H1581" s="167">
        <f t="shared" si="48"/>
        <v>5.1413881748071976E-4</v>
      </c>
      <c r="I1581" s="167"/>
      <c r="J1581" s="167"/>
    </row>
    <row r="1582" spans="2:10" x14ac:dyDescent="0.25">
      <c r="B1582" s="169">
        <f t="shared" si="49"/>
        <v>0.8107969151671246</v>
      </c>
      <c r="C1582">
        <v>3737</v>
      </c>
      <c r="E1582">
        <v>2</v>
      </c>
      <c r="F1582">
        <v>4</v>
      </c>
      <c r="G1582" s="15">
        <v>2</v>
      </c>
      <c r="H1582" s="167">
        <f t="shared" si="48"/>
        <v>5.1413881748071976E-4</v>
      </c>
      <c r="I1582" s="167"/>
      <c r="J1582" s="167"/>
    </row>
    <row r="1583" spans="2:10" x14ac:dyDescent="0.25">
      <c r="B1583" s="169">
        <f t="shared" si="49"/>
        <v>0.81131105398460535</v>
      </c>
      <c r="C1583">
        <v>3740</v>
      </c>
      <c r="E1583">
        <v>1</v>
      </c>
      <c r="F1583">
        <v>2</v>
      </c>
      <c r="G1583" s="15">
        <v>2</v>
      </c>
      <c r="H1583" s="167">
        <f t="shared" si="48"/>
        <v>5.1413881748071976E-4</v>
      </c>
      <c r="I1583" s="167"/>
      <c r="J1583" s="167"/>
    </row>
    <row r="1584" spans="2:10" x14ac:dyDescent="0.25">
      <c r="B1584" s="169">
        <f t="shared" si="49"/>
        <v>0.81182519280208609</v>
      </c>
      <c r="C1584">
        <v>3741</v>
      </c>
      <c r="E1584">
        <v>2</v>
      </c>
      <c r="F1584">
        <v>4</v>
      </c>
      <c r="G1584" s="15">
        <v>2</v>
      </c>
      <c r="H1584" s="167">
        <f t="shared" si="48"/>
        <v>5.1413881748071976E-4</v>
      </c>
      <c r="I1584" s="167"/>
      <c r="J1584" s="167"/>
    </row>
    <row r="1585" spans="2:10" x14ac:dyDescent="0.25">
      <c r="B1585" s="169">
        <f t="shared" si="49"/>
        <v>0.81233933161956684</v>
      </c>
      <c r="C1585">
        <v>3764</v>
      </c>
      <c r="E1585">
        <v>5</v>
      </c>
      <c r="F1585">
        <v>10</v>
      </c>
      <c r="G1585" s="15">
        <v>2</v>
      </c>
      <c r="H1585" s="167">
        <f t="shared" si="48"/>
        <v>5.1413881748071976E-4</v>
      </c>
      <c r="I1585" s="167"/>
      <c r="J1585" s="167"/>
    </row>
    <row r="1586" spans="2:10" x14ac:dyDescent="0.25">
      <c r="B1586" s="169">
        <f t="shared" si="49"/>
        <v>0.81285347043704759</v>
      </c>
      <c r="C1586">
        <v>5627</v>
      </c>
      <c r="E1586">
        <v>1</v>
      </c>
      <c r="F1586">
        <v>2</v>
      </c>
      <c r="G1586" s="15">
        <v>2</v>
      </c>
      <c r="H1586" s="167">
        <f t="shared" si="48"/>
        <v>5.1413881748071976E-4</v>
      </c>
      <c r="I1586" s="167"/>
      <c r="J1586" s="167"/>
    </row>
    <row r="1587" spans="2:10" x14ac:dyDescent="0.25">
      <c r="B1587" s="169">
        <f t="shared" si="49"/>
        <v>0.81336760925452833</v>
      </c>
      <c r="C1587">
        <v>5654</v>
      </c>
      <c r="E1587">
        <v>3</v>
      </c>
      <c r="F1587">
        <v>6</v>
      </c>
      <c r="G1587" s="15">
        <v>2</v>
      </c>
      <c r="H1587" s="167">
        <f t="shared" si="48"/>
        <v>5.1413881748071976E-4</v>
      </c>
      <c r="I1587" s="167"/>
      <c r="J1587" s="167"/>
    </row>
    <row r="1588" spans="2:10" x14ac:dyDescent="0.25">
      <c r="B1588" s="169">
        <f t="shared" si="49"/>
        <v>0.81388174807200908</v>
      </c>
      <c r="C1588">
        <v>3900</v>
      </c>
      <c r="E1588">
        <v>15</v>
      </c>
      <c r="F1588">
        <v>30</v>
      </c>
      <c r="G1588" s="15">
        <v>2</v>
      </c>
      <c r="H1588" s="167">
        <f t="shared" si="48"/>
        <v>5.1413881748071976E-4</v>
      </c>
      <c r="I1588" s="167"/>
      <c r="J1588" s="167"/>
    </row>
    <row r="1589" spans="2:10" x14ac:dyDescent="0.25">
      <c r="B1589" s="169">
        <f t="shared" si="49"/>
        <v>0.81439588688948983</v>
      </c>
      <c r="C1589">
        <v>3902</v>
      </c>
      <c r="E1589">
        <v>25</v>
      </c>
      <c r="F1589">
        <v>50</v>
      </c>
      <c r="G1589" s="15">
        <v>2</v>
      </c>
      <c r="H1589" s="167">
        <f t="shared" si="48"/>
        <v>5.1413881748071976E-4</v>
      </c>
      <c r="I1589" s="167"/>
      <c r="J1589" s="167"/>
    </row>
    <row r="1590" spans="2:10" x14ac:dyDescent="0.25">
      <c r="B1590" s="169">
        <f t="shared" si="49"/>
        <v>0.81491002570697058</v>
      </c>
      <c r="C1590">
        <v>5892</v>
      </c>
      <c r="E1590">
        <v>2</v>
      </c>
      <c r="F1590">
        <v>4</v>
      </c>
      <c r="G1590" s="15">
        <v>2</v>
      </c>
      <c r="H1590" s="167">
        <f t="shared" si="48"/>
        <v>5.1413881748071976E-4</v>
      </c>
      <c r="I1590" s="167"/>
      <c r="J1590" s="167"/>
    </row>
    <row r="1591" spans="2:10" x14ac:dyDescent="0.25">
      <c r="B1591" s="169">
        <f t="shared" si="49"/>
        <v>0.81542416452445132</v>
      </c>
      <c r="C1591">
        <v>2489</v>
      </c>
      <c r="E1591">
        <v>3</v>
      </c>
      <c r="F1591">
        <v>6</v>
      </c>
      <c r="G1591" s="15">
        <v>2</v>
      </c>
      <c r="H1591" s="167">
        <f t="shared" si="48"/>
        <v>5.1413881748071976E-4</v>
      </c>
      <c r="I1591" s="167"/>
      <c r="J1591" s="167"/>
    </row>
    <row r="1592" spans="2:10" x14ac:dyDescent="0.25">
      <c r="B1592" s="169">
        <f t="shared" si="49"/>
        <v>0.81593830334193207</v>
      </c>
      <c r="C1592">
        <v>6785</v>
      </c>
      <c r="E1592">
        <v>1</v>
      </c>
      <c r="F1592">
        <v>2</v>
      </c>
      <c r="G1592" s="15">
        <v>2</v>
      </c>
      <c r="H1592" s="167">
        <f t="shared" si="48"/>
        <v>5.1413881748071976E-4</v>
      </c>
      <c r="I1592" s="167"/>
      <c r="J1592" s="167"/>
    </row>
    <row r="1593" spans="2:10" x14ac:dyDescent="0.25">
      <c r="B1593" s="169">
        <f t="shared" si="49"/>
        <v>0.81645244215941282</v>
      </c>
      <c r="C1593">
        <v>5891</v>
      </c>
      <c r="E1593">
        <v>1</v>
      </c>
      <c r="F1593">
        <v>2</v>
      </c>
      <c r="G1593" s="15">
        <v>2</v>
      </c>
      <c r="H1593" s="167">
        <f t="shared" si="48"/>
        <v>5.1413881748071976E-4</v>
      </c>
      <c r="I1593" s="167"/>
      <c r="J1593" s="167"/>
    </row>
    <row r="1594" spans="2:10" x14ac:dyDescent="0.25">
      <c r="B1594" s="169">
        <f t="shared" si="49"/>
        <v>0.81696658097689356</v>
      </c>
      <c r="C1594">
        <v>4114</v>
      </c>
      <c r="E1594">
        <v>1</v>
      </c>
      <c r="F1594">
        <v>2</v>
      </c>
      <c r="G1594" s="15">
        <v>2</v>
      </c>
      <c r="H1594" s="167">
        <f t="shared" si="48"/>
        <v>5.1413881748071976E-4</v>
      </c>
      <c r="I1594" s="167"/>
      <c r="J1594" s="167"/>
    </row>
    <row r="1595" spans="2:10" x14ac:dyDescent="0.25">
      <c r="B1595" s="169">
        <f t="shared" si="49"/>
        <v>0.81748071979437431</v>
      </c>
      <c r="C1595">
        <v>4125</v>
      </c>
      <c r="E1595">
        <v>2</v>
      </c>
      <c r="F1595">
        <v>4</v>
      </c>
      <c r="G1595" s="15">
        <v>2</v>
      </c>
      <c r="H1595" s="167">
        <f t="shared" si="48"/>
        <v>5.1413881748071976E-4</v>
      </c>
      <c r="I1595" s="167"/>
      <c r="J1595" s="167"/>
    </row>
    <row r="1596" spans="2:10" x14ac:dyDescent="0.25">
      <c r="B1596" s="169">
        <f t="shared" si="49"/>
        <v>0.81799485861185506</v>
      </c>
      <c r="C1596">
        <v>4122</v>
      </c>
      <c r="E1596">
        <v>2</v>
      </c>
      <c r="F1596">
        <v>4</v>
      </c>
      <c r="G1596" s="15">
        <v>2</v>
      </c>
      <c r="H1596" s="167">
        <f t="shared" si="48"/>
        <v>5.1413881748071976E-4</v>
      </c>
      <c r="I1596" s="167"/>
      <c r="J1596" s="167"/>
    </row>
    <row r="1597" spans="2:10" x14ac:dyDescent="0.25">
      <c r="B1597" s="169">
        <f t="shared" si="49"/>
        <v>0.81850899742933581</v>
      </c>
      <c r="C1597">
        <v>4202</v>
      </c>
      <c r="E1597">
        <v>5</v>
      </c>
      <c r="F1597">
        <v>10</v>
      </c>
      <c r="G1597" s="15">
        <v>2</v>
      </c>
      <c r="H1597" s="167">
        <f t="shared" si="48"/>
        <v>5.1413881748071976E-4</v>
      </c>
      <c r="I1597" s="167"/>
      <c r="J1597" s="167"/>
    </row>
    <row r="1598" spans="2:10" x14ac:dyDescent="0.25">
      <c r="B1598" s="169">
        <f t="shared" si="49"/>
        <v>0.81902313624681655</v>
      </c>
      <c r="C1598">
        <v>2760</v>
      </c>
      <c r="E1598">
        <v>2</v>
      </c>
      <c r="F1598">
        <v>4</v>
      </c>
      <c r="G1598" s="15">
        <v>2</v>
      </c>
      <c r="H1598" s="167">
        <f t="shared" si="48"/>
        <v>5.1413881748071976E-4</v>
      </c>
      <c r="I1598" s="167"/>
      <c r="J1598" s="167"/>
    </row>
    <row r="1599" spans="2:10" x14ac:dyDescent="0.25">
      <c r="B1599" s="169">
        <f t="shared" si="49"/>
        <v>0.8195372750642973</v>
      </c>
      <c r="C1599">
        <v>5795</v>
      </c>
      <c r="E1599">
        <v>1</v>
      </c>
      <c r="F1599">
        <v>2</v>
      </c>
      <c r="G1599" s="15">
        <v>2</v>
      </c>
      <c r="H1599" s="167">
        <f t="shared" si="48"/>
        <v>5.1413881748071976E-4</v>
      </c>
      <c r="I1599" s="167"/>
      <c r="J1599" s="167"/>
    </row>
    <row r="1600" spans="2:10" x14ac:dyDescent="0.25">
      <c r="B1600" s="169">
        <f t="shared" si="49"/>
        <v>0.82005141388177805</v>
      </c>
      <c r="C1600">
        <v>2609</v>
      </c>
      <c r="E1600">
        <v>15</v>
      </c>
      <c r="F1600">
        <v>30</v>
      </c>
      <c r="G1600" s="15">
        <v>2</v>
      </c>
      <c r="H1600" s="167">
        <f t="shared" si="48"/>
        <v>5.1413881748071976E-4</v>
      </c>
      <c r="I1600" s="167"/>
      <c r="J1600" s="167"/>
    </row>
    <row r="1601" spans="2:10" x14ac:dyDescent="0.25">
      <c r="B1601" s="169">
        <f t="shared" si="49"/>
        <v>0.82056555269925879</v>
      </c>
      <c r="C1601">
        <v>5825</v>
      </c>
      <c r="E1601">
        <v>3</v>
      </c>
      <c r="F1601">
        <v>6</v>
      </c>
      <c r="G1601" s="15">
        <v>2</v>
      </c>
      <c r="H1601" s="167">
        <f t="shared" si="48"/>
        <v>5.1413881748071976E-4</v>
      </c>
      <c r="I1601" s="167"/>
      <c r="J1601" s="167"/>
    </row>
    <row r="1602" spans="2:10" x14ac:dyDescent="0.25">
      <c r="B1602" s="169">
        <f t="shared" si="49"/>
        <v>0.82107969151673954</v>
      </c>
      <c r="C1602">
        <v>4175</v>
      </c>
      <c r="E1602">
        <v>2</v>
      </c>
      <c r="F1602">
        <v>4</v>
      </c>
      <c r="G1602" s="15">
        <v>2</v>
      </c>
      <c r="H1602" s="167">
        <f t="shared" si="48"/>
        <v>5.1413881748071976E-4</v>
      </c>
      <c r="I1602" s="167"/>
      <c r="J1602" s="167"/>
    </row>
    <row r="1603" spans="2:10" x14ac:dyDescent="0.25">
      <c r="B1603" s="169">
        <f t="shared" si="49"/>
        <v>0.82159383033422029</v>
      </c>
      <c r="C1603">
        <v>5829</v>
      </c>
      <c r="E1603">
        <v>1</v>
      </c>
      <c r="F1603">
        <v>2</v>
      </c>
      <c r="G1603" s="15">
        <v>2</v>
      </c>
      <c r="H1603" s="167">
        <f t="shared" si="48"/>
        <v>5.1413881748071976E-4</v>
      </c>
      <c r="I1603" s="167"/>
      <c r="J1603" s="167"/>
    </row>
    <row r="1604" spans="2:10" x14ac:dyDescent="0.25">
      <c r="B1604" s="169">
        <f t="shared" si="49"/>
        <v>0.82210796915170103</v>
      </c>
      <c r="C1604">
        <v>6945</v>
      </c>
      <c r="E1604">
        <v>1</v>
      </c>
      <c r="F1604">
        <v>2</v>
      </c>
      <c r="G1604" s="15">
        <v>2</v>
      </c>
      <c r="H1604" s="167">
        <f t="shared" si="48"/>
        <v>5.1413881748071976E-4</v>
      </c>
      <c r="I1604" s="167"/>
      <c r="J1604" s="167"/>
    </row>
    <row r="1605" spans="2:10" x14ac:dyDescent="0.25">
      <c r="B1605" s="169">
        <f t="shared" si="49"/>
        <v>0.82262210796918178</v>
      </c>
      <c r="C1605">
        <v>3639</v>
      </c>
      <c r="E1605">
        <v>20</v>
      </c>
      <c r="F1605">
        <v>41</v>
      </c>
      <c r="G1605" s="15">
        <v>2.0499999999999998</v>
      </c>
      <c r="H1605" s="167">
        <f t="shared" si="48"/>
        <v>5.1413881748071976E-4</v>
      </c>
      <c r="I1605" s="167"/>
      <c r="J1605" s="167"/>
    </row>
    <row r="1606" spans="2:10" x14ac:dyDescent="0.25">
      <c r="B1606" s="169">
        <f t="shared" si="49"/>
        <v>0.82313624678666253</v>
      </c>
      <c r="C1606">
        <v>2311</v>
      </c>
      <c r="E1606">
        <v>15</v>
      </c>
      <c r="F1606">
        <v>31</v>
      </c>
      <c r="G1606" s="15">
        <v>2.06666666666667</v>
      </c>
      <c r="H1606" s="167">
        <f t="shared" ref="H1606:H1669" si="50">1/$L$6</f>
        <v>5.1413881748071976E-4</v>
      </c>
      <c r="I1606" s="167"/>
      <c r="J1606" s="167"/>
    </row>
    <row r="1607" spans="2:10" x14ac:dyDescent="0.25">
      <c r="B1607" s="169">
        <f t="shared" ref="B1607:B1670" si="51">B1606+H1607</f>
        <v>0.82365038560414328</v>
      </c>
      <c r="C1607">
        <v>4447</v>
      </c>
      <c r="E1607">
        <v>29</v>
      </c>
      <c r="F1607">
        <v>60</v>
      </c>
      <c r="G1607" s="15">
        <v>2.0689655172413799</v>
      </c>
      <c r="H1607" s="167">
        <f t="shared" si="50"/>
        <v>5.1413881748071976E-4</v>
      </c>
      <c r="I1607" s="167"/>
      <c r="J1607" s="167"/>
    </row>
    <row r="1608" spans="2:10" x14ac:dyDescent="0.25">
      <c r="B1608" s="169">
        <f t="shared" si="51"/>
        <v>0.82416452442162402</v>
      </c>
      <c r="C1608">
        <v>6084</v>
      </c>
      <c r="E1608">
        <v>104</v>
      </c>
      <c r="F1608">
        <v>217</v>
      </c>
      <c r="G1608" s="15">
        <v>2.0865384615384599</v>
      </c>
      <c r="H1608" s="167">
        <f t="shared" si="50"/>
        <v>5.1413881748071976E-4</v>
      </c>
      <c r="I1608" s="167"/>
      <c r="J1608" s="167"/>
    </row>
    <row r="1609" spans="2:10" x14ac:dyDescent="0.25">
      <c r="B1609" s="169">
        <f t="shared" si="51"/>
        <v>0.82467866323910477</v>
      </c>
      <c r="C1609">
        <v>3637</v>
      </c>
      <c r="E1609">
        <v>20</v>
      </c>
      <c r="F1609">
        <v>42</v>
      </c>
      <c r="G1609" s="15">
        <v>2.1</v>
      </c>
      <c r="H1609" s="167">
        <f t="shared" si="50"/>
        <v>5.1413881748071976E-4</v>
      </c>
      <c r="I1609" s="167"/>
      <c r="J1609" s="167"/>
    </row>
    <row r="1610" spans="2:10" x14ac:dyDescent="0.25">
      <c r="B1610" s="169">
        <f t="shared" si="51"/>
        <v>0.82519280205658552</v>
      </c>
      <c r="C1610">
        <v>4890</v>
      </c>
      <c r="E1610">
        <v>20</v>
      </c>
      <c r="F1610">
        <v>42</v>
      </c>
      <c r="G1610" s="15">
        <v>2.1</v>
      </c>
      <c r="H1610" s="167">
        <f t="shared" si="50"/>
        <v>5.1413881748071976E-4</v>
      </c>
      <c r="I1610" s="167"/>
      <c r="J1610" s="167"/>
    </row>
    <row r="1611" spans="2:10" x14ac:dyDescent="0.25">
      <c r="B1611" s="169">
        <f t="shared" si="51"/>
        <v>0.82570694087406626</v>
      </c>
      <c r="C1611">
        <v>6442</v>
      </c>
      <c r="E1611">
        <v>10</v>
      </c>
      <c r="F1611">
        <v>21</v>
      </c>
      <c r="G1611" s="15">
        <v>2.1</v>
      </c>
      <c r="H1611" s="167">
        <f t="shared" si="50"/>
        <v>5.1413881748071976E-4</v>
      </c>
      <c r="I1611" s="167"/>
      <c r="J1611" s="167"/>
    </row>
    <row r="1612" spans="2:10" x14ac:dyDescent="0.25">
      <c r="B1612" s="169">
        <f t="shared" si="51"/>
        <v>0.82622107969154701</v>
      </c>
      <c r="C1612">
        <v>523</v>
      </c>
      <c r="E1612">
        <v>19</v>
      </c>
      <c r="F1612">
        <v>40</v>
      </c>
      <c r="G1612" s="15">
        <v>2.1052631578947398</v>
      </c>
      <c r="H1612" s="167">
        <f t="shared" si="50"/>
        <v>5.1413881748071976E-4</v>
      </c>
      <c r="I1612" s="167"/>
      <c r="J1612" s="167"/>
    </row>
    <row r="1613" spans="2:10" x14ac:dyDescent="0.25">
      <c r="B1613" s="169">
        <f t="shared" si="51"/>
        <v>0.82673521850902776</v>
      </c>
      <c r="C1613">
        <v>4369</v>
      </c>
      <c r="E1613">
        <v>94</v>
      </c>
      <c r="F1613">
        <v>198</v>
      </c>
      <c r="G1613" s="15">
        <v>2.1063829787234001</v>
      </c>
      <c r="H1613" s="167">
        <f t="shared" si="50"/>
        <v>5.1413881748071976E-4</v>
      </c>
      <c r="I1613" s="167"/>
      <c r="J1613" s="167"/>
    </row>
    <row r="1614" spans="2:10" x14ac:dyDescent="0.25">
      <c r="B1614" s="169">
        <f t="shared" si="51"/>
        <v>0.82724935732650851</v>
      </c>
      <c r="C1614">
        <v>3662</v>
      </c>
      <c r="E1614">
        <v>60</v>
      </c>
      <c r="F1614">
        <v>127</v>
      </c>
      <c r="G1614" s="15">
        <v>2.1166666666666698</v>
      </c>
      <c r="H1614" s="167">
        <f t="shared" si="50"/>
        <v>5.1413881748071976E-4</v>
      </c>
      <c r="I1614" s="167"/>
      <c r="J1614" s="167"/>
    </row>
    <row r="1615" spans="2:10" x14ac:dyDescent="0.25">
      <c r="B1615" s="169">
        <f t="shared" si="51"/>
        <v>0.82776349614398925</v>
      </c>
      <c r="C1615">
        <v>4149</v>
      </c>
      <c r="E1615">
        <v>8</v>
      </c>
      <c r="F1615">
        <v>17</v>
      </c>
      <c r="G1615" s="15">
        <v>2.125</v>
      </c>
      <c r="H1615" s="167">
        <f t="shared" si="50"/>
        <v>5.1413881748071976E-4</v>
      </c>
      <c r="I1615" s="167"/>
      <c r="J1615" s="167"/>
    </row>
    <row r="1616" spans="2:10" x14ac:dyDescent="0.25">
      <c r="B1616" s="169">
        <f t="shared" si="51"/>
        <v>0.82827763496147</v>
      </c>
      <c r="C1616">
        <v>3872</v>
      </c>
      <c r="E1616">
        <v>30</v>
      </c>
      <c r="F1616">
        <v>64</v>
      </c>
      <c r="G1616" s="15">
        <v>2.1333333333333302</v>
      </c>
      <c r="H1616" s="167">
        <f t="shared" si="50"/>
        <v>5.1413881748071976E-4</v>
      </c>
      <c r="I1616" s="167"/>
      <c r="J1616" s="167"/>
    </row>
    <row r="1617" spans="2:10" x14ac:dyDescent="0.25">
      <c r="B1617" s="169">
        <f t="shared" si="51"/>
        <v>0.82879177377895075</v>
      </c>
      <c r="C1617">
        <v>1870</v>
      </c>
      <c r="E1617">
        <v>15</v>
      </c>
      <c r="F1617">
        <v>32</v>
      </c>
      <c r="G1617" s="15">
        <v>2.1333333333333302</v>
      </c>
      <c r="H1617" s="167">
        <f t="shared" si="50"/>
        <v>5.1413881748071976E-4</v>
      </c>
      <c r="I1617" s="167"/>
      <c r="J1617" s="167"/>
    </row>
    <row r="1618" spans="2:10" x14ac:dyDescent="0.25">
      <c r="B1618" s="169">
        <f t="shared" si="51"/>
        <v>0.82930591259643149</v>
      </c>
      <c r="C1618">
        <v>7127</v>
      </c>
      <c r="E1618">
        <v>15</v>
      </c>
      <c r="F1618">
        <v>32</v>
      </c>
      <c r="G1618" s="15">
        <v>2.1333333333333302</v>
      </c>
      <c r="H1618" s="167">
        <f t="shared" si="50"/>
        <v>5.1413881748071976E-4</v>
      </c>
      <c r="I1618" s="167"/>
      <c r="J1618" s="167"/>
    </row>
    <row r="1619" spans="2:10" x14ac:dyDescent="0.25">
      <c r="B1619" s="169">
        <f t="shared" si="51"/>
        <v>0.82982005141391224</v>
      </c>
      <c r="C1619">
        <v>4390</v>
      </c>
      <c r="E1619">
        <v>93</v>
      </c>
      <c r="F1619">
        <v>199</v>
      </c>
      <c r="G1619" s="15">
        <v>2.1397849462365599</v>
      </c>
      <c r="H1619" s="167">
        <f t="shared" si="50"/>
        <v>5.1413881748071976E-4</v>
      </c>
      <c r="I1619" s="167"/>
      <c r="J1619" s="167"/>
    </row>
    <row r="1620" spans="2:10" x14ac:dyDescent="0.25">
      <c r="B1620" s="169">
        <f t="shared" si="51"/>
        <v>0.83033419023139299</v>
      </c>
      <c r="C1620">
        <v>6385</v>
      </c>
      <c r="E1620">
        <v>7</v>
      </c>
      <c r="F1620">
        <v>15</v>
      </c>
      <c r="G1620" s="15">
        <v>2.1428571428571401</v>
      </c>
      <c r="H1620" s="167">
        <f t="shared" si="50"/>
        <v>5.1413881748071976E-4</v>
      </c>
      <c r="I1620" s="167"/>
      <c r="J1620" s="167"/>
    </row>
    <row r="1621" spans="2:10" x14ac:dyDescent="0.25">
      <c r="B1621" s="169">
        <f t="shared" si="51"/>
        <v>0.83084832904887373</v>
      </c>
      <c r="C1621">
        <v>4153</v>
      </c>
      <c r="E1621">
        <v>7</v>
      </c>
      <c r="F1621">
        <v>15</v>
      </c>
      <c r="G1621" s="15">
        <v>2.1428571428571401</v>
      </c>
      <c r="H1621" s="167">
        <f t="shared" si="50"/>
        <v>5.1413881748071976E-4</v>
      </c>
      <c r="I1621" s="167"/>
      <c r="J1621" s="167"/>
    </row>
    <row r="1622" spans="2:10" x14ac:dyDescent="0.25">
      <c r="B1622" s="169">
        <f t="shared" si="51"/>
        <v>0.83136246786635448</v>
      </c>
      <c r="C1622">
        <v>5966</v>
      </c>
      <c r="E1622">
        <v>13</v>
      </c>
      <c r="F1622">
        <v>28</v>
      </c>
      <c r="G1622" s="15">
        <v>2.1538461538461502</v>
      </c>
      <c r="H1622" s="167">
        <f t="shared" si="50"/>
        <v>5.1413881748071976E-4</v>
      </c>
      <c r="I1622" s="167"/>
      <c r="J1622" s="167"/>
    </row>
    <row r="1623" spans="2:10" x14ac:dyDescent="0.25">
      <c r="B1623" s="169">
        <f t="shared" si="51"/>
        <v>0.83187660668383523</v>
      </c>
      <c r="C1623">
        <v>4775</v>
      </c>
      <c r="E1623">
        <v>29</v>
      </c>
      <c r="F1623">
        <v>63</v>
      </c>
      <c r="G1623" s="15">
        <v>2.1724137931034502</v>
      </c>
      <c r="H1623" s="167">
        <f t="shared" si="50"/>
        <v>5.1413881748071976E-4</v>
      </c>
      <c r="I1623" s="167"/>
      <c r="J1623" s="167"/>
    </row>
    <row r="1624" spans="2:10" x14ac:dyDescent="0.25">
      <c r="B1624" s="169">
        <f t="shared" si="51"/>
        <v>0.83239074550131598</v>
      </c>
      <c r="C1624">
        <v>4626</v>
      </c>
      <c r="E1624">
        <v>23</v>
      </c>
      <c r="F1624">
        <v>50</v>
      </c>
      <c r="G1624" s="15">
        <v>2.1739130434782599</v>
      </c>
      <c r="H1624" s="167">
        <f t="shared" si="50"/>
        <v>5.1413881748071976E-4</v>
      </c>
      <c r="I1624" s="167"/>
      <c r="J1624" s="167"/>
    </row>
    <row r="1625" spans="2:10" x14ac:dyDescent="0.25">
      <c r="B1625" s="169">
        <f t="shared" si="51"/>
        <v>0.83290488431879672</v>
      </c>
      <c r="C1625">
        <v>5707</v>
      </c>
      <c r="E1625">
        <v>5</v>
      </c>
      <c r="F1625">
        <v>11</v>
      </c>
      <c r="G1625" s="15">
        <v>2.2000000000000002</v>
      </c>
      <c r="H1625" s="167">
        <f t="shared" si="50"/>
        <v>5.1413881748071976E-4</v>
      </c>
      <c r="I1625" s="167"/>
      <c r="J1625" s="167"/>
    </row>
    <row r="1626" spans="2:10" x14ac:dyDescent="0.25">
      <c r="B1626" s="169">
        <f t="shared" si="51"/>
        <v>0.83341902313627747</v>
      </c>
      <c r="C1626">
        <v>2690</v>
      </c>
      <c r="E1626">
        <v>15</v>
      </c>
      <c r="F1626">
        <v>33</v>
      </c>
      <c r="G1626" s="15">
        <v>2.2000000000000002</v>
      </c>
      <c r="H1626" s="167">
        <f t="shared" si="50"/>
        <v>5.1413881748071976E-4</v>
      </c>
      <c r="I1626" s="167"/>
      <c r="J1626" s="167"/>
    </row>
    <row r="1627" spans="2:10" x14ac:dyDescent="0.25">
      <c r="B1627" s="169">
        <f t="shared" si="51"/>
        <v>0.83393316195375822</v>
      </c>
      <c r="C1627">
        <v>4793</v>
      </c>
      <c r="E1627">
        <v>18</v>
      </c>
      <c r="F1627">
        <v>40</v>
      </c>
      <c r="G1627" s="15">
        <v>2.2222222222222201</v>
      </c>
      <c r="H1627" s="167">
        <f t="shared" si="50"/>
        <v>5.1413881748071976E-4</v>
      </c>
      <c r="I1627" s="167"/>
      <c r="J1627" s="167"/>
    </row>
    <row r="1628" spans="2:10" x14ac:dyDescent="0.25">
      <c r="B1628" s="169">
        <f t="shared" si="51"/>
        <v>0.83444730077123896</v>
      </c>
      <c r="C1628">
        <v>5889</v>
      </c>
      <c r="E1628">
        <v>60</v>
      </c>
      <c r="F1628">
        <v>135</v>
      </c>
      <c r="G1628" s="15">
        <v>2.25</v>
      </c>
      <c r="H1628" s="167">
        <f t="shared" si="50"/>
        <v>5.1413881748071976E-4</v>
      </c>
      <c r="I1628" s="167"/>
      <c r="J1628" s="167"/>
    </row>
    <row r="1629" spans="2:10" x14ac:dyDescent="0.25">
      <c r="B1629" s="169">
        <f t="shared" si="51"/>
        <v>0.83496143958871971</v>
      </c>
      <c r="C1629">
        <v>5704</v>
      </c>
      <c r="E1629">
        <v>15</v>
      </c>
      <c r="F1629">
        <v>34</v>
      </c>
      <c r="G1629" s="15">
        <v>2.2666666666666702</v>
      </c>
      <c r="H1629" s="167">
        <f t="shared" si="50"/>
        <v>5.1413881748071976E-4</v>
      </c>
      <c r="I1629" s="167"/>
      <c r="J1629" s="167"/>
    </row>
    <row r="1630" spans="2:10" x14ac:dyDescent="0.25">
      <c r="B1630" s="169">
        <f t="shared" si="51"/>
        <v>0.83547557840620046</v>
      </c>
      <c r="C1630">
        <v>3942</v>
      </c>
      <c r="E1630">
        <v>35</v>
      </c>
      <c r="F1630">
        <v>80</v>
      </c>
      <c r="G1630" s="15">
        <v>2.28571428571429</v>
      </c>
      <c r="H1630" s="167">
        <f t="shared" si="50"/>
        <v>5.1413881748071976E-4</v>
      </c>
      <c r="I1630" s="167"/>
      <c r="J1630" s="167"/>
    </row>
    <row r="1631" spans="2:10" x14ac:dyDescent="0.25">
      <c r="B1631" s="169">
        <f t="shared" si="51"/>
        <v>0.83598971722368121</v>
      </c>
      <c r="C1631">
        <v>2615</v>
      </c>
      <c r="E1631">
        <v>40</v>
      </c>
      <c r="F1631">
        <v>92</v>
      </c>
      <c r="G1631" s="15">
        <v>2.2999999999999998</v>
      </c>
      <c r="H1631" s="167">
        <f t="shared" si="50"/>
        <v>5.1413881748071976E-4</v>
      </c>
      <c r="I1631" s="167"/>
      <c r="J1631" s="167"/>
    </row>
    <row r="1632" spans="2:10" x14ac:dyDescent="0.25">
      <c r="B1632" s="169">
        <f t="shared" si="51"/>
        <v>0.83650385604116195</v>
      </c>
      <c r="C1632">
        <v>2040</v>
      </c>
      <c r="E1632">
        <v>23</v>
      </c>
      <c r="F1632">
        <v>53</v>
      </c>
      <c r="G1632" s="15">
        <v>2.3043478260869601</v>
      </c>
      <c r="H1632" s="167">
        <f t="shared" si="50"/>
        <v>5.1413881748071976E-4</v>
      </c>
      <c r="I1632" s="167"/>
      <c r="J1632" s="167"/>
    </row>
    <row r="1633" spans="2:10" x14ac:dyDescent="0.25">
      <c r="B1633" s="169">
        <f t="shared" si="51"/>
        <v>0.8370179948586427</v>
      </c>
      <c r="C1633">
        <v>2674</v>
      </c>
      <c r="E1633">
        <v>37</v>
      </c>
      <c r="F1633">
        <v>86</v>
      </c>
      <c r="G1633" s="15">
        <v>2.3243243243243201</v>
      </c>
      <c r="H1633" s="167">
        <f t="shared" si="50"/>
        <v>5.1413881748071976E-4</v>
      </c>
      <c r="I1633" s="167"/>
      <c r="J1633" s="167"/>
    </row>
    <row r="1634" spans="2:10" x14ac:dyDescent="0.25">
      <c r="B1634" s="169">
        <f t="shared" si="51"/>
        <v>0.83753213367612345</v>
      </c>
      <c r="C1634">
        <v>6515</v>
      </c>
      <c r="E1634">
        <v>3</v>
      </c>
      <c r="F1634">
        <v>7</v>
      </c>
      <c r="G1634" s="15">
        <v>2.3333333333333299</v>
      </c>
      <c r="H1634" s="167">
        <f t="shared" si="50"/>
        <v>5.1413881748071976E-4</v>
      </c>
      <c r="I1634" s="167"/>
      <c r="J1634" s="167"/>
    </row>
    <row r="1635" spans="2:10" x14ac:dyDescent="0.25">
      <c r="B1635" s="169">
        <f t="shared" si="51"/>
        <v>0.83804627249360419</v>
      </c>
      <c r="C1635">
        <v>1903</v>
      </c>
      <c r="E1635">
        <v>55</v>
      </c>
      <c r="F1635">
        <v>129</v>
      </c>
      <c r="G1635" s="15">
        <v>2.3454545454545501</v>
      </c>
      <c r="H1635" s="167">
        <f t="shared" si="50"/>
        <v>5.1413881748071976E-4</v>
      </c>
      <c r="I1635" s="167"/>
      <c r="J1635" s="167"/>
    </row>
    <row r="1636" spans="2:10" x14ac:dyDescent="0.25">
      <c r="B1636" s="169">
        <f t="shared" si="51"/>
        <v>0.83856041131108494</v>
      </c>
      <c r="C1636">
        <v>3626</v>
      </c>
      <c r="E1636">
        <v>40</v>
      </c>
      <c r="F1636">
        <v>96</v>
      </c>
      <c r="G1636" s="15">
        <v>2.4</v>
      </c>
      <c r="H1636" s="167">
        <f t="shared" si="50"/>
        <v>5.1413881748071976E-4</v>
      </c>
      <c r="I1636" s="167"/>
      <c r="J1636" s="167"/>
    </row>
    <row r="1637" spans="2:10" x14ac:dyDescent="0.25">
      <c r="B1637" s="169">
        <f t="shared" si="51"/>
        <v>0.83907455012856569</v>
      </c>
      <c r="C1637">
        <v>3931</v>
      </c>
      <c r="E1637">
        <v>30</v>
      </c>
      <c r="F1637">
        <v>72</v>
      </c>
      <c r="G1637" s="15">
        <v>2.4</v>
      </c>
      <c r="H1637" s="167">
        <f t="shared" si="50"/>
        <v>5.1413881748071976E-4</v>
      </c>
      <c r="I1637" s="167"/>
      <c r="J1637" s="167"/>
    </row>
    <row r="1638" spans="2:10" x14ac:dyDescent="0.25">
      <c r="B1638" s="169">
        <f t="shared" si="51"/>
        <v>0.83958868894604644</v>
      </c>
      <c r="C1638">
        <v>3901</v>
      </c>
      <c r="E1638">
        <v>25</v>
      </c>
      <c r="F1638">
        <v>60</v>
      </c>
      <c r="G1638" s="15">
        <v>2.4</v>
      </c>
      <c r="H1638" s="167">
        <f t="shared" si="50"/>
        <v>5.1413881748071976E-4</v>
      </c>
      <c r="I1638" s="167"/>
      <c r="J1638" s="167"/>
    </row>
    <row r="1639" spans="2:10" x14ac:dyDescent="0.25">
      <c r="B1639" s="169">
        <f t="shared" si="51"/>
        <v>0.84010282776352718</v>
      </c>
      <c r="C1639">
        <v>3937</v>
      </c>
      <c r="E1639">
        <v>30</v>
      </c>
      <c r="F1639">
        <v>72</v>
      </c>
      <c r="G1639" s="15">
        <v>2.4</v>
      </c>
      <c r="H1639" s="167">
        <f t="shared" si="50"/>
        <v>5.1413881748071976E-4</v>
      </c>
      <c r="I1639" s="167"/>
      <c r="J1639" s="167"/>
    </row>
    <row r="1640" spans="2:10" x14ac:dyDescent="0.25">
      <c r="B1640" s="169">
        <f t="shared" si="51"/>
        <v>0.84061696658100793</v>
      </c>
      <c r="C1640">
        <v>6126</v>
      </c>
      <c r="E1640">
        <v>36</v>
      </c>
      <c r="F1640">
        <v>87</v>
      </c>
      <c r="G1640" s="15">
        <v>2.4166666666666701</v>
      </c>
      <c r="H1640" s="167">
        <f t="shared" si="50"/>
        <v>5.1413881748071976E-4</v>
      </c>
      <c r="I1640" s="167"/>
      <c r="J1640" s="167"/>
    </row>
    <row r="1641" spans="2:10" x14ac:dyDescent="0.25">
      <c r="B1641" s="169">
        <f t="shared" si="51"/>
        <v>0.84113110539848868</v>
      </c>
      <c r="C1641">
        <v>4189</v>
      </c>
      <c r="E1641">
        <v>12</v>
      </c>
      <c r="F1641">
        <v>29</v>
      </c>
      <c r="G1641" s="15">
        <v>2.4166666666666701</v>
      </c>
      <c r="H1641" s="167">
        <f t="shared" si="50"/>
        <v>5.1413881748071976E-4</v>
      </c>
      <c r="I1641" s="167"/>
      <c r="J1641" s="167"/>
    </row>
    <row r="1642" spans="2:10" x14ac:dyDescent="0.25">
      <c r="B1642" s="169">
        <f t="shared" si="51"/>
        <v>0.84164524421596942</v>
      </c>
      <c r="C1642">
        <v>5933</v>
      </c>
      <c r="E1642">
        <v>130</v>
      </c>
      <c r="F1642">
        <v>317</v>
      </c>
      <c r="G1642" s="15">
        <v>2.43846153846154</v>
      </c>
      <c r="H1642" s="167">
        <f t="shared" si="50"/>
        <v>5.1413881748071976E-4</v>
      </c>
      <c r="I1642" s="167"/>
      <c r="J1642" s="167"/>
    </row>
    <row r="1643" spans="2:10" x14ac:dyDescent="0.25">
      <c r="B1643" s="169">
        <f t="shared" si="51"/>
        <v>0.84215938303345017</v>
      </c>
      <c r="C1643">
        <v>3826</v>
      </c>
      <c r="E1643">
        <v>27</v>
      </c>
      <c r="F1643">
        <v>66</v>
      </c>
      <c r="G1643" s="15">
        <v>2.4444444444444402</v>
      </c>
      <c r="H1643" s="167">
        <f t="shared" si="50"/>
        <v>5.1413881748071976E-4</v>
      </c>
      <c r="I1643" s="167"/>
      <c r="J1643" s="167"/>
    </row>
    <row r="1644" spans="2:10" x14ac:dyDescent="0.25">
      <c r="B1644" s="169">
        <f t="shared" si="51"/>
        <v>0.84267352185093092</v>
      </c>
      <c r="C1644">
        <v>3960</v>
      </c>
      <c r="E1644">
        <v>40</v>
      </c>
      <c r="F1644">
        <v>98</v>
      </c>
      <c r="G1644" s="15">
        <v>2.4500000000000002</v>
      </c>
      <c r="H1644" s="167">
        <f t="shared" si="50"/>
        <v>5.1413881748071976E-4</v>
      </c>
      <c r="I1644" s="167"/>
      <c r="J1644" s="167"/>
    </row>
    <row r="1645" spans="2:10" x14ac:dyDescent="0.25">
      <c r="B1645" s="169">
        <f t="shared" si="51"/>
        <v>0.84318766066841166</v>
      </c>
      <c r="C1645">
        <v>5893</v>
      </c>
      <c r="E1645">
        <v>60</v>
      </c>
      <c r="F1645">
        <v>147</v>
      </c>
      <c r="G1645" s="15">
        <v>2.4500000000000002</v>
      </c>
      <c r="H1645" s="167">
        <f t="shared" si="50"/>
        <v>5.1413881748071976E-4</v>
      </c>
      <c r="I1645" s="167"/>
      <c r="J1645" s="167"/>
    </row>
    <row r="1646" spans="2:10" x14ac:dyDescent="0.25">
      <c r="B1646" s="169">
        <f t="shared" si="51"/>
        <v>0.84370179948589241</v>
      </c>
      <c r="C1646">
        <v>3938</v>
      </c>
      <c r="E1646">
        <v>15</v>
      </c>
      <c r="F1646">
        <v>37</v>
      </c>
      <c r="G1646" s="15">
        <v>2.4666666666666699</v>
      </c>
      <c r="H1646" s="167">
        <f t="shared" si="50"/>
        <v>5.1413881748071976E-4</v>
      </c>
      <c r="I1646" s="167"/>
      <c r="J1646" s="167"/>
    </row>
    <row r="1647" spans="2:10" x14ac:dyDescent="0.25">
      <c r="B1647" s="169">
        <f t="shared" si="51"/>
        <v>0.84421593830337316</v>
      </c>
      <c r="C1647">
        <v>3688</v>
      </c>
      <c r="E1647">
        <v>4</v>
      </c>
      <c r="F1647">
        <v>10</v>
      </c>
      <c r="G1647" s="15">
        <v>2.5</v>
      </c>
      <c r="H1647" s="167">
        <f t="shared" si="50"/>
        <v>5.1413881748071976E-4</v>
      </c>
      <c r="I1647" s="167"/>
      <c r="J1647" s="167"/>
    </row>
    <row r="1648" spans="2:10" x14ac:dyDescent="0.25">
      <c r="B1648" s="169">
        <f t="shared" si="51"/>
        <v>0.84473007712085391</v>
      </c>
      <c r="C1648">
        <v>4387</v>
      </c>
      <c r="E1648">
        <v>8</v>
      </c>
      <c r="F1648">
        <v>20</v>
      </c>
      <c r="G1648" s="15">
        <v>2.5</v>
      </c>
      <c r="H1648" s="167">
        <f t="shared" si="50"/>
        <v>5.1413881748071976E-4</v>
      </c>
      <c r="I1648" s="167"/>
      <c r="J1648" s="167"/>
    </row>
    <row r="1649" spans="2:10" x14ac:dyDescent="0.25">
      <c r="B1649" s="169">
        <f t="shared" si="51"/>
        <v>0.84524421593833465</v>
      </c>
      <c r="C1649">
        <v>3692</v>
      </c>
      <c r="E1649">
        <v>4</v>
      </c>
      <c r="F1649">
        <v>10</v>
      </c>
      <c r="G1649" s="15">
        <v>2.5</v>
      </c>
      <c r="H1649" s="167">
        <f t="shared" si="50"/>
        <v>5.1413881748071976E-4</v>
      </c>
      <c r="I1649" s="167"/>
      <c r="J1649" s="167"/>
    </row>
    <row r="1650" spans="2:10" x14ac:dyDescent="0.25">
      <c r="B1650" s="169">
        <f t="shared" si="51"/>
        <v>0.8457583547558154</v>
      </c>
      <c r="C1650">
        <v>3723</v>
      </c>
      <c r="E1650">
        <v>4</v>
      </c>
      <c r="F1650">
        <v>10</v>
      </c>
      <c r="G1650" s="15">
        <v>2.5</v>
      </c>
      <c r="H1650" s="167">
        <f t="shared" si="50"/>
        <v>5.1413881748071976E-4</v>
      </c>
      <c r="I1650" s="167"/>
      <c r="J1650" s="167"/>
    </row>
    <row r="1651" spans="2:10" x14ac:dyDescent="0.25">
      <c r="B1651" s="169">
        <f t="shared" si="51"/>
        <v>0.84627249357329615</v>
      </c>
      <c r="C1651">
        <v>3730</v>
      </c>
      <c r="E1651">
        <v>4</v>
      </c>
      <c r="F1651">
        <v>10</v>
      </c>
      <c r="G1651" s="15">
        <v>2.5</v>
      </c>
      <c r="H1651" s="167">
        <f t="shared" si="50"/>
        <v>5.1413881748071976E-4</v>
      </c>
      <c r="I1651" s="167"/>
      <c r="J1651" s="167"/>
    </row>
    <row r="1652" spans="2:10" x14ac:dyDescent="0.25">
      <c r="B1652" s="169">
        <f t="shared" si="51"/>
        <v>0.84678663239077689</v>
      </c>
      <c r="C1652">
        <v>3712</v>
      </c>
      <c r="E1652">
        <v>4</v>
      </c>
      <c r="F1652">
        <v>10</v>
      </c>
      <c r="G1652" s="15">
        <v>2.5</v>
      </c>
      <c r="H1652" s="167">
        <f t="shared" si="50"/>
        <v>5.1413881748071976E-4</v>
      </c>
      <c r="I1652" s="167"/>
      <c r="J1652" s="167"/>
    </row>
    <row r="1653" spans="2:10" x14ac:dyDescent="0.25">
      <c r="B1653" s="169">
        <f t="shared" si="51"/>
        <v>0.84730077120825764</v>
      </c>
      <c r="C1653">
        <v>3733</v>
      </c>
      <c r="E1653">
        <v>2</v>
      </c>
      <c r="F1653">
        <v>5</v>
      </c>
      <c r="G1653" s="15">
        <v>2.5</v>
      </c>
      <c r="H1653" s="167">
        <f t="shared" si="50"/>
        <v>5.1413881748071976E-4</v>
      </c>
      <c r="I1653" s="167"/>
      <c r="J1653" s="167"/>
    </row>
    <row r="1654" spans="2:10" x14ac:dyDescent="0.25">
      <c r="B1654" s="169">
        <f t="shared" si="51"/>
        <v>0.84781491002573839</v>
      </c>
      <c r="C1654">
        <v>4863</v>
      </c>
      <c r="E1654">
        <v>2</v>
      </c>
      <c r="F1654">
        <v>5</v>
      </c>
      <c r="G1654" s="15">
        <v>2.5</v>
      </c>
      <c r="H1654" s="167">
        <f t="shared" si="50"/>
        <v>5.1413881748071976E-4</v>
      </c>
      <c r="I1654" s="167"/>
      <c r="J1654" s="167"/>
    </row>
    <row r="1655" spans="2:10" x14ac:dyDescent="0.25">
      <c r="B1655" s="169">
        <f t="shared" si="51"/>
        <v>0.84832904884321914</v>
      </c>
      <c r="C1655">
        <v>3757</v>
      </c>
      <c r="E1655">
        <v>4</v>
      </c>
      <c r="F1655">
        <v>10</v>
      </c>
      <c r="G1655" s="15">
        <v>2.5</v>
      </c>
      <c r="H1655" s="167">
        <f t="shared" si="50"/>
        <v>5.1413881748071976E-4</v>
      </c>
      <c r="I1655" s="167"/>
      <c r="J1655" s="167"/>
    </row>
    <row r="1656" spans="2:10" x14ac:dyDescent="0.25">
      <c r="B1656" s="169">
        <f t="shared" si="51"/>
        <v>0.84884318766069988</v>
      </c>
      <c r="C1656">
        <v>5884</v>
      </c>
      <c r="E1656">
        <v>60</v>
      </c>
      <c r="F1656">
        <v>150</v>
      </c>
      <c r="G1656" s="15">
        <v>2.5</v>
      </c>
      <c r="H1656" s="167">
        <f t="shared" si="50"/>
        <v>5.1413881748071976E-4</v>
      </c>
      <c r="I1656" s="167"/>
      <c r="J1656" s="167"/>
    </row>
    <row r="1657" spans="2:10" x14ac:dyDescent="0.25">
      <c r="B1657" s="169">
        <f t="shared" si="51"/>
        <v>0.84935732647818063</v>
      </c>
      <c r="C1657">
        <v>3932</v>
      </c>
      <c r="E1657">
        <v>10</v>
      </c>
      <c r="F1657">
        <v>25</v>
      </c>
      <c r="G1657" s="15">
        <v>2.5</v>
      </c>
      <c r="H1657" s="167">
        <f t="shared" si="50"/>
        <v>5.1413881748071976E-4</v>
      </c>
      <c r="I1657" s="167"/>
      <c r="J1657" s="167"/>
    </row>
    <row r="1658" spans="2:10" x14ac:dyDescent="0.25">
      <c r="B1658" s="169">
        <f t="shared" si="51"/>
        <v>0.84987146529566138</v>
      </c>
      <c r="C1658">
        <v>6141</v>
      </c>
      <c r="E1658">
        <v>2</v>
      </c>
      <c r="F1658">
        <v>5</v>
      </c>
      <c r="G1658" s="15">
        <v>2.5</v>
      </c>
      <c r="H1658" s="167">
        <f t="shared" si="50"/>
        <v>5.1413881748071976E-4</v>
      </c>
      <c r="I1658" s="167"/>
      <c r="J1658" s="167"/>
    </row>
    <row r="1659" spans="2:10" x14ac:dyDescent="0.25">
      <c r="B1659" s="169">
        <f t="shared" si="51"/>
        <v>0.85038560411314212</v>
      </c>
      <c r="C1659">
        <v>4081</v>
      </c>
      <c r="E1659">
        <v>4</v>
      </c>
      <c r="F1659">
        <v>10</v>
      </c>
      <c r="G1659" s="15">
        <v>2.5</v>
      </c>
      <c r="H1659" s="167">
        <f t="shared" si="50"/>
        <v>5.1413881748071976E-4</v>
      </c>
      <c r="I1659" s="167"/>
      <c r="J1659" s="167"/>
    </row>
    <row r="1660" spans="2:10" x14ac:dyDescent="0.25">
      <c r="B1660" s="169">
        <f t="shared" si="51"/>
        <v>0.85089974293062287</v>
      </c>
      <c r="C1660">
        <v>4140</v>
      </c>
      <c r="E1660">
        <v>2</v>
      </c>
      <c r="F1660">
        <v>5</v>
      </c>
      <c r="G1660" s="15">
        <v>2.5</v>
      </c>
      <c r="H1660" s="167">
        <f t="shared" si="50"/>
        <v>5.1413881748071976E-4</v>
      </c>
      <c r="I1660" s="167"/>
      <c r="J1660" s="167"/>
    </row>
    <row r="1661" spans="2:10" x14ac:dyDescent="0.25">
      <c r="B1661" s="169">
        <f t="shared" si="51"/>
        <v>0.85141388174810362</v>
      </c>
      <c r="C1661">
        <v>2459</v>
      </c>
      <c r="E1661">
        <v>14</v>
      </c>
      <c r="F1661">
        <v>35</v>
      </c>
      <c r="G1661" s="15">
        <v>2.5</v>
      </c>
      <c r="H1661" s="167">
        <f t="shared" si="50"/>
        <v>5.1413881748071976E-4</v>
      </c>
      <c r="I1661" s="167"/>
      <c r="J1661" s="167"/>
    </row>
    <row r="1662" spans="2:10" x14ac:dyDescent="0.25">
      <c r="B1662" s="169">
        <f t="shared" si="51"/>
        <v>0.85192802056558437</v>
      </c>
      <c r="C1662">
        <v>4174</v>
      </c>
      <c r="E1662">
        <v>4</v>
      </c>
      <c r="F1662">
        <v>10</v>
      </c>
      <c r="G1662" s="15">
        <v>2.5</v>
      </c>
      <c r="H1662" s="167">
        <f t="shared" si="50"/>
        <v>5.1413881748071976E-4</v>
      </c>
      <c r="I1662" s="167"/>
      <c r="J1662" s="167"/>
    </row>
    <row r="1663" spans="2:10" x14ac:dyDescent="0.25">
      <c r="B1663" s="169">
        <f t="shared" si="51"/>
        <v>0.85244215938306511</v>
      </c>
      <c r="C1663">
        <v>2475</v>
      </c>
      <c r="E1663">
        <v>97</v>
      </c>
      <c r="F1663">
        <v>244</v>
      </c>
      <c r="G1663" s="15">
        <v>2.51546391752577</v>
      </c>
      <c r="H1663" s="167">
        <f t="shared" si="50"/>
        <v>5.1413881748071976E-4</v>
      </c>
      <c r="I1663" s="167"/>
      <c r="J1663" s="167"/>
    </row>
    <row r="1664" spans="2:10" x14ac:dyDescent="0.25">
      <c r="B1664" s="169">
        <f t="shared" si="51"/>
        <v>0.85295629820054586</v>
      </c>
      <c r="C1664">
        <v>2476</v>
      </c>
      <c r="E1664">
        <v>97</v>
      </c>
      <c r="F1664">
        <v>244</v>
      </c>
      <c r="G1664" s="15">
        <v>2.51546391752577</v>
      </c>
      <c r="H1664" s="167">
        <f t="shared" si="50"/>
        <v>5.1413881748071976E-4</v>
      </c>
      <c r="I1664" s="167"/>
      <c r="J1664" s="167"/>
    </row>
    <row r="1665" spans="2:10" x14ac:dyDescent="0.25">
      <c r="B1665" s="169">
        <f t="shared" si="51"/>
        <v>0.85347043701802661</v>
      </c>
      <c r="C1665">
        <v>5603</v>
      </c>
      <c r="E1665">
        <v>75</v>
      </c>
      <c r="F1665">
        <v>190</v>
      </c>
      <c r="G1665" s="15">
        <v>2.5333333333333301</v>
      </c>
      <c r="H1665" s="167">
        <f t="shared" si="50"/>
        <v>5.1413881748071976E-4</v>
      </c>
      <c r="I1665" s="167"/>
      <c r="J1665" s="167"/>
    </row>
    <row r="1666" spans="2:10" x14ac:dyDescent="0.25">
      <c r="B1666" s="169">
        <f t="shared" si="51"/>
        <v>0.85398457583550735</v>
      </c>
      <c r="C1666">
        <v>2657</v>
      </c>
      <c r="E1666">
        <v>13</v>
      </c>
      <c r="F1666">
        <v>33</v>
      </c>
      <c r="G1666" s="15">
        <v>2.5384615384615401</v>
      </c>
      <c r="H1666" s="167">
        <f t="shared" si="50"/>
        <v>5.1413881748071976E-4</v>
      </c>
      <c r="I1666" s="167"/>
      <c r="J1666" s="167"/>
    </row>
    <row r="1667" spans="2:10" x14ac:dyDescent="0.25">
      <c r="B1667" s="169">
        <f t="shared" si="51"/>
        <v>0.8544987146529881</v>
      </c>
      <c r="C1667">
        <v>6131</v>
      </c>
      <c r="E1667">
        <v>11</v>
      </c>
      <c r="F1667">
        <v>28</v>
      </c>
      <c r="G1667" s="15">
        <v>2.5454545454545499</v>
      </c>
      <c r="H1667" s="167">
        <f t="shared" si="50"/>
        <v>5.1413881748071976E-4</v>
      </c>
      <c r="I1667" s="167"/>
      <c r="J1667" s="167"/>
    </row>
    <row r="1668" spans="2:10" x14ac:dyDescent="0.25">
      <c r="B1668" s="169">
        <f t="shared" si="51"/>
        <v>0.85501285347046885</v>
      </c>
      <c r="C1668">
        <v>631</v>
      </c>
      <c r="E1668">
        <v>80</v>
      </c>
      <c r="F1668">
        <v>207</v>
      </c>
      <c r="G1668" s="15">
        <v>2.5874999999999999</v>
      </c>
      <c r="H1668" s="167">
        <f t="shared" si="50"/>
        <v>5.1413881748071976E-4</v>
      </c>
      <c r="I1668" s="167"/>
      <c r="J1668" s="167"/>
    </row>
    <row r="1669" spans="2:10" x14ac:dyDescent="0.25">
      <c r="B1669" s="169">
        <f t="shared" si="51"/>
        <v>0.85552699228794959</v>
      </c>
      <c r="C1669">
        <v>3952</v>
      </c>
      <c r="E1669">
        <v>40</v>
      </c>
      <c r="F1669">
        <v>104</v>
      </c>
      <c r="G1669" s="15">
        <v>2.6</v>
      </c>
      <c r="H1669" s="167">
        <f t="shared" si="50"/>
        <v>5.1413881748071976E-4</v>
      </c>
      <c r="I1669" s="167"/>
      <c r="J1669" s="167"/>
    </row>
    <row r="1670" spans="2:10" x14ac:dyDescent="0.25">
      <c r="B1670" s="169">
        <f t="shared" si="51"/>
        <v>0.85604113110543034</v>
      </c>
      <c r="C1670">
        <v>5916</v>
      </c>
      <c r="E1670">
        <v>10</v>
      </c>
      <c r="F1670">
        <v>26</v>
      </c>
      <c r="G1670" s="15">
        <v>2.6</v>
      </c>
      <c r="H1670" s="167">
        <f t="shared" ref="H1670:H1733" si="52">1/$L$6</f>
        <v>5.1413881748071976E-4</v>
      </c>
      <c r="I1670" s="167"/>
      <c r="J1670" s="167"/>
    </row>
    <row r="1671" spans="2:10" x14ac:dyDescent="0.25">
      <c r="B1671" s="169">
        <f t="shared" ref="B1671:B1734" si="53">B1670+H1671</f>
        <v>0.85655526992291109</v>
      </c>
      <c r="C1671">
        <v>4145</v>
      </c>
      <c r="E1671">
        <v>5</v>
      </c>
      <c r="F1671">
        <v>13</v>
      </c>
      <c r="G1671" s="15">
        <v>2.6</v>
      </c>
      <c r="H1671" s="167">
        <f t="shared" si="52"/>
        <v>5.1413881748071976E-4</v>
      </c>
      <c r="I1671" s="167"/>
      <c r="J1671" s="167"/>
    </row>
    <row r="1672" spans="2:10" x14ac:dyDescent="0.25">
      <c r="B1672" s="169">
        <f t="shared" si="53"/>
        <v>0.85706940874039184</v>
      </c>
      <c r="C1672">
        <v>7120</v>
      </c>
      <c r="E1672">
        <v>5</v>
      </c>
      <c r="F1672">
        <v>13</v>
      </c>
      <c r="G1672" s="15">
        <v>2.6</v>
      </c>
      <c r="H1672" s="167">
        <f t="shared" si="52"/>
        <v>5.1413881748071976E-4</v>
      </c>
      <c r="I1672" s="167"/>
      <c r="J1672" s="167"/>
    </row>
    <row r="1673" spans="2:10" x14ac:dyDescent="0.25">
      <c r="B1673" s="169">
        <f t="shared" si="53"/>
        <v>0.85758354755787258</v>
      </c>
      <c r="C1673">
        <v>4137</v>
      </c>
      <c r="E1673">
        <v>8</v>
      </c>
      <c r="F1673">
        <v>21</v>
      </c>
      <c r="G1673" s="15">
        <v>2.625</v>
      </c>
      <c r="H1673" s="167">
        <f t="shared" si="52"/>
        <v>5.1413881748071976E-4</v>
      </c>
      <c r="I1673" s="167"/>
      <c r="J1673" s="167"/>
    </row>
    <row r="1674" spans="2:10" x14ac:dyDescent="0.25">
      <c r="B1674" s="169">
        <f t="shared" si="53"/>
        <v>0.85809768637535333</v>
      </c>
      <c r="C1674">
        <v>6822</v>
      </c>
      <c r="E1674">
        <v>14</v>
      </c>
      <c r="F1674">
        <v>37</v>
      </c>
      <c r="G1674" s="15">
        <v>2.6428571428571401</v>
      </c>
      <c r="H1674" s="167">
        <f t="shared" si="52"/>
        <v>5.1413881748071976E-4</v>
      </c>
      <c r="I1674" s="167"/>
      <c r="J1674" s="167"/>
    </row>
    <row r="1675" spans="2:10" x14ac:dyDescent="0.25">
      <c r="B1675" s="169">
        <f t="shared" si="53"/>
        <v>0.85861182519283408</v>
      </c>
      <c r="C1675">
        <v>3840</v>
      </c>
      <c r="E1675">
        <v>90</v>
      </c>
      <c r="F1675">
        <v>238</v>
      </c>
      <c r="G1675" s="15">
        <v>2.6444444444444399</v>
      </c>
      <c r="H1675" s="167">
        <f t="shared" si="52"/>
        <v>5.1413881748071976E-4</v>
      </c>
      <c r="I1675" s="167"/>
      <c r="J1675" s="167"/>
    </row>
    <row r="1676" spans="2:10" x14ac:dyDescent="0.25">
      <c r="B1676" s="169">
        <f t="shared" si="53"/>
        <v>0.85912596401031482</v>
      </c>
      <c r="C1676">
        <v>4423</v>
      </c>
      <c r="E1676">
        <v>3</v>
      </c>
      <c r="F1676">
        <v>8</v>
      </c>
      <c r="G1676" s="15">
        <v>2.6666666666666701</v>
      </c>
      <c r="H1676" s="167">
        <f t="shared" si="52"/>
        <v>5.1413881748071976E-4</v>
      </c>
      <c r="I1676" s="167"/>
      <c r="J1676" s="167"/>
    </row>
    <row r="1677" spans="2:10" x14ac:dyDescent="0.25">
      <c r="B1677" s="169">
        <f t="shared" si="53"/>
        <v>0.85964010282779557</v>
      </c>
      <c r="C1677">
        <v>4424</v>
      </c>
      <c r="E1677">
        <v>3</v>
      </c>
      <c r="F1677">
        <v>8</v>
      </c>
      <c r="G1677" s="15">
        <v>2.6666666666666701</v>
      </c>
      <c r="H1677" s="167">
        <f t="shared" si="52"/>
        <v>5.1413881748071976E-4</v>
      </c>
      <c r="I1677" s="167"/>
      <c r="J1677" s="167"/>
    </row>
    <row r="1678" spans="2:10" x14ac:dyDescent="0.25">
      <c r="B1678" s="169">
        <f t="shared" si="53"/>
        <v>0.86015424164527632</v>
      </c>
      <c r="C1678">
        <v>4415</v>
      </c>
      <c r="E1678">
        <v>3</v>
      </c>
      <c r="F1678">
        <v>8</v>
      </c>
      <c r="G1678" s="15">
        <v>2.6666666666666701</v>
      </c>
      <c r="H1678" s="167">
        <f t="shared" si="52"/>
        <v>5.1413881748071976E-4</v>
      </c>
      <c r="I1678" s="167"/>
      <c r="J1678" s="167"/>
    </row>
    <row r="1679" spans="2:10" x14ac:dyDescent="0.25">
      <c r="B1679" s="169">
        <f t="shared" si="53"/>
        <v>0.86066838046275707</v>
      </c>
      <c r="C1679">
        <v>4777</v>
      </c>
      <c r="E1679">
        <v>15</v>
      </c>
      <c r="F1679">
        <v>40</v>
      </c>
      <c r="G1679" s="15">
        <v>2.6666666666666701</v>
      </c>
      <c r="H1679" s="167">
        <f t="shared" si="52"/>
        <v>5.1413881748071976E-4</v>
      </c>
      <c r="I1679" s="167"/>
      <c r="J1679" s="167"/>
    </row>
    <row r="1680" spans="2:10" x14ac:dyDescent="0.25">
      <c r="B1680" s="169">
        <f t="shared" si="53"/>
        <v>0.86118251928023781</v>
      </c>
      <c r="C1680">
        <v>2383</v>
      </c>
      <c r="E1680">
        <v>15</v>
      </c>
      <c r="F1680">
        <v>40</v>
      </c>
      <c r="G1680" s="15">
        <v>2.6666666666666701</v>
      </c>
      <c r="H1680" s="167">
        <f t="shared" si="52"/>
        <v>5.1413881748071976E-4</v>
      </c>
      <c r="I1680" s="167"/>
      <c r="J1680" s="167"/>
    </row>
    <row r="1681" spans="2:10" x14ac:dyDescent="0.25">
      <c r="B1681" s="169">
        <f t="shared" si="53"/>
        <v>0.86169665809771856</v>
      </c>
      <c r="C1681">
        <v>3619</v>
      </c>
      <c r="E1681">
        <v>45</v>
      </c>
      <c r="F1681">
        <v>121</v>
      </c>
      <c r="G1681" s="15">
        <v>2.68888888888889</v>
      </c>
      <c r="H1681" s="167">
        <f t="shared" si="52"/>
        <v>5.1413881748071976E-4</v>
      </c>
      <c r="I1681" s="167"/>
      <c r="J1681" s="167"/>
    </row>
    <row r="1682" spans="2:10" x14ac:dyDescent="0.25">
      <c r="B1682" s="169">
        <f t="shared" si="53"/>
        <v>0.86221079691519931</v>
      </c>
      <c r="C1682">
        <v>3603</v>
      </c>
      <c r="E1682">
        <v>36</v>
      </c>
      <c r="F1682">
        <v>97</v>
      </c>
      <c r="G1682" s="15">
        <v>2.6944444444444402</v>
      </c>
      <c r="H1682" s="167">
        <f t="shared" si="52"/>
        <v>5.1413881748071976E-4</v>
      </c>
      <c r="I1682" s="167"/>
      <c r="J1682" s="167"/>
    </row>
    <row r="1683" spans="2:10" x14ac:dyDescent="0.25">
      <c r="B1683" s="169">
        <f t="shared" si="53"/>
        <v>0.86272493573268005</v>
      </c>
      <c r="C1683">
        <v>3827</v>
      </c>
      <c r="E1683">
        <v>27</v>
      </c>
      <c r="F1683">
        <v>73</v>
      </c>
      <c r="G1683" s="15">
        <v>2.7037037037037002</v>
      </c>
      <c r="H1683" s="167">
        <f t="shared" si="52"/>
        <v>5.1413881748071976E-4</v>
      </c>
      <c r="I1683" s="167"/>
      <c r="J1683" s="167"/>
    </row>
    <row r="1684" spans="2:10" x14ac:dyDescent="0.25">
      <c r="B1684" s="169">
        <f t="shared" si="53"/>
        <v>0.8632390745501608</v>
      </c>
      <c r="C1684">
        <v>3610</v>
      </c>
      <c r="E1684">
        <v>45</v>
      </c>
      <c r="F1684">
        <v>122</v>
      </c>
      <c r="G1684" s="15">
        <v>2.7111111111111099</v>
      </c>
      <c r="H1684" s="167">
        <f t="shared" si="52"/>
        <v>5.1413881748071976E-4</v>
      </c>
      <c r="I1684" s="167"/>
      <c r="J1684" s="167"/>
    </row>
    <row r="1685" spans="2:10" x14ac:dyDescent="0.25">
      <c r="B1685" s="169">
        <f t="shared" si="53"/>
        <v>0.86375321336764155</v>
      </c>
      <c r="C1685">
        <v>6384</v>
      </c>
      <c r="E1685">
        <v>11</v>
      </c>
      <c r="F1685">
        <v>30</v>
      </c>
      <c r="G1685" s="15">
        <v>2.7272727272727302</v>
      </c>
      <c r="H1685" s="167">
        <f t="shared" si="52"/>
        <v>5.1413881748071976E-4</v>
      </c>
      <c r="I1685" s="167"/>
      <c r="J1685" s="167"/>
    </row>
    <row r="1686" spans="2:10" x14ac:dyDescent="0.25">
      <c r="B1686" s="169">
        <f t="shared" si="53"/>
        <v>0.8642673521851223</v>
      </c>
      <c r="C1686">
        <v>1881</v>
      </c>
      <c r="E1686">
        <v>15</v>
      </c>
      <c r="F1686">
        <v>41</v>
      </c>
      <c r="G1686" s="15">
        <v>2.7333333333333298</v>
      </c>
      <c r="H1686" s="167">
        <f t="shared" si="52"/>
        <v>5.1413881748071976E-4</v>
      </c>
      <c r="I1686" s="167"/>
      <c r="J1686" s="167"/>
    </row>
    <row r="1687" spans="2:10" x14ac:dyDescent="0.25">
      <c r="B1687" s="169">
        <f t="shared" si="53"/>
        <v>0.86478149100260304</v>
      </c>
      <c r="C1687">
        <v>3935</v>
      </c>
      <c r="E1687">
        <v>20</v>
      </c>
      <c r="F1687">
        <v>55</v>
      </c>
      <c r="G1687" s="15">
        <v>2.75</v>
      </c>
      <c r="H1687" s="167">
        <f t="shared" si="52"/>
        <v>5.1413881748071976E-4</v>
      </c>
      <c r="I1687" s="167"/>
      <c r="J1687" s="167"/>
    </row>
    <row r="1688" spans="2:10" x14ac:dyDescent="0.25">
      <c r="B1688" s="169">
        <f t="shared" si="53"/>
        <v>0.86529562982008379</v>
      </c>
      <c r="C1688">
        <v>4102</v>
      </c>
      <c r="E1688">
        <v>4</v>
      </c>
      <c r="F1688">
        <v>11</v>
      </c>
      <c r="G1688" s="15">
        <v>2.75</v>
      </c>
      <c r="H1688" s="167">
        <f t="shared" si="52"/>
        <v>5.1413881748071976E-4</v>
      </c>
      <c r="I1688" s="167"/>
      <c r="J1688" s="167"/>
    </row>
    <row r="1689" spans="2:10" x14ac:dyDescent="0.25">
      <c r="B1689" s="169">
        <f t="shared" si="53"/>
        <v>0.86580976863756454</v>
      </c>
      <c r="C1689">
        <v>3894</v>
      </c>
      <c r="E1689">
        <v>50</v>
      </c>
      <c r="F1689">
        <v>139</v>
      </c>
      <c r="G1689" s="15">
        <v>2.78</v>
      </c>
      <c r="H1689" s="167">
        <f t="shared" si="52"/>
        <v>5.1413881748071976E-4</v>
      </c>
      <c r="I1689" s="167"/>
      <c r="J1689" s="167"/>
    </row>
    <row r="1690" spans="2:10" x14ac:dyDescent="0.25">
      <c r="B1690" s="169">
        <f t="shared" si="53"/>
        <v>0.86632390745504528</v>
      </c>
      <c r="C1690">
        <v>4030</v>
      </c>
      <c r="E1690">
        <v>45</v>
      </c>
      <c r="F1690">
        <v>126</v>
      </c>
      <c r="G1690" s="15">
        <v>2.8</v>
      </c>
      <c r="H1690" s="167">
        <f t="shared" si="52"/>
        <v>5.1413881748071976E-4</v>
      </c>
      <c r="I1690" s="167"/>
      <c r="J1690" s="167"/>
    </row>
    <row r="1691" spans="2:10" x14ac:dyDescent="0.25">
      <c r="B1691" s="169">
        <f t="shared" si="53"/>
        <v>0.86683804627252603</v>
      </c>
      <c r="C1691">
        <v>4036</v>
      </c>
      <c r="E1691">
        <v>45</v>
      </c>
      <c r="F1691">
        <v>126</v>
      </c>
      <c r="G1691" s="15">
        <v>2.8</v>
      </c>
      <c r="H1691" s="167">
        <f t="shared" si="52"/>
        <v>5.1413881748071976E-4</v>
      </c>
      <c r="I1691" s="167"/>
      <c r="J1691" s="167"/>
    </row>
    <row r="1692" spans="2:10" x14ac:dyDescent="0.25">
      <c r="B1692" s="169">
        <f t="shared" si="53"/>
        <v>0.86735218509000678</v>
      </c>
      <c r="C1692">
        <v>2434</v>
      </c>
      <c r="E1692">
        <v>21</v>
      </c>
      <c r="F1692">
        <v>59</v>
      </c>
      <c r="G1692" s="15">
        <v>2.8095238095238102</v>
      </c>
      <c r="H1692" s="167">
        <f t="shared" si="52"/>
        <v>5.1413881748071976E-4</v>
      </c>
      <c r="I1692" s="167"/>
      <c r="J1692" s="167"/>
    </row>
    <row r="1693" spans="2:10" x14ac:dyDescent="0.25">
      <c r="B1693" s="169">
        <f t="shared" si="53"/>
        <v>0.86786632390748752</v>
      </c>
      <c r="C1693">
        <v>1969</v>
      </c>
      <c r="E1693">
        <v>61</v>
      </c>
      <c r="F1693">
        <v>172</v>
      </c>
      <c r="G1693" s="15">
        <v>2.8196721311475401</v>
      </c>
      <c r="H1693" s="167">
        <f t="shared" si="52"/>
        <v>5.1413881748071976E-4</v>
      </c>
      <c r="I1693" s="167"/>
      <c r="J1693" s="167"/>
    </row>
    <row r="1694" spans="2:10" x14ac:dyDescent="0.25">
      <c r="B1694" s="169">
        <f t="shared" si="53"/>
        <v>0.86838046272496827</v>
      </c>
      <c r="C1694">
        <v>3616</v>
      </c>
      <c r="E1694">
        <v>35</v>
      </c>
      <c r="F1694">
        <v>99</v>
      </c>
      <c r="G1694" s="15">
        <v>2.8285714285714301</v>
      </c>
      <c r="H1694" s="167">
        <f t="shared" si="52"/>
        <v>5.1413881748071976E-4</v>
      </c>
      <c r="I1694" s="167"/>
      <c r="J1694" s="167"/>
    </row>
    <row r="1695" spans="2:10" x14ac:dyDescent="0.25">
      <c r="B1695" s="169">
        <f t="shared" si="53"/>
        <v>0.86889460154244902</v>
      </c>
      <c r="C1695">
        <v>3943</v>
      </c>
      <c r="E1695">
        <v>35</v>
      </c>
      <c r="F1695">
        <v>99</v>
      </c>
      <c r="G1695" s="15">
        <v>2.8285714285714301</v>
      </c>
      <c r="H1695" s="167">
        <f t="shared" si="52"/>
        <v>5.1413881748071976E-4</v>
      </c>
      <c r="I1695" s="167"/>
      <c r="J1695" s="167"/>
    </row>
    <row r="1696" spans="2:10" x14ac:dyDescent="0.25">
      <c r="B1696" s="169">
        <f t="shared" si="53"/>
        <v>0.86940874035992977</v>
      </c>
      <c r="C1696">
        <v>4885</v>
      </c>
      <c r="E1696">
        <v>20</v>
      </c>
      <c r="F1696">
        <v>57</v>
      </c>
      <c r="G1696" s="15">
        <v>2.85</v>
      </c>
      <c r="H1696" s="167">
        <f t="shared" si="52"/>
        <v>5.1413881748071976E-4</v>
      </c>
      <c r="I1696" s="167"/>
      <c r="J1696" s="167"/>
    </row>
    <row r="1697" spans="2:10" x14ac:dyDescent="0.25">
      <c r="B1697" s="169">
        <f t="shared" si="53"/>
        <v>0.86992287917741051</v>
      </c>
      <c r="C1697">
        <v>6034</v>
      </c>
      <c r="E1697">
        <v>20</v>
      </c>
      <c r="F1697">
        <v>57</v>
      </c>
      <c r="G1697" s="15">
        <v>2.85</v>
      </c>
      <c r="H1697" s="167">
        <f t="shared" si="52"/>
        <v>5.1413881748071976E-4</v>
      </c>
      <c r="I1697" s="167"/>
      <c r="J1697" s="167"/>
    </row>
    <row r="1698" spans="2:10" x14ac:dyDescent="0.25">
      <c r="B1698" s="169">
        <f t="shared" si="53"/>
        <v>0.87043701799489126</v>
      </c>
      <c r="C1698">
        <v>5562</v>
      </c>
      <c r="E1698">
        <v>27</v>
      </c>
      <c r="F1698">
        <v>77</v>
      </c>
      <c r="G1698" s="15">
        <v>2.8518518518518499</v>
      </c>
      <c r="H1698" s="167">
        <f t="shared" si="52"/>
        <v>5.1413881748071976E-4</v>
      </c>
      <c r="I1698" s="167"/>
      <c r="J1698" s="167"/>
    </row>
    <row r="1699" spans="2:10" x14ac:dyDescent="0.25">
      <c r="B1699" s="169">
        <f t="shared" si="53"/>
        <v>0.87095115681237201</v>
      </c>
      <c r="C1699">
        <v>3898</v>
      </c>
      <c r="E1699">
        <v>35</v>
      </c>
      <c r="F1699">
        <v>100</v>
      </c>
      <c r="G1699" s="15">
        <v>2.8571428571428599</v>
      </c>
      <c r="H1699" s="167">
        <f t="shared" si="52"/>
        <v>5.1413881748071976E-4</v>
      </c>
      <c r="I1699" s="167"/>
      <c r="J1699" s="167"/>
    </row>
    <row r="1700" spans="2:10" x14ac:dyDescent="0.25">
      <c r="B1700" s="169">
        <f t="shared" si="53"/>
        <v>0.87146529562985275</v>
      </c>
      <c r="C1700">
        <v>4028</v>
      </c>
      <c r="E1700">
        <v>45</v>
      </c>
      <c r="F1700">
        <v>129</v>
      </c>
      <c r="G1700" s="15">
        <v>2.8666666666666698</v>
      </c>
      <c r="H1700" s="167">
        <f t="shared" si="52"/>
        <v>5.1413881748071976E-4</v>
      </c>
      <c r="I1700" s="167"/>
      <c r="J1700" s="167"/>
    </row>
    <row r="1701" spans="2:10" x14ac:dyDescent="0.25">
      <c r="B1701" s="169">
        <f t="shared" si="53"/>
        <v>0.8719794344473335</v>
      </c>
      <c r="C1701">
        <v>5994</v>
      </c>
      <c r="E1701">
        <v>14</v>
      </c>
      <c r="F1701">
        <v>41</v>
      </c>
      <c r="G1701" s="15">
        <v>2.9285714285714302</v>
      </c>
      <c r="H1701" s="167">
        <f t="shared" si="52"/>
        <v>5.1413881748071976E-4</v>
      </c>
      <c r="I1701" s="167"/>
      <c r="J1701" s="167"/>
    </row>
    <row r="1702" spans="2:10" x14ac:dyDescent="0.25">
      <c r="B1702" s="169">
        <f t="shared" si="53"/>
        <v>0.87249357326481425</v>
      </c>
      <c r="C1702">
        <v>3911</v>
      </c>
      <c r="E1702">
        <v>15</v>
      </c>
      <c r="F1702">
        <v>44</v>
      </c>
      <c r="G1702" s="15">
        <v>2.93333333333333</v>
      </c>
      <c r="H1702" s="167">
        <f t="shared" si="52"/>
        <v>5.1413881748071976E-4</v>
      </c>
      <c r="I1702" s="167"/>
      <c r="J1702" s="167"/>
    </row>
    <row r="1703" spans="2:10" x14ac:dyDescent="0.25">
      <c r="B1703" s="169">
        <f t="shared" si="53"/>
        <v>0.873007712082295</v>
      </c>
      <c r="C1703">
        <v>3909</v>
      </c>
      <c r="E1703">
        <v>70</v>
      </c>
      <c r="F1703">
        <v>208</v>
      </c>
      <c r="G1703" s="15">
        <v>2.9714285714285702</v>
      </c>
      <c r="H1703" s="167">
        <f t="shared" si="52"/>
        <v>5.1413881748071976E-4</v>
      </c>
      <c r="I1703" s="167"/>
      <c r="J1703" s="167"/>
    </row>
    <row r="1704" spans="2:10" x14ac:dyDescent="0.25">
      <c r="B1704" s="169">
        <f t="shared" si="53"/>
        <v>0.87352185089977574</v>
      </c>
      <c r="C1704">
        <v>4316</v>
      </c>
      <c r="E1704">
        <v>6</v>
      </c>
      <c r="F1704">
        <v>18</v>
      </c>
      <c r="G1704" s="15">
        <v>3</v>
      </c>
      <c r="H1704" s="167">
        <f t="shared" si="52"/>
        <v>5.1413881748071976E-4</v>
      </c>
      <c r="I1704" s="167"/>
      <c r="J1704" s="167"/>
    </row>
    <row r="1705" spans="2:10" x14ac:dyDescent="0.25">
      <c r="B1705" s="169">
        <f t="shared" si="53"/>
        <v>0.87403598971725649</v>
      </c>
      <c r="C1705">
        <v>3633</v>
      </c>
      <c r="E1705">
        <v>20</v>
      </c>
      <c r="F1705">
        <v>60</v>
      </c>
      <c r="G1705" s="15">
        <v>3</v>
      </c>
      <c r="H1705" s="167">
        <f t="shared" si="52"/>
        <v>5.1413881748071976E-4</v>
      </c>
      <c r="I1705" s="167"/>
      <c r="J1705" s="167"/>
    </row>
    <row r="1706" spans="2:10" x14ac:dyDescent="0.25">
      <c r="B1706" s="169">
        <f t="shared" si="53"/>
        <v>0.87455012853473724</v>
      </c>
      <c r="C1706">
        <v>4416</v>
      </c>
      <c r="E1706">
        <v>5</v>
      </c>
      <c r="F1706">
        <v>15</v>
      </c>
      <c r="G1706" s="15">
        <v>3</v>
      </c>
      <c r="H1706" s="167">
        <f t="shared" si="52"/>
        <v>5.1413881748071976E-4</v>
      </c>
      <c r="I1706" s="167"/>
      <c r="J1706" s="167"/>
    </row>
    <row r="1707" spans="2:10" x14ac:dyDescent="0.25">
      <c r="B1707" s="169">
        <f t="shared" si="53"/>
        <v>0.87506426735221798</v>
      </c>
      <c r="C1707">
        <v>3321</v>
      </c>
      <c r="E1707">
        <v>2</v>
      </c>
      <c r="F1707">
        <v>6</v>
      </c>
      <c r="G1707" s="15">
        <v>3</v>
      </c>
      <c r="H1707" s="167">
        <f t="shared" si="52"/>
        <v>5.1413881748071976E-4</v>
      </c>
      <c r="I1707" s="167"/>
      <c r="J1707" s="167"/>
    </row>
    <row r="1708" spans="2:10" x14ac:dyDescent="0.25">
      <c r="B1708" s="169">
        <f t="shared" si="53"/>
        <v>0.87557840616969873</v>
      </c>
      <c r="C1708">
        <v>3899</v>
      </c>
      <c r="E1708">
        <v>15</v>
      </c>
      <c r="F1708">
        <v>45</v>
      </c>
      <c r="G1708" s="15">
        <v>3</v>
      </c>
      <c r="H1708" s="167">
        <f t="shared" si="52"/>
        <v>5.1413881748071976E-4</v>
      </c>
      <c r="I1708" s="167"/>
      <c r="J1708" s="167"/>
    </row>
    <row r="1709" spans="2:10" x14ac:dyDescent="0.25">
      <c r="B1709" s="169">
        <f t="shared" si="53"/>
        <v>0.87609254498717948</v>
      </c>
      <c r="C1709">
        <v>5532</v>
      </c>
      <c r="E1709">
        <v>1</v>
      </c>
      <c r="F1709">
        <v>3</v>
      </c>
      <c r="G1709" s="15">
        <v>3</v>
      </c>
      <c r="H1709" s="167">
        <f t="shared" si="52"/>
        <v>5.1413881748071976E-4</v>
      </c>
      <c r="I1709" s="167"/>
      <c r="J1709" s="167"/>
    </row>
    <row r="1710" spans="2:10" x14ac:dyDescent="0.25">
      <c r="B1710" s="169">
        <f t="shared" si="53"/>
        <v>0.87660668380466022</v>
      </c>
      <c r="C1710">
        <v>5938</v>
      </c>
      <c r="E1710">
        <v>20</v>
      </c>
      <c r="F1710">
        <v>60</v>
      </c>
      <c r="G1710" s="15">
        <v>3</v>
      </c>
      <c r="H1710" s="167">
        <f t="shared" si="52"/>
        <v>5.1413881748071976E-4</v>
      </c>
      <c r="I1710" s="167"/>
      <c r="J1710" s="167"/>
    </row>
    <row r="1711" spans="2:10" x14ac:dyDescent="0.25">
      <c r="B1711" s="169">
        <f t="shared" si="53"/>
        <v>0.87712082262214097</v>
      </c>
      <c r="C1711">
        <v>3981</v>
      </c>
      <c r="E1711">
        <v>10</v>
      </c>
      <c r="F1711">
        <v>30</v>
      </c>
      <c r="G1711" s="15">
        <v>3</v>
      </c>
      <c r="H1711" s="167">
        <f t="shared" si="52"/>
        <v>5.1413881748071976E-4</v>
      </c>
      <c r="I1711" s="167"/>
      <c r="J1711" s="167"/>
    </row>
    <row r="1712" spans="2:10" x14ac:dyDescent="0.25">
      <c r="B1712" s="169">
        <f t="shared" si="53"/>
        <v>0.87763496143962172</v>
      </c>
      <c r="C1712">
        <v>6411</v>
      </c>
      <c r="E1712">
        <v>2</v>
      </c>
      <c r="F1712">
        <v>6</v>
      </c>
      <c r="G1712" s="15">
        <v>3</v>
      </c>
      <c r="H1712" s="167">
        <f t="shared" si="52"/>
        <v>5.1413881748071976E-4</v>
      </c>
      <c r="I1712" s="167"/>
      <c r="J1712" s="167"/>
    </row>
    <row r="1713" spans="2:10" x14ac:dyDescent="0.25">
      <c r="B1713" s="169">
        <f t="shared" si="53"/>
        <v>0.87814910025710247</v>
      </c>
      <c r="C1713">
        <v>6448</v>
      </c>
      <c r="E1713">
        <v>2</v>
      </c>
      <c r="F1713">
        <v>6</v>
      </c>
      <c r="G1713" s="15">
        <v>3</v>
      </c>
      <c r="H1713" s="167">
        <f t="shared" si="52"/>
        <v>5.1413881748071976E-4</v>
      </c>
      <c r="I1713" s="167"/>
      <c r="J1713" s="167"/>
    </row>
    <row r="1714" spans="2:10" x14ac:dyDescent="0.25">
      <c r="B1714" s="169">
        <f t="shared" si="53"/>
        <v>0.87866323907458321</v>
      </c>
      <c r="C1714">
        <v>4039</v>
      </c>
      <c r="E1714">
        <v>45</v>
      </c>
      <c r="F1714">
        <v>135</v>
      </c>
      <c r="G1714" s="15">
        <v>3</v>
      </c>
      <c r="H1714" s="167">
        <f t="shared" si="52"/>
        <v>5.1413881748071976E-4</v>
      </c>
      <c r="I1714" s="167"/>
      <c r="J1714" s="167"/>
    </row>
    <row r="1715" spans="2:10" x14ac:dyDescent="0.25">
      <c r="B1715" s="169">
        <f t="shared" si="53"/>
        <v>0.87917737789206396</v>
      </c>
      <c r="C1715">
        <v>4043</v>
      </c>
      <c r="E1715">
        <v>45</v>
      </c>
      <c r="F1715">
        <v>135</v>
      </c>
      <c r="G1715" s="15">
        <v>3</v>
      </c>
      <c r="H1715" s="167">
        <f t="shared" si="52"/>
        <v>5.1413881748071976E-4</v>
      </c>
      <c r="I1715" s="167"/>
      <c r="J1715" s="167"/>
    </row>
    <row r="1716" spans="2:10" x14ac:dyDescent="0.25">
      <c r="B1716" s="169">
        <f t="shared" si="53"/>
        <v>0.87969151670954471</v>
      </c>
      <c r="C1716">
        <v>4045</v>
      </c>
      <c r="E1716">
        <v>45</v>
      </c>
      <c r="F1716">
        <v>135</v>
      </c>
      <c r="G1716" s="15">
        <v>3</v>
      </c>
      <c r="H1716" s="167">
        <f t="shared" si="52"/>
        <v>5.1413881748071976E-4</v>
      </c>
      <c r="I1716" s="167"/>
      <c r="J1716" s="167"/>
    </row>
    <row r="1717" spans="2:10" x14ac:dyDescent="0.25">
      <c r="B1717" s="169">
        <f t="shared" si="53"/>
        <v>0.88020565552702545</v>
      </c>
      <c r="C1717">
        <v>4047</v>
      </c>
      <c r="E1717">
        <v>45</v>
      </c>
      <c r="F1717">
        <v>135</v>
      </c>
      <c r="G1717" s="15">
        <v>3</v>
      </c>
      <c r="H1717" s="167">
        <f t="shared" si="52"/>
        <v>5.1413881748071976E-4</v>
      </c>
      <c r="I1717" s="167"/>
      <c r="J1717" s="167"/>
    </row>
    <row r="1718" spans="2:10" x14ac:dyDescent="0.25">
      <c r="B1718" s="169">
        <f t="shared" si="53"/>
        <v>0.8807197943445062</v>
      </c>
      <c r="C1718">
        <v>4048</v>
      </c>
      <c r="E1718">
        <v>45</v>
      </c>
      <c r="F1718">
        <v>135</v>
      </c>
      <c r="G1718" s="15">
        <v>3</v>
      </c>
      <c r="H1718" s="167">
        <f t="shared" si="52"/>
        <v>5.1413881748071976E-4</v>
      </c>
      <c r="I1718" s="167"/>
      <c r="J1718" s="167"/>
    </row>
    <row r="1719" spans="2:10" x14ac:dyDescent="0.25">
      <c r="B1719" s="169">
        <f t="shared" si="53"/>
        <v>0.88123393316198695</v>
      </c>
      <c r="C1719">
        <v>4049</v>
      </c>
      <c r="E1719">
        <v>45</v>
      </c>
      <c r="F1719">
        <v>135</v>
      </c>
      <c r="G1719" s="15">
        <v>3</v>
      </c>
      <c r="H1719" s="167">
        <f t="shared" si="52"/>
        <v>5.1413881748071976E-4</v>
      </c>
      <c r="I1719" s="167"/>
      <c r="J1719" s="167"/>
    </row>
    <row r="1720" spans="2:10" x14ac:dyDescent="0.25">
      <c r="B1720" s="169">
        <f t="shared" si="53"/>
        <v>0.8817480719794677</v>
      </c>
      <c r="C1720">
        <v>4052</v>
      </c>
      <c r="E1720">
        <v>45</v>
      </c>
      <c r="F1720">
        <v>135</v>
      </c>
      <c r="G1720" s="15">
        <v>3</v>
      </c>
      <c r="H1720" s="167">
        <f t="shared" si="52"/>
        <v>5.1413881748071976E-4</v>
      </c>
      <c r="I1720" s="167"/>
      <c r="J1720" s="167"/>
    </row>
    <row r="1721" spans="2:10" x14ac:dyDescent="0.25">
      <c r="B1721" s="169">
        <f t="shared" si="53"/>
        <v>0.88226221079694844</v>
      </c>
      <c r="C1721">
        <v>4040</v>
      </c>
      <c r="E1721">
        <v>45</v>
      </c>
      <c r="F1721">
        <v>135</v>
      </c>
      <c r="G1721" s="15">
        <v>3</v>
      </c>
      <c r="H1721" s="167">
        <f t="shared" si="52"/>
        <v>5.1413881748071976E-4</v>
      </c>
      <c r="I1721" s="167"/>
      <c r="J1721" s="167"/>
    </row>
    <row r="1722" spans="2:10" x14ac:dyDescent="0.25">
      <c r="B1722" s="169">
        <f t="shared" si="53"/>
        <v>0.88277634961442919</v>
      </c>
      <c r="C1722">
        <v>4041</v>
      </c>
      <c r="E1722">
        <v>45</v>
      </c>
      <c r="F1722">
        <v>135</v>
      </c>
      <c r="G1722" s="15">
        <v>3</v>
      </c>
      <c r="H1722" s="167">
        <f t="shared" si="52"/>
        <v>5.1413881748071976E-4</v>
      </c>
      <c r="I1722" s="167"/>
      <c r="J1722" s="167"/>
    </row>
    <row r="1723" spans="2:10" x14ac:dyDescent="0.25">
      <c r="B1723" s="169">
        <f t="shared" si="53"/>
        <v>0.88329048843190994</v>
      </c>
      <c r="C1723">
        <v>5490</v>
      </c>
      <c r="E1723">
        <v>45</v>
      </c>
      <c r="F1723">
        <v>135</v>
      </c>
      <c r="G1723" s="15">
        <v>3</v>
      </c>
      <c r="H1723" s="167">
        <f t="shared" si="52"/>
        <v>5.1413881748071976E-4</v>
      </c>
      <c r="I1723" s="167"/>
      <c r="J1723" s="167"/>
    </row>
    <row r="1724" spans="2:10" x14ac:dyDescent="0.25">
      <c r="B1724" s="169">
        <f t="shared" si="53"/>
        <v>0.88380462724939068</v>
      </c>
      <c r="C1724">
        <v>4025</v>
      </c>
      <c r="E1724">
        <v>45</v>
      </c>
      <c r="F1724">
        <v>135</v>
      </c>
      <c r="G1724" s="15">
        <v>3</v>
      </c>
      <c r="H1724" s="167">
        <f t="shared" si="52"/>
        <v>5.1413881748071976E-4</v>
      </c>
      <c r="I1724" s="167"/>
      <c r="J1724" s="167"/>
    </row>
    <row r="1725" spans="2:10" x14ac:dyDescent="0.25">
      <c r="B1725" s="169">
        <f t="shared" si="53"/>
        <v>0.88431876606687143</v>
      </c>
      <c r="C1725">
        <v>4044</v>
      </c>
      <c r="E1725">
        <v>45</v>
      </c>
      <c r="F1725">
        <v>135</v>
      </c>
      <c r="G1725" s="15">
        <v>3</v>
      </c>
      <c r="H1725" s="167">
        <f t="shared" si="52"/>
        <v>5.1413881748071976E-4</v>
      </c>
      <c r="I1725" s="167"/>
      <c r="J1725" s="167"/>
    </row>
    <row r="1726" spans="2:10" x14ac:dyDescent="0.25">
      <c r="B1726" s="169">
        <f t="shared" si="53"/>
        <v>0.88483290488435218</v>
      </c>
      <c r="C1726">
        <v>5497</v>
      </c>
      <c r="E1726">
        <v>8</v>
      </c>
      <c r="F1726">
        <v>24</v>
      </c>
      <c r="G1726" s="15">
        <v>3</v>
      </c>
      <c r="H1726" s="167">
        <f t="shared" si="52"/>
        <v>5.1413881748071976E-4</v>
      </c>
      <c r="I1726" s="167"/>
      <c r="J1726" s="167"/>
    </row>
    <row r="1727" spans="2:10" x14ac:dyDescent="0.25">
      <c r="B1727" s="169">
        <f t="shared" si="53"/>
        <v>0.88534704370183293</v>
      </c>
      <c r="C1727">
        <v>7068</v>
      </c>
      <c r="E1727">
        <v>8</v>
      </c>
      <c r="F1727">
        <v>24</v>
      </c>
      <c r="G1727" s="15">
        <v>3</v>
      </c>
      <c r="H1727" s="167">
        <f t="shared" si="52"/>
        <v>5.1413881748071976E-4</v>
      </c>
      <c r="I1727" s="167"/>
      <c r="J1727" s="167"/>
    </row>
    <row r="1728" spans="2:10" x14ac:dyDescent="0.25">
      <c r="B1728" s="169">
        <f t="shared" si="53"/>
        <v>0.88586118251931367</v>
      </c>
      <c r="C1728">
        <v>4139</v>
      </c>
      <c r="E1728">
        <v>1</v>
      </c>
      <c r="F1728">
        <v>3</v>
      </c>
      <c r="G1728" s="15">
        <v>3</v>
      </c>
      <c r="H1728" s="167">
        <f t="shared" si="52"/>
        <v>5.1413881748071976E-4</v>
      </c>
      <c r="I1728" s="167"/>
      <c r="J1728" s="167"/>
    </row>
    <row r="1729" spans="2:10" x14ac:dyDescent="0.25">
      <c r="B1729" s="169">
        <f t="shared" si="53"/>
        <v>0.88637532133679442</v>
      </c>
      <c r="C1729">
        <v>1769</v>
      </c>
      <c r="E1729">
        <v>9</v>
      </c>
      <c r="F1729">
        <v>27</v>
      </c>
      <c r="G1729" s="15">
        <v>3</v>
      </c>
      <c r="H1729" s="167">
        <f t="shared" si="52"/>
        <v>5.1413881748071976E-4</v>
      </c>
      <c r="I1729" s="167"/>
      <c r="J1729" s="167"/>
    </row>
    <row r="1730" spans="2:10" x14ac:dyDescent="0.25">
      <c r="B1730" s="169">
        <f t="shared" si="53"/>
        <v>0.88688946015427517</v>
      </c>
      <c r="C1730">
        <v>6976</v>
      </c>
      <c r="E1730">
        <v>11</v>
      </c>
      <c r="F1730">
        <v>33</v>
      </c>
      <c r="G1730" s="15">
        <v>3</v>
      </c>
      <c r="H1730" s="167">
        <f t="shared" si="52"/>
        <v>5.1413881748071976E-4</v>
      </c>
      <c r="I1730" s="167"/>
      <c r="J1730" s="167"/>
    </row>
    <row r="1731" spans="2:10" x14ac:dyDescent="0.25">
      <c r="B1731" s="169">
        <f t="shared" si="53"/>
        <v>0.88740359897175591</v>
      </c>
      <c r="C1731">
        <v>7119</v>
      </c>
      <c r="E1731">
        <v>5</v>
      </c>
      <c r="F1731">
        <v>15</v>
      </c>
      <c r="G1731" s="15">
        <v>3</v>
      </c>
      <c r="H1731" s="167">
        <f t="shared" si="52"/>
        <v>5.1413881748071976E-4</v>
      </c>
      <c r="I1731" s="167"/>
      <c r="J1731" s="167"/>
    </row>
    <row r="1732" spans="2:10" x14ac:dyDescent="0.25">
      <c r="B1732" s="169">
        <f t="shared" si="53"/>
        <v>0.88791773778923666</v>
      </c>
      <c r="C1732">
        <v>4201</v>
      </c>
      <c r="E1732">
        <v>4</v>
      </c>
      <c r="F1732">
        <v>12</v>
      </c>
      <c r="G1732" s="15">
        <v>3</v>
      </c>
      <c r="H1732" s="167">
        <f t="shared" si="52"/>
        <v>5.1413881748071976E-4</v>
      </c>
      <c r="I1732" s="167"/>
      <c r="J1732" s="167"/>
    </row>
    <row r="1733" spans="2:10" x14ac:dyDescent="0.25">
      <c r="B1733" s="169">
        <f t="shared" si="53"/>
        <v>0.88843187660671741</v>
      </c>
      <c r="C1733">
        <v>5488</v>
      </c>
      <c r="E1733">
        <v>33</v>
      </c>
      <c r="F1733">
        <v>100</v>
      </c>
      <c r="G1733" s="15">
        <v>3.0303030303030298</v>
      </c>
      <c r="H1733" s="167">
        <f t="shared" si="52"/>
        <v>5.1413881748071976E-4</v>
      </c>
      <c r="I1733" s="167"/>
      <c r="J1733" s="167"/>
    </row>
    <row r="1734" spans="2:10" x14ac:dyDescent="0.25">
      <c r="B1734" s="169">
        <f t="shared" si="53"/>
        <v>0.88894601542419815</v>
      </c>
      <c r="C1734">
        <v>6117</v>
      </c>
      <c r="E1734">
        <v>30</v>
      </c>
      <c r="F1734">
        <v>91</v>
      </c>
      <c r="G1734" s="15">
        <v>3.0333333333333301</v>
      </c>
      <c r="H1734" s="167">
        <f t="shared" ref="H1734:H1797" si="54">1/$L$6</f>
        <v>5.1413881748071976E-4</v>
      </c>
      <c r="I1734" s="167"/>
      <c r="J1734" s="167"/>
    </row>
    <row r="1735" spans="2:10" x14ac:dyDescent="0.25">
      <c r="B1735" s="169">
        <f t="shared" ref="B1735:B1798" si="55">B1734+H1735</f>
        <v>0.8894601542416789</v>
      </c>
      <c r="C1735">
        <v>6420</v>
      </c>
      <c r="E1735">
        <v>60</v>
      </c>
      <c r="F1735">
        <v>182</v>
      </c>
      <c r="G1735" s="15">
        <v>3.0333333333333301</v>
      </c>
      <c r="H1735" s="167">
        <f t="shared" si="54"/>
        <v>5.1413881748071976E-4</v>
      </c>
      <c r="I1735" s="167"/>
      <c r="J1735" s="167"/>
    </row>
    <row r="1736" spans="2:10" x14ac:dyDescent="0.25">
      <c r="B1736" s="169">
        <f t="shared" si="55"/>
        <v>0.88997429305915965</v>
      </c>
      <c r="C1736">
        <v>4753</v>
      </c>
      <c r="E1736">
        <v>24</v>
      </c>
      <c r="F1736">
        <v>73</v>
      </c>
      <c r="G1736" s="15">
        <v>3.0416666666666701</v>
      </c>
      <c r="H1736" s="167">
        <f t="shared" si="54"/>
        <v>5.1413881748071976E-4</v>
      </c>
      <c r="I1736" s="167"/>
      <c r="J1736" s="167"/>
    </row>
    <row r="1737" spans="2:10" x14ac:dyDescent="0.25">
      <c r="B1737" s="169">
        <f t="shared" si="55"/>
        <v>0.8904884318766404</v>
      </c>
      <c r="C1737">
        <v>3926</v>
      </c>
      <c r="E1737">
        <v>40</v>
      </c>
      <c r="F1737">
        <v>122</v>
      </c>
      <c r="G1737" s="15">
        <v>3.05</v>
      </c>
      <c r="H1737" s="167">
        <f t="shared" si="54"/>
        <v>5.1413881748071976E-4</v>
      </c>
      <c r="I1737" s="167"/>
      <c r="J1737" s="167"/>
    </row>
    <row r="1738" spans="2:10" x14ac:dyDescent="0.25">
      <c r="B1738" s="169">
        <f t="shared" si="55"/>
        <v>0.89100257069412114</v>
      </c>
      <c r="C1738">
        <v>4331</v>
      </c>
      <c r="E1738">
        <v>19</v>
      </c>
      <c r="F1738">
        <v>58</v>
      </c>
      <c r="G1738" s="15">
        <v>3.0526315789473699</v>
      </c>
      <c r="H1738" s="167">
        <f t="shared" si="54"/>
        <v>5.1413881748071976E-4</v>
      </c>
      <c r="I1738" s="167"/>
      <c r="J1738" s="167"/>
    </row>
    <row r="1739" spans="2:10" x14ac:dyDescent="0.25">
      <c r="B1739" s="169">
        <f t="shared" si="55"/>
        <v>0.89151670951160189</v>
      </c>
      <c r="C1739">
        <v>2472</v>
      </c>
      <c r="E1739">
        <v>35</v>
      </c>
      <c r="F1739">
        <v>108</v>
      </c>
      <c r="G1739" s="15">
        <v>3.0857142857142899</v>
      </c>
      <c r="H1739" s="167">
        <f t="shared" si="54"/>
        <v>5.1413881748071976E-4</v>
      </c>
      <c r="I1739" s="167"/>
      <c r="J1739" s="167"/>
    </row>
    <row r="1740" spans="2:10" x14ac:dyDescent="0.25">
      <c r="B1740" s="169">
        <f t="shared" si="55"/>
        <v>0.89203084832908264</v>
      </c>
      <c r="C1740">
        <v>3825</v>
      </c>
      <c r="E1740">
        <v>27</v>
      </c>
      <c r="F1740">
        <v>84</v>
      </c>
      <c r="G1740" s="15">
        <v>3.1111111111111098</v>
      </c>
      <c r="H1740" s="167">
        <f t="shared" si="54"/>
        <v>5.1413881748071976E-4</v>
      </c>
      <c r="I1740" s="167"/>
      <c r="J1740" s="167"/>
    </row>
    <row r="1741" spans="2:10" x14ac:dyDescent="0.25">
      <c r="B1741" s="169">
        <f t="shared" si="55"/>
        <v>0.89254498714656338</v>
      </c>
      <c r="C1741">
        <v>3632</v>
      </c>
      <c r="E1741">
        <v>60</v>
      </c>
      <c r="F1741">
        <v>192</v>
      </c>
      <c r="G1741" s="15">
        <v>3.2</v>
      </c>
      <c r="H1741" s="167">
        <f t="shared" si="54"/>
        <v>5.1413881748071976E-4</v>
      </c>
      <c r="I1741" s="167"/>
      <c r="J1741" s="167"/>
    </row>
    <row r="1742" spans="2:10" x14ac:dyDescent="0.25">
      <c r="B1742" s="169">
        <f t="shared" si="55"/>
        <v>0.89305912596404413</v>
      </c>
      <c r="C1742">
        <v>4023</v>
      </c>
      <c r="E1742">
        <v>45</v>
      </c>
      <c r="F1742">
        <v>144</v>
      </c>
      <c r="G1742" s="15">
        <v>3.2</v>
      </c>
      <c r="H1742" s="167">
        <f t="shared" si="54"/>
        <v>5.1413881748071976E-4</v>
      </c>
      <c r="I1742" s="167"/>
      <c r="J1742" s="167"/>
    </row>
    <row r="1743" spans="2:10" x14ac:dyDescent="0.25">
      <c r="B1743" s="169">
        <f t="shared" si="55"/>
        <v>0.89357326478152488</v>
      </c>
      <c r="C1743">
        <v>2452</v>
      </c>
      <c r="E1743">
        <v>14</v>
      </c>
      <c r="F1743">
        <v>45</v>
      </c>
      <c r="G1743" s="15">
        <v>3.21428571428571</v>
      </c>
      <c r="H1743" s="167">
        <f t="shared" si="54"/>
        <v>5.1413881748071976E-4</v>
      </c>
      <c r="I1743" s="167"/>
      <c r="J1743" s="167"/>
    </row>
    <row r="1744" spans="2:10" x14ac:dyDescent="0.25">
      <c r="B1744" s="169">
        <f t="shared" si="55"/>
        <v>0.89408740359900563</v>
      </c>
      <c r="C1744">
        <v>4434</v>
      </c>
      <c r="E1744">
        <v>9</v>
      </c>
      <c r="F1744">
        <v>29</v>
      </c>
      <c r="G1744" s="15">
        <v>3.2222222222222201</v>
      </c>
      <c r="H1744" s="167">
        <f t="shared" si="54"/>
        <v>5.1413881748071976E-4</v>
      </c>
      <c r="I1744" s="167"/>
      <c r="J1744" s="167"/>
    </row>
    <row r="1745" spans="2:10" x14ac:dyDescent="0.25">
      <c r="B1745" s="169">
        <f t="shared" si="55"/>
        <v>0.89460154241648637</v>
      </c>
      <c r="C1745">
        <v>7179</v>
      </c>
      <c r="E1745">
        <v>8</v>
      </c>
      <c r="F1745">
        <v>26</v>
      </c>
      <c r="G1745" s="15">
        <v>3.25</v>
      </c>
      <c r="H1745" s="167">
        <f t="shared" si="54"/>
        <v>5.1413881748071976E-4</v>
      </c>
      <c r="I1745" s="167"/>
      <c r="J1745" s="167"/>
    </row>
    <row r="1746" spans="2:10" x14ac:dyDescent="0.25">
      <c r="B1746" s="169">
        <f t="shared" si="55"/>
        <v>0.89511568123396712</v>
      </c>
      <c r="C1746">
        <v>3829</v>
      </c>
      <c r="E1746">
        <v>19</v>
      </c>
      <c r="F1746">
        <v>62</v>
      </c>
      <c r="G1746" s="15">
        <v>3.2631578947368398</v>
      </c>
      <c r="H1746" s="167">
        <f t="shared" si="54"/>
        <v>5.1413881748071976E-4</v>
      </c>
      <c r="I1746" s="167"/>
      <c r="J1746" s="167"/>
    </row>
    <row r="1747" spans="2:10" x14ac:dyDescent="0.25">
      <c r="B1747" s="169">
        <f t="shared" si="55"/>
        <v>0.89562982005144787</v>
      </c>
      <c r="C1747">
        <v>4022</v>
      </c>
      <c r="E1747">
        <v>45</v>
      </c>
      <c r="F1747">
        <v>147</v>
      </c>
      <c r="G1747" s="15">
        <v>3.2666666666666702</v>
      </c>
      <c r="H1747" s="167">
        <f t="shared" si="54"/>
        <v>5.1413881748071976E-4</v>
      </c>
      <c r="I1747" s="167"/>
      <c r="J1747" s="167"/>
    </row>
    <row r="1748" spans="2:10" x14ac:dyDescent="0.25">
      <c r="B1748" s="169">
        <f t="shared" si="55"/>
        <v>0.89614395886892861</v>
      </c>
      <c r="C1748">
        <v>6090</v>
      </c>
      <c r="E1748">
        <v>15</v>
      </c>
      <c r="F1748">
        <v>49</v>
      </c>
      <c r="G1748" s="15">
        <v>3.2666666666666702</v>
      </c>
      <c r="H1748" s="167">
        <f t="shared" si="54"/>
        <v>5.1413881748071976E-4</v>
      </c>
      <c r="I1748" s="167"/>
      <c r="J1748" s="167"/>
    </row>
    <row r="1749" spans="2:10" x14ac:dyDescent="0.25">
      <c r="B1749" s="169">
        <f t="shared" si="55"/>
        <v>0.89665809768640936</v>
      </c>
      <c r="C1749">
        <v>3927</v>
      </c>
      <c r="E1749">
        <v>40</v>
      </c>
      <c r="F1749">
        <v>131</v>
      </c>
      <c r="G1749" s="15">
        <v>3.2749999999999999</v>
      </c>
      <c r="H1749" s="167">
        <f t="shared" si="54"/>
        <v>5.1413881748071976E-4</v>
      </c>
      <c r="I1749" s="167"/>
      <c r="J1749" s="167"/>
    </row>
    <row r="1750" spans="2:10" x14ac:dyDescent="0.25">
      <c r="B1750" s="169">
        <f t="shared" si="55"/>
        <v>0.89717223650389011</v>
      </c>
      <c r="C1750">
        <v>3987</v>
      </c>
      <c r="E1750">
        <v>50</v>
      </c>
      <c r="F1750">
        <v>164</v>
      </c>
      <c r="G1750" s="15">
        <v>3.28</v>
      </c>
      <c r="H1750" s="167">
        <f t="shared" si="54"/>
        <v>5.1413881748071976E-4</v>
      </c>
      <c r="I1750" s="167"/>
      <c r="J1750" s="167"/>
    </row>
    <row r="1751" spans="2:10" x14ac:dyDescent="0.25">
      <c r="B1751" s="169">
        <f t="shared" si="55"/>
        <v>0.89768637532137086</v>
      </c>
      <c r="C1751">
        <v>3873</v>
      </c>
      <c r="E1751">
        <v>55</v>
      </c>
      <c r="F1751">
        <v>181</v>
      </c>
      <c r="G1751" s="15">
        <v>3.2909090909090901</v>
      </c>
      <c r="H1751" s="167">
        <f t="shared" si="54"/>
        <v>5.1413881748071976E-4</v>
      </c>
      <c r="I1751" s="167"/>
      <c r="J1751" s="167"/>
    </row>
    <row r="1752" spans="2:10" x14ac:dyDescent="0.25">
      <c r="B1752" s="169">
        <f t="shared" si="55"/>
        <v>0.8982005141388516</v>
      </c>
      <c r="C1752">
        <v>6390</v>
      </c>
      <c r="E1752">
        <v>19</v>
      </c>
      <c r="F1752">
        <v>63</v>
      </c>
      <c r="G1752" s="15">
        <v>3.3157894736842102</v>
      </c>
      <c r="H1752" s="167">
        <f t="shared" si="54"/>
        <v>5.1413881748071976E-4</v>
      </c>
      <c r="I1752" s="167"/>
      <c r="J1752" s="167"/>
    </row>
    <row r="1753" spans="2:10" x14ac:dyDescent="0.25">
      <c r="B1753" s="169">
        <f t="shared" si="55"/>
        <v>0.89871465295633235</v>
      </c>
      <c r="C1753">
        <v>3680</v>
      </c>
      <c r="E1753">
        <v>3</v>
      </c>
      <c r="F1753">
        <v>10</v>
      </c>
      <c r="G1753" s="15">
        <v>3.3333333333333299</v>
      </c>
      <c r="H1753" s="167">
        <f t="shared" si="54"/>
        <v>5.1413881748071976E-4</v>
      </c>
      <c r="I1753" s="167"/>
      <c r="J1753" s="167"/>
    </row>
    <row r="1754" spans="2:10" x14ac:dyDescent="0.25">
      <c r="B1754" s="169">
        <f t="shared" si="55"/>
        <v>0.8992287917738131</v>
      </c>
      <c r="C1754">
        <v>3701</v>
      </c>
      <c r="E1754">
        <v>3</v>
      </c>
      <c r="F1754">
        <v>10</v>
      </c>
      <c r="G1754" s="15">
        <v>3.3333333333333299</v>
      </c>
      <c r="H1754" s="167">
        <f t="shared" si="54"/>
        <v>5.1413881748071976E-4</v>
      </c>
      <c r="I1754" s="167"/>
      <c r="J1754" s="167"/>
    </row>
    <row r="1755" spans="2:10" x14ac:dyDescent="0.25">
      <c r="B1755" s="169">
        <f t="shared" si="55"/>
        <v>0.89974293059129384</v>
      </c>
      <c r="C1755">
        <v>3702</v>
      </c>
      <c r="E1755">
        <v>3</v>
      </c>
      <c r="F1755">
        <v>10</v>
      </c>
      <c r="G1755" s="15">
        <v>3.3333333333333299</v>
      </c>
      <c r="H1755" s="167">
        <f t="shared" si="54"/>
        <v>5.1413881748071976E-4</v>
      </c>
      <c r="I1755" s="167"/>
      <c r="J1755" s="167"/>
    </row>
    <row r="1756" spans="2:10" x14ac:dyDescent="0.25">
      <c r="B1756" s="169">
        <f t="shared" si="55"/>
        <v>0.90025706940877459</v>
      </c>
      <c r="C1756">
        <v>3761</v>
      </c>
      <c r="E1756">
        <v>3</v>
      </c>
      <c r="F1756">
        <v>10</v>
      </c>
      <c r="G1756" s="15">
        <v>3.3333333333333299</v>
      </c>
      <c r="H1756" s="167">
        <f t="shared" si="54"/>
        <v>5.1413881748071976E-4</v>
      </c>
      <c r="I1756" s="167"/>
      <c r="J1756" s="167"/>
    </row>
    <row r="1757" spans="2:10" x14ac:dyDescent="0.25">
      <c r="B1757" s="169">
        <f t="shared" si="55"/>
        <v>0.90077120822625534</v>
      </c>
      <c r="C1757">
        <v>4132</v>
      </c>
      <c r="E1757">
        <v>6</v>
      </c>
      <c r="F1757">
        <v>20</v>
      </c>
      <c r="G1757" s="15">
        <v>3.3333333333333299</v>
      </c>
      <c r="H1757" s="167">
        <f t="shared" si="54"/>
        <v>5.1413881748071976E-4</v>
      </c>
      <c r="I1757" s="167"/>
      <c r="J1757" s="167"/>
    </row>
    <row r="1758" spans="2:10" x14ac:dyDescent="0.25">
      <c r="B1758" s="169">
        <f t="shared" si="55"/>
        <v>0.90128534704373608</v>
      </c>
      <c r="C1758">
        <v>1871</v>
      </c>
      <c r="E1758">
        <v>15</v>
      </c>
      <c r="F1758">
        <v>50</v>
      </c>
      <c r="G1758" s="15">
        <v>3.3333333333333299</v>
      </c>
      <c r="H1758" s="167">
        <f t="shared" si="54"/>
        <v>5.1413881748071976E-4</v>
      </c>
      <c r="I1758" s="167"/>
      <c r="J1758" s="167"/>
    </row>
    <row r="1759" spans="2:10" x14ac:dyDescent="0.25">
      <c r="B1759" s="169">
        <f t="shared" si="55"/>
        <v>0.90179948586121683</v>
      </c>
      <c r="C1759">
        <v>5560</v>
      </c>
      <c r="E1759">
        <v>32</v>
      </c>
      <c r="F1759">
        <v>108</v>
      </c>
      <c r="G1759" s="15">
        <v>3.375</v>
      </c>
      <c r="H1759" s="167">
        <f t="shared" si="54"/>
        <v>5.1413881748071976E-4</v>
      </c>
      <c r="I1759" s="167"/>
      <c r="J1759" s="167"/>
    </row>
    <row r="1760" spans="2:10" x14ac:dyDescent="0.25">
      <c r="B1760" s="169">
        <f t="shared" si="55"/>
        <v>0.90231362467869758</v>
      </c>
      <c r="C1760">
        <v>4336</v>
      </c>
      <c r="E1760">
        <v>15</v>
      </c>
      <c r="F1760">
        <v>51</v>
      </c>
      <c r="G1760" s="15">
        <v>3.4</v>
      </c>
      <c r="H1760" s="167">
        <f t="shared" si="54"/>
        <v>5.1413881748071976E-4</v>
      </c>
      <c r="I1760" s="167"/>
      <c r="J1760" s="167"/>
    </row>
    <row r="1761" spans="2:10" x14ac:dyDescent="0.25">
      <c r="B1761" s="169">
        <f t="shared" si="55"/>
        <v>0.90282776349617833</v>
      </c>
      <c r="C1761">
        <v>3865</v>
      </c>
      <c r="E1761">
        <v>5</v>
      </c>
      <c r="F1761">
        <v>17</v>
      </c>
      <c r="G1761" s="15">
        <v>3.4</v>
      </c>
      <c r="H1761" s="167">
        <f t="shared" si="54"/>
        <v>5.1413881748071976E-4</v>
      </c>
      <c r="I1761" s="167"/>
      <c r="J1761" s="167"/>
    </row>
    <row r="1762" spans="2:10" x14ac:dyDescent="0.25">
      <c r="B1762" s="169">
        <f t="shared" si="55"/>
        <v>0.90334190231365907</v>
      </c>
      <c r="C1762">
        <v>4391</v>
      </c>
      <c r="E1762">
        <v>7</v>
      </c>
      <c r="F1762">
        <v>24</v>
      </c>
      <c r="G1762" s="15">
        <v>3.4285714285714302</v>
      </c>
      <c r="H1762" s="167">
        <f t="shared" si="54"/>
        <v>5.1413881748071976E-4</v>
      </c>
      <c r="I1762" s="167"/>
      <c r="J1762" s="167"/>
    </row>
    <row r="1763" spans="2:10" x14ac:dyDescent="0.25">
      <c r="B1763" s="169">
        <f t="shared" si="55"/>
        <v>0.90385604113113982</v>
      </c>
      <c r="C1763">
        <v>4033</v>
      </c>
      <c r="E1763">
        <v>45</v>
      </c>
      <c r="F1763">
        <v>156</v>
      </c>
      <c r="G1763" s="15">
        <v>3.4666666666666699</v>
      </c>
      <c r="H1763" s="167">
        <f t="shared" si="54"/>
        <v>5.1413881748071976E-4</v>
      </c>
      <c r="I1763" s="167"/>
      <c r="J1763" s="167"/>
    </row>
    <row r="1764" spans="2:10" x14ac:dyDescent="0.25">
      <c r="B1764" s="169">
        <f t="shared" si="55"/>
        <v>0.90437017994862057</v>
      </c>
      <c r="C1764">
        <v>4698</v>
      </c>
      <c r="E1764">
        <v>15</v>
      </c>
      <c r="F1764">
        <v>52</v>
      </c>
      <c r="G1764" s="15">
        <v>3.4666666666666699</v>
      </c>
      <c r="H1764" s="167">
        <f t="shared" si="54"/>
        <v>5.1413881748071976E-4</v>
      </c>
      <c r="I1764" s="167"/>
      <c r="J1764" s="167"/>
    </row>
    <row r="1765" spans="2:10" x14ac:dyDescent="0.25">
      <c r="B1765" s="169">
        <f t="shared" si="55"/>
        <v>0.90488431876610131</v>
      </c>
      <c r="C1765">
        <v>4116</v>
      </c>
      <c r="E1765">
        <v>4</v>
      </c>
      <c r="F1765">
        <v>14</v>
      </c>
      <c r="G1765" s="15">
        <v>3.5</v>
      </c>
      <c r="H1765" s="167">
        <f t="shared" si="54"/>
        <v>5.1413881748071976E-4</v>
      </c>
      <c r="I1765" s="167"/>
      <c r="J1765" s="167"/>
    </row>
    <row r="1766" spans="2:10" x14ac:dyDescent="0.25">
      <c r="B1766" s="169">
        <f t="shared" si="55"/>
        <v>0.90539845758358206</v>
      </c>
      <c r="C1766">
        <v>5485</v>
      </c>
      <c r="E1766">
        <v>15</v>
      </c>
      <c r="F1766">
        <v>53</v>
      </c>
      <c r="G1766" s="15">
        <v>3.5333333333333301</v>
      </c>
      <c r="H1766" s="167">
        <f t="shared" si="54"/>
        <v>5.1413881748071976E-4</v>
      </c>
      <c r="I1766" s="167"/>
      <c r="J1766" s="167"/>
    </row>
    <row r="1767" spans="2:10" x14ac:dyDescent="0.25">
      <c r="B1767" s="169">
        <f t="shared" si="55"/>
        <v>0.90591259640106281</v>
      </c>
      <c r="C1767">
        <v>4032</v>
      </c>
      <c r="E1767">
        <v>45</v>
      </c>
      <c r="F1767">
        <v>159</v>
      </c>
      <c r="G1767" s="15">
        <v>3.5333333333333301</v>
      </c>
      <c r="H1767" s="167">
        <f t="shared" si="54"/>
        <v>5.1413881748071976E-4</v>
      </c>
      <c r="I1767" s="167"/>
      <c r="J1767" s="167"/>
    </row>
    <row r="1768" spans="2:10" x14ac:dyDescent="0.25">
      <c r="B1768" s="169">
        <f t="shared" si="55"/>
        <v>0.90642673521854356</v>
      </c>
      <c r="C1768">
        <v>3792</v>
      </c>
      <c r="E1768">
        <v>11</v>
      </c>
      <c r="F1768">
        <v>39</v>
      </c>
      <c r="G1768" s="15">
        <v>3.5454545454545499</v>
      </c>
      <c r="H1768" s="167">
        <f t="shared" si="54"/>
        <v>5.1413881748071976E-4</v>
      </c>
      <c r="I1768" s="167"/>
      <c r="J1768" s="167"/>
    </row>
    <row r="1769" spans="2:10" x14ac:dyDescent="0.25">
      <c r="B1769" s="169">
        <f t="shared" si="55"/>
        <v>0.9069408740360243</v>
      </c>
      <c r="C1769">
        <v>2647</v>
      </c>
      <c r="E1769">
        <v>8</v>
      </c>
      <c r="F1769">
        <v>29</v>
      </c>
      <c r="G1769" s="15">
        <v>3.625</v>
      </c>
      <c r="H1769" s="167">
        <f t="shared" si="54"/>
        <v>5.1413881748071976E-4</v>
      </c>
      <c r="I1769" s="167"/>
      <c r="J1769" s="167"/>
    </row>
    <row r="1770" spans="2:10" x14ac:dyDescent="0.25">
      <c r="B1770" s="169">
        <f t="shared" si="55"/>
        <v>0.90745501285350505</v>
      </c>
      <c r="C1770">
        <v>5572</v>
      </c>
      <c r="E1770">
        <v>40</v>
      </c>
      <c r="F1770">
        <v>145</v>
      </c>
      <c r="G1770" s="15">
        <v>3.625</v>
      </c>
      <c r="H1770" s="167">
        <f t="shared" si="54"/>
        <v>5.1413881748071976E-4</v>
      </c>
      <c r="I1770" s="167"/>
      <c r="J1770" s="167"/>
    </row>
    <row r="1771" spans="2:10" x14ac:dyDescent="0.25">
      <c r="B1771" s="169">
        <f t="shared" si="55"/>
        <v>0.9079691516709858</v>
      </c>
      <c r="C1771">
        <v>3984</v>
      </c>
      <c r="E1771">
        <v>45</v>
      </c>
      <c r="F1771">
        <v>164</v>
      </c>
      <c r="G1771" s="15">
        <v>3.6444444444444399</v>
      </c>
      <c r="H1771" s="167">
        <f t="shared" si="54"/>
        <v>5.1413881748071976E-4</v>
      </c>
      <c r="I1771" s="167"/>
      <c r="J1771" s="167"/>
    </row>
    <row r="1772" spans="2:10" x14ac:dyDescent="0.25">
      <c r="B1772" s="169">
        <f t="shared" si="55"/>
        <v>0.90848329048846654</v>
      </c>
      <c r="C1772">
        <v>3828</v>
      </c>
      <c r="E1772">
        <v>17</v>
      </c>
      <c r="F1772">
        <v>62</v>
      </c>
      <c r="G1772" s="15">
        <v>3.6470588235294099</v>
      </c>
      <c r="H1772" s="167">
        <f t="shared" si="54"/>
        <v>5.1413881748071976E-4</v>
      </c>
      <c r="I1772" s="167"/>
      <c r="J1772" s="167"/>
    </row>
    <row r="1773" spans="2:10" x14ac:dyDescent="0.25">
      <c r="B1773" s="169">
        <f t="shared" si="55"/>
        <v>0.90899742930594729</v>
      </c>
      <c r="C1773">
        <v>3661</v>
      </c>
      <c r="E1773">
        <v>80</v>
      </c>
      <c r="F1773">
        <v>292</v>
      </c>
      <c r="G1773" s="15">
        <v>3.65</v>
      </c>
      <c r="H1773" s="167">
        <f t="shared" si="54"/>
        <v>5.1413881748071976E-4</v>
      </c>
      <c r="I1773" s="167"/>
      <c r="J1773" s="167"/>
    </row>
    <row r="1774" spans="2:10" x14ac:dyDescent="0.25">
      <c r="B1774" s="169">
        <f t="shared" si="55"/>
        <v>0.90951156812342804</v>
      </c>
      <c r="C1774">
        <v>3642</v>
      </c>
      <c r="E1774">
        <v>50</v>
      </c>
      <c r="F1774">
        <v>183</v>
      </c>
      <c r="G1774" s="15">
        <v>3.66</v>
      </c>
      <c r="H1774" s="167">
        <f t="shared" si="54"/>
        <v>5.1413881748071976E-4</v>
      </c>
      <c r="I1774" s="167"/>
      <c r="J1774" s="167"/>
    </row>
    <row r="1775" spans="2:10" x14ac:dyDescent="0.25">
      <c r="B1775" s="169">
        <f t="shared" si="55"/>
        <v>0.91002570694090879</v>
      </c>
      <c r="C1775">
        <v>4879</v>
      </c>
      <c r="E1775">
        <v>15</v>
      </c>
      <c r="F1775">
        <v>55</v>
      </c>
      <c r="G1775" s="15">
        <v>3.6666666666666701</v>
      </c>
      <c r="H1775" s="167">
        <f t="shared" si="54"/>
        <v>5.1413881748071976E-4</v>
      </c>
      <c r="I1775" s="167"/>
      <c r="J1775" s="167"/>
    </row>
    <row r="1776" spans="2:10" x14ac:dyDescent="0.25">
      <c r="B1776" s="169">
        <f t="shared" si="55"/>
        <v>0.91053984575838953</v>
      </c>
      <c r="C1776">
        <v>4884</v>
      </c>
      <c r="E1776">
        <v>15</v>
      </c>
      <c r="F1776">
        <v>55</v>
      </c>
      <c r="G1776" s="15">
        <v>3.6666666666666701</v>
      </c>
      <c r="H1776" s="167">
        <f t="shared" si="54"/>
        <v>5.1413881748071976E-4</v>
      </c>
      <c r="I1776" s="167"/>
      <c r="J1776" s="167"/>
    </row>
    <row r="1777" spans="2:10" x14ac:dyDescent="0.25">
      <c r="B1777" s="169">
        <f t="shared" si="55"/>
        <v>0.91105398457587028</v>
      </c>
      <c r="C1777">
        <v>3946</v>
      </c>
      <c r="E1777">
        <v>15</v>
      </c>
      <c r="F1777">
        <v>55</v>
      </c>
      <c r="G1777" s="15">
        <v>3.6666666666666701</v>
      </c>
      <c r="H1777" s="167">
        <f t="shared" si="54"/>
        <v>5.1413881748071976E-4</v>
      </c>
      <c r="I1777" s="167"/>
      <c r="J1777" s="167"/>
    </row>
    <row r="1778" spans="2:10" x14ac:dyDescent="0.25">
      <c r="B1778" s="169">
        <f t="shared" si="55"/>
        <v>0.91156812339335103</v>
      </c>
      <c r="C1778">
        <v>4026</v>
      </c>
      <c r="E1778">
        <v>45</v>
      </c>
      <c r="F1778">
        <v>165</v>
      </c>
      <c r="G1778" s="15">
        <v>3.6666666666666701</v>
      </c>
      <c r="H1778" s="167">
        <f t="shared" si="54"/>
        <v>5.1413881748071976E-4</v>
      </c>
      <c r="I1778" s="167"/>
      <c r="J1778" s="167"/>
    </row>
    <row r="1779" spans="2:10" x14ac:dyDescent="0.25">
      <c r="B1779" s="169">
        <f t="shared" si="55"/>
        <v>0.91208226221083177</v>
      </c>
      <c r="C1779">
        <v>4035</v>
      </c>
      <c r="E1779">
        <v>45</v>
      </c>
      <c r="F1779">
        <v>165</v>
      </c>
      <c r="G1779" s="15">
        <v>3.6666666666666701</v>
      </c>
      <c r="H1779" s="167">
        <f t="shared" si="54"/>
        <v>5.1413881748071976E-4</v>
      </c>
      <c r="I1779" s="167"/>
      <c r="J1779" s="167"/>
    </row>
    <row r="1780" spans="2:10" x14ac:dyDescent="0.25">
      <c r="B1780" s="169">
        <f t="shared" si="55"/>
        <v>0.91259640102831252</v>
      </c>
      <c r="C1780">
        <v>4042</v>
      </c>
      <c r="E1780">
        <v>45</v>
      </c>
      <c r="F1780">
        <v>165</v>
      </c>
      <c r="G1780" s="15">
        <v>3.6666666666666701</v>
      </c>
      <c r="H1780" s="167">
        <f t="shared" si="54"/>
        <v>5.1413881748071976E-4</v>
      </c>
      <c r="I1780" s="167"/>
      <c r="J1780" s="167"/>
    </row>
    <row r="1781" spans="2:10" x14ac:dyDescent="0.25">
      <c r="B1781" s="169">
        <f t="shared" si="55"/>
        <v>0.91311053984579327</v>
      </c>
      <c r="C1781">
        <v>4046</v>
      </c>
      <c r="E1781">
        <v>45</v>
      </c>
      <c r="F1781">
        <v>165</v>
      </c>
      <c r="G1781" s="15">
        <v>3.6666666666666701</v>
      </c>
      <c r="H1781" s="167">
        <f t="shared" si="54"/>
        <v>5.1413881748071976E-4</v>
      </c>
      <c r="I1781" s="167"/>
      <c r="J1781" s="167"/>
    </row>
    <row r="1782" spans="2:10" x14ac:dyDescent="0.25">
      <c r="B1782" s="169">
        <f t="shared" si="55"/>
        <v>0.91362467866327401</v>
      </c>
      <c r="C1782">
        <v>4050</v>
      </c>
      <c r="E1782">
        <v>45</v>
      </c>
      <c r="F1782">
        <v>165</v>
      </c>
      <c r="G1782" s="15">
        <v>3.6666666666666701</v>
      </c>
      <c r="H1782" s="167">
        <f t="shared" si="54"/>
        <v>5.1413881748071976E-4</v>
      </c>
      <c r="I1782" s="167"/>
      <c r="J1782" s="167"/>
    </row>
    <row r="1783" spans="2:10" x14ac:dyDescent="0.25">
      <c r="B1783" s="169">
        <f t="shared" si="55"/>
        <v>0.91413881748075476</v>
      </c>
      <c r="C1783">
        <v>4176</v>
      </c>
      <c r="E1783">
        <v>3</v>
      </c>
      <c r="F1783">
        <v>11</v>
      </c>
      <c r="G1783" s="15">
        <v>3.6666666666666701</v>
      </c>
      <c r="H1783" s="167">
        <f t="shared" si="54"/>
        <v>5.1413881748071976E-4</v>
      </c>
      <c r="I1783" s="167"/>
      <c r="J1783" s="167"/>
    </row>
    <row r="1784" spans="2:10" x14ac:dyDescent="0.25">
      <c r="B1784" s="169">
        <f t="shared" si="55"/>
        <v>0.91465295629823551</v>
      </c>
      <c r="C1784">
        <v>3622</v>
      </c>
      <c r="E1784">
        <v>40</v>
      </c>
      <c r="F1784">
        <v>147</v>
      </c>
      <c r="G1784" s="15">
        <v>3.6749999999999998</v>
      </c>
      <c r="H1784" s="167">
        <f t="shared" si="54"/>
        <v>5.1413881748071976E-4</v>
      </c>
      <c r="I1784" s="167"/>
      <c r="J1784" s="167"/>
    </row>
    <row r="1785" spans="2:10" x14ac:dyDescent="0.25">
      <c r="B1785" s="169">
        <f t="shared" si="55"/>
        <v>0.91516709511571626</v>
      </c>
      <c r="C1785">
        <v>4034</v>
      </c>
      <c r="E1785">
        <v>45</v>
      </c>
      <c r="F1785">
        <v>168</v>
      </c>
      <c r="G1785" s="15">
        <v>3.7333333333333298</v>
      </c>
      <c r="H1785" s="167">
        <f t="shared" si="54"/>
        <v>5.1413881748071976E-4</v>
      </c>
      <c r="I1785" s="167"/>
      <c r="J1785" s="167"/>
    </row>
    <row r="1786" spans="2:10" x14ac:dyDescent="0.25">
      <c r="B1786" s="169">
        <f t="shared" si="55"/>
        <v>0.915681233933197</v>
      </c>
      <c r="C1786">
        <v>2391</v>
      </c>
      <c r="E1786">
        <v>15</v>
      </c>
      <c r="F1786">
        <v>56</v>
      </c>
      <c r="G1786" s="15">
        <v>3.7333333333333298</v>
      </c>
      <c r="H1786" s="167">
        <f t="shared" si="54"/>
        <v>5.1413881748071976E-4</v>
      </c>
      <c r="I1786" s="167"/>
      <c r="J1786" s="167"/>
    </row>
    <row r="1787" spans="2:10" x14ac:dyDescent="0.25">
      <c r="B1787" s="169">
        <f t="shared" si="55"/>
        <v>0.91619537275067775</v>
      </c>
      <c r="C1787">
        <v>6111</v>
      </c>
      <c r="E1787">
        <v>6</v>
      </c>
      <c r="F1787">
        <v>23</v>
      </c>
      <c r="G1787" s="15">
        <v>3.8333333333333299</v>
      </c>
      <c r="H1787" s="167">
        <f t="shared" si="54"/>
        <v>5.1413881748071976E-4</v>
      </c>
      <c r="I1787" s="167"/>
      <c r="J1787" s="167"/>
    </row>
    <row r="1788" spans="2:10" x14ac:dyDescent="0.25">
      <c r="B1788" s="169">
        <f t="shared" si="55"/>
        <v>0.9167095115681585</v>
      </c>
      <c r="C1788">
        <v>3875</v>
      </c>
      <c r="E1788">
        <v>20</v>
      </c>
      <c r="F1788">
        <v>77</v>
      </c>
      <c r="G1788" s="15">
        <v>3.85</v>
      </c>
      <c r="H1788" s="167">
        <f t="shared" si="54"/>
        <v>5.1413881748071976E-4</v>
      </c>
      <c r="I1788" s="167"/>
      <c r="J1788" s="167"/>
    </row>
    <row r="1789" spans="2:10" x14ac:dyDescent="0.25">
      <c r="B1789" s="169">
        <f t="shared" si="55"/>
        <v>0.91722365038563924</v>
      </c>
      <c r="C1789">
        <v>4166</v>
      </c>
      <c r="E1789">
        <v>8</v>
      </c>
      <c r="F1789">
        <v>31</v>
      </c>
      <c r="G1789" s="15">
        <v>3.875</v>
      </c>
      <c r="H1789" s="167">
        <f t="shared" si="54"/>
        <v>5.1413881748071976E-4</v>
      </c>
      <c r="I1789" s="167"/>
      <c r="J1789" s="167"/>
    </row>
    <row r="1790" spans="2:10" x14ac:dyDescent="0.25">
      <c r="B1790" s="169">
        <f t="shared" si="55"/>
        <v>0.91773778920311999</v>
      </c>
      <c r="C1790">
        <v>6118</v>
      </c>
      <c r="E1790">
        <v>20</v>
      </c>
      <c r="F1790">
        <v>78</v>
      </c>
      <c r="G1790" s="15">
        <v>3.9</v>
      </c>
      <c r="H1790" s="167">
        <f t="shared" si="54"/>
        <v>5.1413881748071976E-4</v>
      </c>
      <c r="I1790" s="167"/>
      <c r="J1790" s="167"/>
    </row>
    <row r="1791" spans="2:10" x14ac:dyDescent="0.25">
      <c r="B1791" s="169">
        <f t="shared" si="55"/>
        <v>0.91825192802060074</v>
      </c>
      <c r="C1791">
        <v>3685</v>
      </c>
      <c r="E1791">
        <v>3</v>
      </c>
      <c r="F1791">
        <v>12</v>
      </c>
      <c r="G1791" s="15">
        <v>4</v>
      </c>
      <c r="H1791" s="167">
        <f t="shared" si="54"/>
        <v>5.1413881748071976E-4</v>
      </c>
      <c r="I1791" s="167"/>
      <c r="J1791" s="167"/>
    </row>
    <row r="1792" spans="2:10" x14ac:dyDescent="0.25">
      <c r="B1792" s="169">
        <f t="shared" si="55"/>
        <v>0.91876606683808149</v>
      </c>
      <c r="C1792">
        <v>4426</v>
      </c>
      <c r="E1792">
        <v>2</v>
      </c>
      <c r="F1792">
        <v>8</v>
      </c>
      <c r="G1792" s="15">
        <v>4</v>
      </c>
      <c r="H1792" s="167">
        <f t="shared" si="54"/>
        <v>5.1413881748071976E-4</v>
      </c>
      <c r="I1792" s="167"/>
      <c r="J1792" s="167"/>
    </row>
    <row r="1793" spans="2:10" x14ac:dyDescent="0.25">
      <c r="B1793" s="169">
        <f t="shared" si="55"/>
        <v>0.91928020565556223</v>
      </c>
      <c r="C1793">
        <v>4436</v>
      </c>
      <c r="E1793">
        <v>2</v>
      </c>
      <c r="F1793">
        <v>8</v>
      </c>
      <c r="G1793" s="15">
        <v>4</v>
      </c>
      <c r="H1793" s="167">
        <f t="shared" si="54"/>
        <v>5.1413881748071976E-4</v>
      </c>
      <c r="I1793" s="167"/>
      <c r="J1793" s="167"/>
    </row>
    <row r="1794" spans="2:10" x14ac:dyDescent="0.25">
      <c r="B1794" s="169">
        <f t="shared" si="55"/>
        <v>0.91979434447304298</v>
      </c>
      <c r="C1794">
        <v>4437</v>
      </c>
      <c r="E1794">
        <v>2</v>
      </c>
      <c r="F1794">
        <v>8</v>
      </c>
      <c r="G1794" s="15">
        <v>4</v>
      </c>
      <c r="H1794" s="167">
        <f t="shared" si="54"/>
        <v>5.1413881748071976E-4</v>
      </c>
      <c r="I1794" s="167"/>
      <c r="J1794" s="167"/>
    </row>
    <row r="1795" spans="2:10" x14ac:dyDescent="0.25">
      <c r="B1795" s="169">
        <f t="shared" si="55"/>
        <v>0.92030848329052373</v>
      </c>
      <c r="C1795">
        <v>3667</v>
      </c>
      <c r="E1795">
        <v>40</v>
      </c>
      <c r="F1795">
        <v>160</v>
      </c>
      <c r="G1795" s="15">
        <v>4</v>
      </c>
      <c r="H1795" s="167">
        <f t="shared" si="54"/>
        <v>5.1413881748071976E-4</v>
      </c>
      <c r="I1795" s="167"/>
      <c r="J1795" s="167"/>
    </row>
    <row r="1796" spans="2:10" x14ac:dyDescent="0.25">
      <c r="B1796" s="169">
        <f t="shared" si="55"/>
        <v>0.92082262210800447</v>
      </c>
      <c r="C1796">
        <v>3668</v>
      </c>
      <c r="E1796">
        <v>40</v>
      </c>
      <c r="F1796">
        <v>160</v>
      </c>
      <c r="G1796" s="15">
        <v>4</v>
      </c>
      <c r="H1796" s="167">
        <f t="shared" si="54"/>
        <v>5.1413881748071976E-4</v>
      </c>
      <c r="I1796" s="167"/>
      <c r="J1796" s="167"/>
    </row>
    <row r="1797" spans="2:10" x14ac:dyDescent="0.25">
      <c r="B1797" s="169">
        <f t="shared" si="55"/>
        <v>0.92133676092548522</v>
      </c>
      <c r="C1797">
        <v>3734</v>
      </c>
      <c r="E1797">
        <v>1</v>
      </c>
      <c r="F1797">
        <v>4</v>
      </c>
      <c r="G1797" s="15">
        <v>4</v>
      </c>
      <c r="H1797" s="167">
        <f t="shared" si="54"/>
        <v>5.1413881748071976E-4</v>
      </c>
      <c r="I1797" s="167"/>
      <c r="J1797" s="167"/>
    </row>
    <row r="1798" spans="2:10" x14ac:dyDescent="0.25">
      <c r="B1798" s="169">
        <f t="shared" si="55"/>
        <v>0.92185089974296597</v>
      </c>
      <c r="C1798">
        <v>3739</v>
      </c>
      <c r="E1798">
        <v>1</v>
      </c>
      <c r="F1798">
        <v>4</v>
      </c>
      <c r="G1798" s="15">
        <v>4</v>
      </c>
      <c r="H1798" s="167">
        <f t="shared" ref="H1798:H1861" si="56">1/$L$6</f>
        <v>5.1413881748071976E-4</v>
      </c>
      <c r="I1798" s="167"/>
      <c r="J1798" s="167"/>
    </row>
    <row r="1799" spans="2:10" x14ac:dyDescent="0.25">
      <c r="B1799" s="169">
        <f t="shared" ref="B1799:B1862" si="57">B1798+H1799</f>
        <v>0.92236503856044672</v>
      </c>
      <c r="C1799">
        <v>2473</v>
      </c>
      <c r="E1799">
        <v>35</v>
      </c>
      <c r="F1799">
        <v>140</v>
      </c>
      <c r="G1799" s="15">
        <v>4</v>
      </c>
      <c r="H1799" s="167">
        <f t="shared" si="56"/>
        <v>5.1413881748071976E-4</v>
      </c>
      <c r="I1799" s="167"/>
      <c r="J1799" s="167"/>
    </row>
    <row r="1800" spans="2:10" x14ac:dyDescent="0.25">
      <c r="B1800" s="169">
        <f t="shared" si="57"/>
        <v>0.92287917737792746</v>
      </c>
      <c r="C1800">
        <v>530</v>
      </c>
      <c r="E1800">
        <v>15</v>
      </c>
      <c r="F1800">
        <v>60</v>
      </c>
      <c r="G1800" s="15">
        <v>4</v>
      </c>
      <c r="H1800" s="167">
        <f t="shared" si="56"/>
        <v>5.1413881748071976E-4</v>
      </c>
      <c r="I1800" s="167"/>
      <c r="J1800" s="167"/>
    </row>
    <row r="1801" spans="2:10" x14ac:dyDescent="0.25">
      <c r="B1801" s="169">
        <f t="shared" si="57"/>
        <v>0.92339331619540821</v>
      </c>
      <c r="C1801">
        <v>536</v>
      </c>
      <c r="E1801">
        <v>15</v>
      </c>
      <c r="F1801">
        <v>60</v>
      </c>
      <c r="G1801" s="15">
        <v>4</v>
      </c>
      <c r="H1801" s="167">
        <f t="shared" si="56"/>
        <v>5.1413881748071976E-4</v>
      </c>
      <c r="I1801" s="167"/>
      <c r="J1801" s="167"/>
    </row>
    <row r="1802" spans="2:10" x14ac:dyDescent="0.25">
      <c r="B1802" s="169">
        <f t="shared" si="57"/>
        <v>0.92390745501288896</v>
      </c>
      <c r="C1802">
        <v>591</v>
      </c>
      <c r="E1802">
        <v>15</v>
      </c>
      <c r="F1802">
        <v>60</v>
      </c>
      <c r="G1802" s="15">
        <v>4</v>
      </c>
      <c r="H1802" s="167">
        <f t="shared" si="56"/>
        <v>5.1413881748071976E-4</v>
      </c>
      <c r="I1802" s="167"/>
      <c r="J1802" s="167"/>
    </row>
    <row r="1803" spans="2:10" x14ac:dyDescent="0.25">
      <c r="B1803" s="169">
        <f t="shared" si="57"/>
        <v>0.9244215938303697</v>
      </c>
      <c r="C1803">
        <v>2099</v>
      </c>
      <c r="E1803">
        <v>2</v>
      </c>
      <c r="F1803">
        <v>8</v>
      </c>
      <c r="G1803" s="15">
        <v>4</v>
      </c>
      <c r="H1803" s="167">
        <f t="shared" si="56"/>
        <v>5.1413881748071976E-4</v>
      </c>
      <c r="I1803" s="167"/>
      <c r="J1803" s="167"/>
    </row>
    <row r="1804" spans="2:10" x14ac:dyDescent="0.25">
      <c r="B1804" s="169">
        <f t="shared" si="57"/>
        <v>0.92493573264785045</v>
      </c>
      <c r="C1804">
        <v>2799</v>
      </c>
      <c r="E1804">
        <v>1</v>
      </c>
      <c r="F1804">
        <v>4</v>
      </c>
      <c r="G1804" s="15">
        <v>4</v>
      </c>
      <c r="H1804" s="167">
        <f t="shared" si="56"/>
        <v>5.1413881748071976E-4</v>
      </c>
      <c r="I1804" s="167"/>
      <c r="J1804" s="167"/>
    </row>
    <row r="1805" spans="2:10" x14ac:dyDescent="0.25">
      <c r="B1805" s="169">
        <f t="shared" si="57"/>
        <v>0.9254498714653312</v>
      </c>
      <c r="C1805">
        <v>2800</v>
      </c>
      <c r="E1805">
        <v>1</v>
      </c>
      <c r="F1805">
        <v>4</v>
      </c>
      <c r="G1805" s="15">
        <v>4</v>
      </c>
      <c r="H1805" s="167">
        <f t="shared" si="56"/>
        <v>5.1413881748071976E-4</v>
      </c>
      <c r="I1805" s="167"/>
      <c r="J1805" s="167"/>
    </row>
    <row r="1806" spans="2:10" x14ac:dyDescent="0.25">
      <c r="B1806" s="169">
        <f t="shared" si="57"/>
        <v>0.92596401028281194</v>
      </c>
      <c r="C1806">
        <v>4992</v>
      </c>
      <c r="E1806">
        <v>1</v>
      </c>
      <c r="F1806">
        <v>4</v>
      </c>
      <c r="G1806" s="15">
        <v>4</v>
      </c>
      <c r="H1806" s="167">
        <f t="shared" si="56"/>
        <v>5.1413881748071976E-4</v>
      </c>
      <c r="I1806" s="167"/>
      <c r="J1806" s="167"/>
    </row>
    <row r="1807" spans="2:10" x14ac:dyDescent="0.25">
      <c r="B1807" s="169">
        <f t="shared" si="57"/>
        <v>0.92647814910029269</v>
      </c>
      <c r="C1807">
        <v>6939</v>
      </c>
      <c r="E1807">
        <v>1</v>
      </c>
      <c r="F1807">
        <v>4</v>
      </c>
      <c r="G1807" s="15">
        <v>4</v>
      </c>
      <c r="H1807" s="167">
        <f t="shared" si="56"/>
        <v>5.1413881748071976E-4</v>
      </c>
      <c r="I1807" s="167"/>
      <c r="J1807" s="167"/>
    </row>
    <row r="1808" spans="2:10" x14ac:dyDescent="0.25">
      <c r="B1808" s="169">
        <f t="shared" si="57"/>
        <v>0.92699228791777344</v>
      </c>
      <c r="C1808">
        <v>4117</v>
      </c>
      <c r="E1808">
        <v>1</v>
      </c>
      <c r="F1808">
        <v>4</v>
      </c>
      <c r="G1808" s="15">
        <v>4</v>
      </c>
      <c r="H1808" s="167">
        <f t="shared" si="56"/>
        <v>5.1413881748071976E-4</v>
      </c>
      <c r="I1808" s="167"/>
      <c r="J1808" s="167"/>
    </row>
    <row r="1809" spans="2:10" x14ac:dyDescent="0.25">
      <c r="B1809" s="169">
        <f t="shared" si="57"/>
        <v>0.92750642673525419</v>
      </c>
      <c r="C1809">
        <v>2787</v>
      </c>
      <c r="E1809">
        <v>1</v>
      </c>
      <c r="F1809">
        <v>4</v>
      </c>
      <c r="G1809" s="15">
        <v>4</v>
      </c>
      <c r="H1809" s="167">
        <f t="shared" si="56"/>
        <v>5.1413881748071976E-4</v>
      </c>
      <c r="I1809" s="167"/>
      <c r="J1809" s="167"/>
    </row>
    <row r="1810" spans="2:10" x14ac:dyDescent="0.25">
      <c r="B1810" s="169">
        <f t="shared" si="57"/>
        <v>0.92802056555273493</v>
      </c>
      <c r="C1810">
        <v>2795</v>
      </c>
      <c r="E1810">
        <v>1</v>
      </c>
      <c r="F1810">
        <v>4</v>
      </c>
      <c r="G1810" s="15">
        <v>4</v>
      </c>
      <c r="H1810" s="167">
        <f t="shared" si="56"/>
        <v>5.1413881748071976E-4</v>
      </c>
      <c r="I1810" s="167"/>
      <c r="J1810" s="167"/>
    </row>
    <row r="1811" spans="2:10" x14ac:dyDescent="0.25">
      <c r="B1811" s="169">
        <f t="shared" si="57"/>
        <v>0.92853470437021568</v>
      </c>
      <c r="C1811">
        <v>4418</v>
      </c>
      <c r="E1811">
        <v>10</v>
      </c>
      <c r="F1811">
        <v>41</v>
      </c>
      <c r="G1811" s="15">
        <v>4.0999999999999996</v>
      </c>
      <c r="H1811" s="167">
        <f t="shared" si="56"/>
        <v>5.1413881748071976E-4</v>
      </c>
      <c r="I1811" s="167"/>
      <c r="J1811" s="167"/>
    </row>
    <row r="1812" spans="2:10" x14ac:dyDescent="0.25">
      <c r="B1812" s="169">
        <f t="shared" si="57"/>
        <v>0.92904884318769643</v>
      </c>
      <c r="C1812">
        <v>5905</v>
      </c>
      <c r="E1812">
        <v>10</v>
      </c>
      <c r="F1812">
        <v>41</v>
      </c>
      <c r="G1812" s="15">
        <v>4.0999999999999996</v>
      </c>
      <c r="H1812" s="167">
        <f t="shared" si="56"/>
        <v>5.1413881748071976E-4</v>
      </c>
      <c r="I1812" s="167"/>
      <c r="J1812" s="167"/>
    </row>
    <row r="1813" spans="2:10" x14ac:dyDescent="0.25">
      <c r="B1813" s="169">
        <f t="shared" si="57"/>
        <v>0.92956298200517717</v>
      </c>
      <c r="C1813">
        <v>3886</v>
      </c>
      <c r="E1813">
        <v>20</v>
      </c>
      <c r="F1813">
        <v>82</v>
      </c>
      <c r="G1813" s="15">
        <v>4.0999999999999996</v>
      </c>
      <c r="H1813" s="167">
        <f t="shared" si="56"/>
        <v>5.1413881748071976E-4</v>
      </c>
      <c r="I1813" s="167"/>
      <c r="J1813" s="167"/>
    </row>
    <row r="1814" spans="2:10" x14ac:dyDescent="0.25">
      <c r="B1814" s="169">
        <f t="shared" si="57"/>
        <v>0.93007712082265792</v>
      </c>
      <c r="C1814">
        <v>5565</v>
      </c>
      <c r="E1814">
        <v>20</v>
      </c>
      <c r="F1814">
        <v>82</v>
      </c>
      <c r="G1814" s="15">
        <v>4.0999999999999996</v>
      </c>
      <c r="H1814" s="167">
        <f t="shared" si="56"/>
        <v>5.1413881748071976E-4</v>
      </c>
      <c r="I1814" s="167"/>
      <c r="J1814" s="167"/>
    </row>
    <row r="1815" spans="2:10" x14ac:dyDescent="0.25">
      <c r="B1815" s="169">
        <f t="shared" si="57"/>
        <v>0.93059125964013867</v>
      </c>
      <c r="C1815">
        <v>7116</v>
      </c>
      <c r="E1815">
        <v>10</v>
      </c>
      <c r="F1815">
        <v>41</v>
      </c>
      <c r="G1815" s="15">
        <v>4.0999999999999996</v>
      </c>
      <c r="H1815" s="167">
        <f t="shared" si="56"/>
        <v>5.1413881748071976E-4</v>
      </c>
      <c r="I1815" s="167"/>
      <c r="J1815" s="167"/>
    </row>
    <row r="1816" spans="2:10" x14ac:dyDescent="0.25">
      <c r="B1816" s="169">
        <f t="shared" si="57"/>
        <v>0.93110539845761942</v>
      </c>
      <c r="C1816">
        <v>1910</v>
      </c>
      <c r="E1816">
        <v>20</v>
      </c>
      <c r="F1816">
        <v>83</v>
      </c>
      <c r="G1816" s="15">
        <v>4.1500000000000004</v>
      </c>
      <c r="H1816" s="167">
        <f t="shared" si="56"/>
        <v>5.1413881748071976E-4</v>
      </c>
      <c r="I1816" s="167"/>
      <c r="J1816" s="167"/>
    </row>
    <row r="1817" spans="2:10" x14ac:dyDescent="0.25">
      <c r="B1817" s="169">
        <f t="shared" si="57"/>
        <v>0.93161953727510016</v>
      </c>
      <c r="C1817">
        <v>4027</v>
      </c>
      <c r="E1817">
        <v>45</v>
      </c>
      <c r="F1817">
        <v>189</v>
      </c>
      <c r="G1817" s="15">
        <v>4.2</v>
      </c>
      <c r="H1817" s="167">
        <f t="shared" si="56"/>
        <v>5.1413881748071976E-4</v>
      </c>
      <c r="I1817" s="167"/>
      <c r="J1817" s="167"/>
    </row>
    <row r="1818" spans="2:10" x14ac:dyDescent="0.25">
      <c r="B1818" s="169">
        <f t="shared" si="57"/>
        <v>0.93213367609258091</v>
      </c>
      <c r="C1818">
        <v>2418</v>
      </c>
      <c r="E1818">
        <v>45</v>
      </c>
      <c r="F1818">
        <v>194</v>
      </c>
      <c r="G1818" s="15">
        <v>4.31111111111111</v>
      </c>
      <c r="H1818" s="167">
        <f t="shared" si="56"/>
        <v>5.1413881748071976E-4</v>
      </c>
      <c r="I1818" s="167"/>
      <c r="J1818" s="167"/>
    </row>
    <row r="1819" spans="2:10" x14ac:dyDescent="0.25">
      <c r="B1819" s="169">
        <f t="shared" si="57"/>
        <v>0.93264781491006166</v>
      </c>
      <c r="C1819">
        <v>3754</v>
      </c>
      <c r="E1819">
        <v>3</v>
      </c>
      <c r="F1819">
        <v>13</v>
      </c>
      <c r="G1819" s="15">
        <v>4.3333333333333304</v>
      </c>
      <c r="H1819" s="167">
        <f t="shared" si="56"/>
        <v>5.1413881748071976E-4</v>
      </c>
      <c r="I1819" s="167"/>
      <c r="J1819" s="167"/>
    </row>
    <row r="1820" spans="2:10" x14ac:dyDescent="0.25">
      <c r="B1820" s="169">
        <f t="shared" si="57"/>
        <v>0.9331619537275424</v>
      </c>
      <c r="C1820">
        <v>3804</v>
      </c>
      <c r="E1820">
        <v>3</v>
      </c>
      <c r="F1820">
        <v>13</v>
      </c>
      <c r="G1820" s="15">
        <v>4.3333333333333304</v>
      </c>
      <c r="H1820" s="167">
        <f t="shared" si="56"/>
        <v>5.1413881748071976E-4</v>
      </c>
      <c r="I1820" s="167"/>
      <c r="J1820" s="167"/>
    </row>
    <row r="1821" spans="2:10" x14ac:dyDescent="0.25">
      <c r="B1821" s="169">
        <f t="shared" si="57"/>
        <v>0.93367609254502315</v>
      </c>
      <c r="C1821">
        <v>2098</v>
      </c>
      <c r="E1821">
        <v>3</v>
      </c>
      <c r="F1821">
        <v>13</v>
      </c>
      <c r="G1821" s="15">
        <v>4.3333333333333304</v>
      </c>
      <c r="H1821" s="167">
        <f t="shared" si="56"/>
        <v>5.1413881748071976E-4</v>
      </c>
      <c r="I1821" s="167"/>
      <c r="J1821" s="167"/>
    </row>
    <row r="1822" spans="2:10" x14ac:dyDescent="0.25">
      <c r="B1822" s="169">
        <f t="shared" si="57"/>
        <v>0.9341902313625039</v>
      </c>
      <c r="C1822">
        <v>2433</v>
      </c>
      <c r="E1822">
        <v>23</v>
      </c>
      <c r="F1822">
        <v>100</v>
      </c>
      <c r="G1822" s="15">
        <v>4.3478260869565197</v>
      </c>
      <c r="H1822" s="167">
        <f t="shared" si="56"/>
        <v>5.1413881748071976E-4</v>
      </c>
      <c r="I1822" s="167"/>
      <c r="J1822" s="167"/>
    </row>
    <row r="1823" spans="2:10" x14ac:dyDescent="0.25">
      <c r="B1823" s="169">
        <f t="shared" si="57"/>
        <v>0.93470437017998464</v>
      </c>
      <c r="C1823">
        <v>5948</v>
      </c>
      <c r="E1823">
        <v>20</v>
      </c>
      <c r="F1823">
        <v>88</v>
      </c>
      <c r="G1823" s="15">
        <v>4.4000000000000004</v>
      </c>
      <c r="H1823" s="167">
        <f t="shared" si="56"/>
        <v>5.1413881748071976E-4</v>
      </c>
      <c r="I1823" s="167"/>
      <c r="J1823" s="167"/>
    </row>
    <row r="1824" spans="2:10" x14ac:dyDescent="0.25">
      <c r="B1824" s="169">
        <f t="shared" si="57"/>
        <v>0.93521850899746539</v>
      </c>
      <c r="C1824">
        <v>965</v>
      </c>
      <c r="E1824">
        <v>9</v>
      </c>
      <c r="F1824">
        <v>40</v>
      </c>
      <c r="G1824" s="15">
        <v>4.4444444444444402</v>
      </c>
      <c r="H1824" s="167">
        <f t="shared" si="56"/>
        <v>5.1413881748071976E-4</v>
      </c>
      <c r="I1824" s="167"/>
      <c r="J1824" s="167"/>
    </row>
    <row r="1825" spans="2:10" x14ac:dyDescent="0.25">
      <c r="B1825" s="169">
        <f t="shared" si="57"/>
        <v>0.93573264781494614</v>
      </c>
      <c r="C1825">
        <v>4205</v>
      </c>
      <c r="E1825">
        <v>15</v>
      </c>
      <c r="F1825">
        <v>67</v>
      </c>
      <c r="G1825" s="15">
        <v>4.4666666666666703</v>
      </c>
      <c r="H1825" s="167">
        <f t="shared" si="56"/>
        <v>5.1413881748071976E-4</v>
      </c>
      <c r="I1825" s="167"/>
      <c r="J1825" s="167"/>
    </row>
    <row r="1826" spans="2:10" x14ac:dyDescent="0.25">
      <c r="B1826" s="169">
        <f t="shared" si="57"/>
        <v>0.93624678663242689</v>
      </c>
      <c r="C1826">
        <v>3684</v>
      </c>
      <c r="E1826">
        <v>2</v>
      </c>
      <c r="F1826">
        <v>9</v>
      </c>
      <c r="G1826" s="15">
        <v>4.5</v>
      </c>
      <c r="H1826" s="167">
        <f t="shared" si="56"/>
        <v>5.1413881748071976E-4</v>
      </c>
      <c r="I1826" s="167"/>
      <c r="J1826" s="167"/>
    </row>
    <row r="1827" spans="2:10" x14ac:dyDescent="0.25">
      <c r="B1827" s="169">
        <f t="shared" si="57"/>
        <v>0.93676092544990763</v>
      </c>
      <c r="C1827">
        <v>6121</v>
      </c>
      <c r="E1827">
        <v>20</v>
      </c>
      <c r="F1827">
        <v>90</v>
      </c>
      <c r="G1827" s="15">
        <v>4.5</v>
      </c>
      <c r="H1827" s="167">
        <f t="shared" si="56"/>
        <v>5.1413881748071976E-4</v>
      </c>
      <c r="I1827" s="167"/>
      <c r="J1827" s="167"/>
    </row>
    <row r="1828" spans="2:10" x14ac:dyDescent="0.25">
      <c r="B1828" s="169">
        <f t="shared" si="57"/>
        <v>0.93727506426738838</v>
      </c>
      <c r="C1828">
        <v>4031</v>
      </c>
      <c r="E1828">
        <v>45</v>
      </c>
      <c r="F1828">
        <v>204</v>
      </c>
      <c r="G1828" s="15">
        <v>4.5333333333333297</v>
      </c>
      <c r="H1828" s="167">
        <f t="shared" si="56"/>
        <v>5.1413881748071976E-4</v>
      </c>
      <c r="I1828" s="167"/>
      <c r="J1828" s="167"/>
    </row>
    <row r="1829" spans="2:10" x14ac:dyDescent="0.25">
      <c r="B1829" s="169">
        <f t="shared" si="57"/>
        <v>0.93778920308486913</v>
      </c>
      <c r="C1829">
        <v>1864</v>
      </c>
      <c r="E1829">
        <v>32</v>
      </c>
      <c r="F1829">
        <v>147</v>
      </c>
      <c r="G1829" s="15">
        <v>4.59375</v>
      </c>
      <c r="H1829" s="167">
        <f t="shared" si="56"/>
        <v>5.1413881748071976E-4</v>
      </c>
      <c r="I1829" s="167"/>
      <c r="J1829" s="167"/>
    </row>
    <row r="1830" spans="2:10" x14ac:dyDescent="0.25">
      <c r="B1830" s="169">
        <f t="shared" si="57"/>
        <v>0.93830334190234987</v>
      </c>
      <c r="C1830">
        <v>2681</v>
      </c>
      <c r="E1830">
        <v>21</v>
      </c>
      <c r="F1830">
        <v>98</v>
      </c>
      <c r="G1830" s="15">
        <v>4.6666666666666696</v>
      </c>
      <c r="H1830" s="167">
        <f t="shared" si="56"/>
        <v>5.1413881748071976E-4</v>
      </c>
      <c r="I1830" s="167"/>
      <c r="J1830" s="167"/>
    </row>
    <row r="1831" spans="2:10" x14ac:dyDescent="0.25">
      <c r="B1831" s="169">
        <f t="shared" si="57"/>
        <v>0.93881748071983062</v>
      </c>
      <c r="C1831">
        <v>6649</v>
      </c>
      <c r="E1831">
        <v>3</v>
      </c>
      <c r="F1831">
        <v>14</v>
      </c>
      <c r="G1831" s="15">
        <v>4.6666666666666696</v>
      </c>
      <c r="H1831" s="167">
        <f t="shared" si="56"/>
        <v>5.1413881748071976E-4</v>
      </c>
      <c r="I1831" s="167"/>
      <c r="J1831" s="167"/>
    </row>
    <row r="1832" spans="2:10" x14ac:dyDescent="0.25">
      <c r="B1832" s="169">
        <f t="shared" si="57"/>
        <v>0.93933161953731137</v>
      </c>
      <c r="C1832">
        <v>6828</v>
      </c>
      <c r="E1832">
        <v>3</v>
      </c>
      <c r="F1832">
        <v>14</v>
      </c>
      <c r="G1832" s="15">
        <v>4.6666666666666696</v>
      </c>
      <c r="H1832" s="167">
        <f t="shared" si="56"/>
        <v>5.1413881748071976E-4</v>
      </c>
      <c r="I1832" s="167"/>
      <c r="J1832" s="167"/>
    </row>
    <row r="1833" spans="2:10" x14ac:dyDescent="0.25">
      <c r="B1833" s="169">
        <f t="shared" si="57"/>
        <v>0.93984575835479212</v>
      </c>
      <c r="C1833">
        <v>4386</v>
      </c>
      <c r="E1833">
        <v>5</v>
      </c>
      <c r="F1833">
        <v>24</v>
      </c>
      <c r="G1833" s="15">
        <v>4.8</v>
      </c>
      <c r="H1833" s="167">
        <f t="shared" si="56"/>
        <v>5.1413881748071976E-4</v>
      </c>
      <c r="I1833" s="167"/>
      <c r="J1833" s="167"/>
    </row>
    <row r="1834" spans="2:10" x14ac:dyDescent="0.25">
      <c r="B1834" s="169">
        <f t="shared" si="57"/>
        <v>0.94035989717227286</v>
      </c>
      <c r="C1834">
        <v>4407</v>
      </c>
      <c r="E1834">
        <v>5</v>
      </c>
      <c r="F1834">
        <v>24</v>
      </c>
      <c r="G1834" s="15">
        <v>4.8</v>
      </c>
      <c r="H1834" s="167">
        <f t="shared" si="56"/>
        <v>5.1413881748071976E-4</v>
      </c>
      <c r="I1834" s="167"/>
      <c r="J1834" s="167"/>
    </row>
    <row r="1835" spans="2:10" x14ac:dyDescent="0.25">
      <c r="B1835" s="169">
        <f t="shared" si="57"/>
        <v>0.94087403598975361</v>
      </c>
      <c r="C1835">
        <v>4408</v>
      </c>
      <c r="E1835">
        <v>5</v>
      </c>
      <c r="F1835">
        <v>24</v>
      </c>
      <c r="G1835" s="15">
        <v>4.8</v>
      </c>
      <c r="H1835" s="167">
        <f t="shared" si="56"/>
        <v>5.1413881748071976E-4</v>
      </c>
      <c r="I1835" s="167"/>
      <c r="J1835" s="167"/>
    </row>
    <row r="1836" spans="2:10" x14ac:dyDescent="0.25">
      <c r="B1836" s="169">
        <f t="shared" si="57"/>
        <v>0.94138817480723436</v>
      </c>
      <c r="C1836">
        <v>6002</v>
      </c>
      <c r="E1836">
        <v>5</v>
      </c>
      <c r="F1836">
        <v>24</v>
      </c>
      <c r="G1836" s="15">
        <v>4.8</v>
      </c>
      <c r="H1836" s="167">
        <f t="shared" si="56"/>
        <v>5.1413881748071976E-4</v>
      </c>
      <c r="I1836" s="167"/>
      <c r="J1836" s="167"/>
    </row>
    <row r="1837" spans="2:10" x14ac:dyDescent="0.25">
      <c r="B1837" s="169">
        <f t="shared" si="57"/>
        <v>0.9419023136247151</v>
      </c>
      <c r="C1837">
        <v>6790</v>
      </c>
      <c r="E1837">
        <v>5</v>
      </c>
      <c r="F1837">
        <v>24</v>
      </c>
      <c r="G1837" s="15">
        <v>4.8</v>
      </c>
      <c r="H1837" s="167">
        <f t="shared" si="56"/>
        <v>5.1413881748071976E-4</v>
      </c>
      <c r="I1837" s="167"/>
      <c r="J1837" s="167"/>
    </row>
    <row r="1838" spans="2:10" x14ac:dyDescent="0.25">
      <c r="B1838" s="169">
        <f t="shared" si="57"/>
        <v>0.94241645244219585</v>
      </c>
      <c r="C1838">
        <v>3985</v>
      </c>
      <c r="E1838">
        <v>33</v>
      </c>
      <c r="F1838">
        <v>164</v>
      </c>
      <c r="G1838" s="15">
        <v>4.9696969696969697</v>
      </c>
      <c r="H1838" s="167">
        <f t="shared" si="56"/>
        <v>5.1413881748071976E-4</v>
      </c>
      <c r="I1838" s="167"/>
      <c r="J1838" s="167"/>
    </row>
    <row r="1839" spans="2:10" x14ac:dyDescent="0.25">
      <c r="B1839" s="169">
        <f t="shared" si="57"/>
        <v>0.9429305912596766</v>
      </c>
      <c r="C1839">
        <v>4413</v>
      </c>
      <c r="E1839">
        <v>1</v>
      </c>
      <c r="F1839">
        <v>5</v>
      </c>
      <c r="G1839" s="15">
        <v>5</v>
      </c>
      <c r="H1839" s="167">
        <f t="shared" si="56"/>
        <v>5.1413881748071976E-4</v>
      </c>
      <c r="I1839" s="167"/>
      <c r="J1839" s="167"/>
    </row>
    <row r="1840" spans="2:10" x14ac:dyDescent="0.25">
      <c r="B1840" s="169">
        <f t="shared" si="57"/>
        <v>0.94344473007715735</v>
      </c>
      <c r="C1840">
        <v>3759</v>
      </c>
      <c r="E1840">
        <v>1</v>
      </c>
      <c r="F1840">
        <v>5</v>
      </c>
      <c r="G1840" s="15">
        <v>5</v>
      </c>
      <c r="H1840" s="167">
        <f t="shared" si="56"/>
        <v>5.1413881748071976E-4</v>
      </c>
      <c r="I1840" s="167"/>
      <c r="J1840" s="167"/>
    </row>
    <row r="1841" spans="2:10" x14ac:dyDescent="0.25">
      <c r="B1841" s="169">
        <f t="shared" si="57"/>
        <v>0.94395886889463809</v>
      </c>
      <c r="C1841">
        <v>6514</v>
      </c>
      <c r="E1841">
        <v>2</v>
      </c>
      <c r="F1841">
        <v>10</v>
      </c>
      <c r="G1841" s="15">
        <v>5</v>
      </c>
      <c r="H1841" s="167">
        <f t="shared" si="56"/>
        <v>5.1413881748071976E-4</v>
      </c>
      <c r="I1841" s="167"/>
      <c r="J1841" s="167"/>
    </row>
    <row r="1842" spans="2:10" x14ac:dyDescent="0.25">
      <c r="B1842" s="169">
        <f t="shared" si="57"/>
        <v>0.94447300771211884</v>
      </c>
      <c r="C1842">
        <v>6120</v>
      </c>
      <c r="E1842">
        <v>18</v>
      </c>
      <c r="F1842">
        <v>90</v>
      </c>
      <c r="G1842" s="15">
        <v>5</v>
      </c>
      <c r="H1842" s="167">
        <f t="shared" si="56"/>
        <v>5.1413881748071976E-4</v>
      </c>
      <c r="I1842" s="167"/>
      <c r="J1842" s="167"/>
    </row>
    <row r="1843" spans="2:10" x14ac:dyDescent="0.25">
      <c r="B1843" s="169">
        <f t="shared" si="57"/>
        <v>0.94498714652959959</v>
      </c>
      <c r="C1843">
        <v>2607</v>
      </c>
      <c r="E1843">
        <v>1</v>
      </c>
      <c r="F1843">
        <v>5</v>
      </c>
      <c r="G1843" s="15">
        <v>5</v>
      </c>
      <c r="H1843" s="167">
        <f t="shared" si="56"/>
        <v>5.1413881748071976E-4</v>
      </c>
      <c r="I1843" s="167"/>
      <c r="J1843" s="167"/>
    </row>
    <row r="1844" spans="2:10" x14ac:dyDescent="0.25">
      <c r="B1844" s="169">
        <f t="shared" si="57"/>
        <v>0.94550128534708033</v>
      </c>
      <c r="C1844">
        <v>2688</v>
      </c>
      <c r="E1844">
        <v>1</v>
      </c>
      <c r="F1844">
        <v>5</v>
      </c>
      <c r="G1844" s="15">
        <v>5</v>
      </c>
      <c r="H1844" s="167">
        <f t="shared" si="56"/>
        <v>5.1413881748071976E-4</v>
      </c>
      <c r="I1844" s="167"/>
      <c r="J1844" s="167"/>
    </row>
    <row r="1845" spans="2:10" x14ac:dyDescent="0.25">
      <c r="B1845" s="169">
        <f t="shared" si="57"/>
        <v>0.94601542416456108</v>
      </c>
      <c r="C1845">
        <v>4911</v>
      </c>
      <c r="E1845">
        <v>22</v>
      </c>
      <c r="F1845">
        <v>111</v>
      </c>
      <c r="G1845" s="15">
        <v>5.0454545454545503</v>
      </c>
      <c r="H1845" s="167">
        <f t="shared" si="56"/>
        <v>5.1413881748071976E-4</v>
      </c>
      <c r="I1845" s="167"/>
      <c r="J1845" s="167"/>
    </row>
    <row r="1846" spans="2:10" x14ac:dyDescent="0.25">
      <c r="B1846" s="169">
        <f t="shared" si="57"/>
        <v>0.94652956298204183</v>
      </c>
      <c r="C1846">
        <v>542</v>
      </c>
      <c r="E1846">
        <v>15</v>
      </c>
      <c r="F1846">
        <v>76</v>
      </c>
      <c r="G1846" s="15">
        <v>5.06666666666667</v>
      </c>
      <c r="H1846" s="167">
        <f t="shared" si="56"/>
        <v>5.1413881748071976E-4</v>
      </c>
      <c r="I1846" s="167"/>
      <c r="J1846" s="167"/>
    </row>
    <row r="1847" spans="2:10" x14ac:dyDescent="0.25">
      <c r="B1847" s="169">
        <f t="shared" si="57"/>
        <v>0.94704370179952257</v>
      </c>
      <c r="C1847">
        <v>2373</v>
      </c>
      <c r="E1847">
        <v>15</v>
      </c>
      <c r="F1847">
        <v>77</v>
      </c>
      <c r="G1847" s="15">
        <v>5.1333333333333302</v>
      </c>
      <c r="H1847" s="167">
        <f t="shared" si="56"/>
        <v>5.1413881748071976E-4</v>
      </c>
      <c r="I1847" s="167"/>
      <c r="J1847" s="167"/>
    </row>
    <row r="1848" spans="2:10" x14ac:dyDescent="0.25">
      <c r="B1848" s="169">
        <f t="shared" si="57"/>
        <v>0.94755784061700332</v>
      </c>
      <c r="C1848">
        <v>4404</v>
      </c>
      <c r="E1848">
        <v>5</v>
      </c>
      <c r="F1848">
        <v>26</v>
      </c>
      <c r="G1848" s="15">
        <v>5.2</v>
      </c>
      <c r="H1848" s="167">
        <f t="shared" si="56"/>
        <v>5.1413881748071976E-4</v>
      </c>
      <c r="I1848" s="167"/>
      <c r="J1848" s="167"/>
    </row>
    <row r="1849" spans="2:10" x14ac:dyDescent="0.25">
      <c r="B1849" s="169">
        <f t="shared" si="57"/>
        <v>0.94807197943448407</v>
      </c>
      <c r="C1849">
        <v>4051</v>
      </c>
      <c r="E1849">
        <v>45</v>
      </c>
      <c r="F1849">
        <v>237</v>
      </c>
      <c r="G1849" s="15">
        <v>5.2666666666666702</v>
      </c>
      <c r="H1849" s="167">
        <f t="shared" si="56"/>
        <v>5.1413881748071976E-4</v>
      </c>
      <c r="I1849" s="167"/>
      <c r="J1849" s="167"/>
    </row>
    <row r="1850" spans="2:10" x14ac:dyDescent="0.25">
      <c r="B1850" s="169">
        <f t="shared" si="57"/>
        <v>0.94858611825196482</v>
      </c>
      <c r="C1850">
        <v>4405</v>
      </c>
      <c r="E1850">
        <v>5</v>
      </c>
      <c r="F1850">
        <v>27</v>
      </c>
      <c r="G1850" s="15">
        <v>5.4</v>
      </c>
      <c r="H1850" s="167">
        <f t="shared" si="56"/>
        <v>5.1413881748071976E-4</v>
      </c>
      <c r="I1850" s="167"/>
      <c r="J1850" s="167"/>
    </row>
    <row r="1851" spans="2:10" x14ac:dyDescent="0.25">
      <c r="B1851" s="169">
        <f t="shared" si="57"/>
        <v>0.94910025706944556</v>
      </c>
      <c r="C1851">
        <v>3989</v>
      </c>
      <c r="E1851">
        <v>30</v>
      </c>
      <c r="F1851">
        <v>164</v>
      </c>
      <c r="G1851" s="15">
        <v>5.4666666666666703</v>
      </c>
      <c r="H1851" s="167">
        <f t="shared" si="56"/>
        <v>5.1413881748071976E-4</v>
      </c>
      <c r="I1851" s="167"/>
      <c r="J1851" s="167"/>
    </row>
    <row r="1852" spans="2:10" x14ac:dyDescent="0.25">
      <c r="B1852" s="169">
        <f t="shared" si="57"/>
        <v>0.94961439588692631</v>
      </c>
      <c r="C1852">
        <v>4406</v>
      </c>
      <c r="E1852">
        <v>5</v>
      </c>
      <c r="F1852">
        <v>28</v>
      </c>
      <c r="G1852" s="15">
        <v>5.6</v>
      </c>
      <c r="H1852" s="167">
        <f t="shared" si="56"/>
        <v>5.1413881748071976E-4</v>
      </c>
      <c r="I1852" s="167"/>
      <c r="J1852" s="167"/>
    </row>
    <row r="1853" spans="2:10" x14ac:dyDescent="0.25">
      <c r="B1853" s="169">
        <f t="shared" si="57"/>
        <v>0.95012853470440706</v>
      </c>
      <c r="C1853">
        <v>623</v>
      </c>
      <c r="E1853">
        <v>14</v>
      </c>
      <c r="F1853">
        <v>80</v>
      </c>
      <c r="G1853" s="15">
        <v>5.71428571428571</v>
      </c>
      <c r="H1853" s="167">
        <f t="shared" si="56"/>
        <v>5.1413881748071976E-4</v>
      </c>
      <c r="I1853" s="167"/>
      <c r="J1853" s="167"/>
    </row>
    <row r="1854" spans="2:10" x14ac:dyDescent="0.25">
      <c r="B1854" s="169">
        <f t="shared" si="57"/>
        <v>0.9506426735218878</v>
      </c>
      <c r="C1854">
        <v>4419</v>
      </c>
      <c r="E1854">
        <v>5</v>
      </c>
      <c r="F1854">
        <v>29</v>
      </c>
      <c r="G1854" s="15">
        <v>5.8</v>
      </c>
      <c r="H1854" s="167">
        <f t="shared" si="56"/>
        <v>5.1413881748071976E-4</v>
      </c>
      <c r="I1854" s="167"/>
      <c r="J1854" s="167"/>
    </row>
    <row r="1855" spans="2:10" x14ac:dyDescent="0.25">
      <c r="B1855" s="169">
        <f t="shared" si="57"/>
        <v>0.95115681233936855</v>
      </c>
      <c r="C1855">
        <v>2290</v>
      </c>
      <c r="E1855">
        <v>5</v>
      </c>
      <c r="F1855">
        <v>29</v>
      </c>
      <c r="G1855" s="15">
        <v>5.8</v>
      </c>
      <c r="H1855" s="167">
        <f t="shared" si="56"/>
        <v>5.1413881748071976E-4</v>
      </c>
      <c r="I1855" s="167"/>
      <c r="J1855" s="167"/>
    </row>
    <row r="1856" spans="2:10" x14ac:dyDescent="0.25">
      <c r="B1856" s="169">
        <f t="shared" si="57"/>
        <v>0.9516709511568493</v>
      </c>
      <c r="C1856">
        <v>3664</v>
      </c>
      <c r="E1856">
        <v>60</v>
      </c>
      <c r="F1856">
        <v>349</v>
      </c>
      <c r="G1856" s="15">
        <v>5.81666666666667</v>
      </c>
      <c r="H1856" s="167">
        <f t="shared" si="56"/>
        <v>5.1413881748071976E-4</v>
      </c>
      <c r="I1856" s="167"/>
      <c r="J1856" s="167"/>
    </row>
    <row r="1857" spans="2:10" x14ac:dyDescent="0.25">
      <c r="B1857" s="169">
        <f t="shared" si="57"/>
        <v>0.95218508997433005</v>
      </c>
      <c r="C1857">
        <v>3669</v>
      </c>
      <c r="E1857">
        <v>80</v>
      </c>
      <c r="F1857">
        <v>480</v>
      </c>
      <c r="G1857" s="15">
        <v>6</v>
      </c>
      <c r="H1857" s="167">
        <f t="shared" si="56"/>
        <v>5.1413881748071976E-4</v>
      </c>
      <c r="I1857" s="167"/>
      <c r="J1857" s="167"/>
    </row>
    <row r="1858" spans="2:10" x14ac:dyDescent="0.25">
      <c r="B1858" s="169">
        <f t="shared" si="57"/>
        <v>0.95269922879181079</v>
      </c>
      <c r="C1858">
        <v>5940</v>
      </c>
      <c r="E1858">
        <v>20</v>
      </c>
      <c r="F1858">
        <v>120</v>
      </c>
      <c r="G1858" s="15">
        <v>6</v>
      </c>
      <c r="H1858" s="167">
        <f t="shared" si="56"/>
        <v>5.1413881748071976E-4</v>
      </c>
      <c r="I1858" s="167"/>
      <c r="J1858" s="167"/>
    </row>
    <row r="1859" spans="2:10" x14ac:dyDescent="0.25">
      <c r="B1859" s="169">
        <f t="shared" si="57"/>
        <v>0.95321336760929154</v>
      </c>
      <c r="C1859">
        <v>6142</v>
      </c>
      <c r="E1859">
        <v>1</v>
      </c>
      <c r="F1859">
        <v>6</v>
      </c>
      <c r="G1859" s="15">
        <v>6</v>
      </c>
      <c r="H1859" s="167">
        <f t="shared" si="56"/>
        <v>5.1413881748071976E-4</v>
      </c>
      <c r="I1859" s="167"/>
      <c r="J1859" s="167"/>
    </row>
    <row r="1860" spans="2:10" x14ac:dyDescent="0.25">
      <c r="B1860" s="169">
        <f t="shared" si="57"/>
        <v>0.95372750642677229</v>
      </c>
      <c r="C1860">
        <v>6784</v>
      </c>
      <c r="E1860">
        <v>1</v>
      </c>
      <c r="F1860">
        <v>6</v>
      </c>
      <c r="G1860" s="15">
        <v>6</v>
      </c>
      <c r="H1860" s="167">
        <f t="shared" si="56"/>
        <v>5.1413881748071976E-4</v>
      </c>
      <c r="I1860" s="167"/>
      <c r="J1860" s="167"/>
    </row>
    <row r="1861" spans="2:10" x14ac:dyDescent="0.25">
      <c r="B1861" s="169">
        <f t="shared" si="57"/>
        <v>0.95424164524425303</v>
      </c>
      <c r="C1861">
        <v>5494</v>
      </c>
      <c r="E1861">
        <v>4</v>
      </c>
      <c r="F1861">
        <v>24</v>
      </c>
      <c r="G1861" s="15">
        <v>6</v>
      </c>
      <c r="H1861" s="167">
        <f t="shared" si="56"/>
        <v>5.1413881748071976E-4</v>
      </c>
      <c r="I1861" s="167"/>
      <c r="J1861" s="167"/>
    </row>
    <row r="1862" spans="2:10" x14ac:dyDescent="0.25">
      <c r="B1862" s="169">
        <f t="shared" si="57"/>
        <v>0.95475578406173378</v>
      </c>
      <c r="C1862">
        <v>5495</v>
      </c>
      <c r="E1862">
        <v>4</v>
      </c>
      <c r="F1862">
        <v>24</v>
      </c>
      <c r="G1862" s="15">
        <v>6</v>
      </c>
      <c r="H1862" s="167">
        <f t="shared" ref="H1862:H1925" si="58">1/$L$6</f>
        <v>5.1413881748071976E-4</v>
      </c>
      <c r="I1862" s="167"/>
      <c r="J1862" s="167"/>
    </row>
    <row r="1863" spans="2:10" x14ac:dyDescent="0.25">
      <c r="B1863" s="169">
        <f t="shared" ref="B1863:B1926" si="59">B1862+H1863</f>
        <v>0.95526992287921453</v>
      </c>
      <c r="C1863">
        <v>6660</v>
      </c>
      <c r="E1863">
        <v>3</v>
      </c>
      <c r="F1863">
        <v>18</v>
      </c>
      <c r="G1863" s="15">
        <v>6</v>
      </c>
      <c r="H1863" s="167">
        <f t="shared" si="58"/>
        <v>5.1413881748071976E-4</v>
      </c>
      <c r="I1863" s="167"/>
      <c r="J1863" s="167"/>
    </row>
    <row r="1864" spans="2:10" x14ac:dyDescent="0.25">
      <c r="B1864" s="169">
        <f t="shared" si="59"/>
        <v>0.95578406169669528</v>
      </c>
      <c r="C1864">
        <v>6718</v>
      </c>
      <c r="E1864">
        <v>2</v>
      </c>
      <c r="F1864">
        <v>12</v>
      </c>
      <c r="G1864" s="15">
        <v>6</v>
      </c>
      <c r="H1864" s="167">
        <f t="shared" si="58"/>
        <v>5.1413881748071976E-4</v>
      </c>
      <c r="I1864" s="167"/>
      <c r="J1864" s="167"/>
    </row>
    <row r="1865" spans="2:10" x14ac:dyDescent="0.25">
      <c r="B1865" s="169">
        <f t="shared" si="59"/>
        <v>0.95629820051417602</v>
      </c>
      <c r="C1865">
        <v>3988</v>
      </c>
      <c r="E1865">
        <v>33</v>
      </c>
      <c r="F1865">
        <v>200</v>
      </c>
      <c r="G1865" s="15">
        <v>6.0606060606060597</v>
      </c>
      <c r="H1865" s="167">
        <f t="shared" si="58"/>
        <v>5.1413881748071976E-4</v>
      </c>
      <c r="I1865" s="167"/>
      <c r="J1865" s="167"/>
    </row>
    <row r="1866" spans="2:10" x14ac:dyDescent="0.25">
      <c r="B1866" s="169">
        <f t="shared" si="59"/>
        <v>0.95681233933165677</v>
      </c>
      <c r="C1866">
        <v>4435</v>
      </c>
      <c r="E1866">
        <v>5</v>
      </c>
      <c r="F1866">
        <v>31</v>
      </c>
      <c r="G1866" s="15">
        <v>6.2</v>
      </c>
      <c r="H1866" s="167">
        <f t="shared" si="58"/>
        <v>5.1413881748071976E-4</v>
      </c>
      <c r="I1866" s="167"/>
      <c r="J1866" s="167"/>
    </row>
    <row r="1867" spans="2:10" x14ac:dyDescent="0.25">
      <c r="B1867" s="169">
        <f t="shared" si="59"/>
        <v>0.95732647814913752</v>
      </c>
      <c r="C1867">
        <v>1775</v>
      </c>
      <c r="E1867">
        <v>9</v>
      </c>
      <c r="F1867">
        <v>56</v>
      </c>
      <c r="G1867" s="15">
        <v>6.2222222222222197</v>
      </c>
      <c r="H1867" s="167">
        <f t="shared" si="58"/>
        <v>5.1413881748071976E-4</v>
      </c>
      <c r="I1867" s="167"/>
      <c r="J1867" s="167"/>
    </row>
    <row r="1868" spans="2:10" x14ac:dyDescent="0.25">
      <c r="B1868" s="169">
        <f t="shared" si="59"/>
        <v>0.95784061696661826</v>
      </c>
      <c r="C1868">
        <v>1882</v>
      </c>
      <c r="E1868">
        <v>15</v>
      </c>
      <c r="F1868">
        <v>94</v>
      </c>
      <c r="G1868" s="15">
        <v>6.2666666666666702</v>
      </c>
      <c r="H1868" s="167">
        <f t="shared" si="58"/>
        <v>5.1413881748071976E-4</v>
      </c>
      <c r="I1868" s="167"/>
      <c r="J1868" s="167"/>
    </row>
    <row r="1869" spans="2:10" x14ac:dyDescent="0.25">
      <c r="B1869" s="169">
        <f t="shared" si="59"/>
        <v>0.95835475578409901</v>
      </c>
      <c r="C1869">
        <v>3658</v>
      </c>
      <c r="E1869">
        <v>60</v>
      </c>
      <c r="F1869">
        <v>380</v>
      </c>
      <c r="G1869" s="15">
        <v>6.3333333333333304</v>
      </c>
      <c r="H1869" s="167">
        <f t="shared" si="58"/>
        <v>5.1413881748071976E-4</v>
      </c>
      <c r="I1869" s="167"/>
      <c r="J1869" s="167"/>
    </row>
    <row r="1870" spans="2:10" x14ac:dyDescent="0.25">
      <c r="B1870" s="169">
        <f t="shared" si="59"/>
        <v>0.95886889460157976</v>
      </c>
      <c r="C1870">
        <v>5524</v>
      </c>
      <c r="E1870">
        <v>13</v>
      </c>
      <c r="F1870">
        <v>84</v>
      </c>
      <c r="G1870" s="15">
        <v>6.4615384615384599</v>
      </c>
      <c r="H1870" s="167">
        <f t="shared" si="58"/>
        <v>5.1413881748071976E-4</v>
      </c>
      <c r="I1870" s="167"/>
      <c r="J1870" s="167"/>
    </row>
    <row r="1871" spans="2:10" x14ac:dyDescent="0.25">
      <c r="B1871" s="169">
        <f t="shared" si="59"/>
        <v>0.9593830334190605</v>
      </c>
      <c r="C1871">
        <v>3979</v>
      </c>
      <c r="E1871">
        <v>10</v>
      </c>
      <c r="F1871">
        <v>66</v>
      </c>
      <c r="G1871" s="15">
        <v>6.6</v>
      </c>
      <c r="H1871" s="167">
        <f t="shared" si="58"/>
        <v>5.1413881748071976E-4</v>
      </c>
      <c r="I1871" s="167"/>
      <c r="J1871" s="167"/>
    </row>
    <row r="1872" spans="2:10" x14ac:dyDescent="0.25">
      <c r="B1872" s="169">
        <f t="shared" si="59"/>
        <v>0.95989717223654125</v>
      </c>
      <c r="C1872">
        <v>6031</v>
      </c>
      <c r="E1872">
        <v>10</v>
      </c>
      <c r="F1872">
        <v>67</v>
      </c>
      <c r="G1872" s="15">
        <v>6.7</v>
      </c>
      <c r="H1872" s="167">
        <f t="shared" si="58"/>
        <v>5.1413881748071976E-4</v>
      </c>
      <c r="I1872" s="167"/>
      <c r="J1872" s="167"/>
    </row>
    <row r="1873" spans="2:10" x14ac:dyDescent="0.25">
      <c r="B1873" s="169">
        <f t="shared" si="59"/>
        <v>0.960411311054022</v>
      </c>
      <c r="C1873">
        <v>4286</v>
      </c>
      <c r="E1873">
        <v>10</v>
      </c>
      <c r="F1873">
        <v>68</v>
      </c>
      <c r="G1873" s="15">
        <v>6.8</v>
      </c>
      <c r="H1873" s="167">
        <f t="shared" si="58"/>
        <v>5.1413881748071976E-4</v>
      </c>
      <c r="I1873" s="167"/>
      <c r="J1873" s="167"/>
    </row>
    <row r="1874" spans="2:10" x14ac:dyDescent="0.25">
      <c r="B1874" s="169">
        <f t="shared" si="59"/>
        <v>0.96092544987150275</v>
      </c>
      <c r="C1874">
        <v>2425</v>
      </c>
      <c r="E1874">
        <v>27</v>
      </c>
      <c r="F1874">
        <v>187</v>
      </c>
      <c r="G1874" s="15">
        <v>6.92592592592593</v>
      </c>
      <c r="H1874" s="167">
        <f t="shared" si="58"/>
        <v>5.1413881748071976E-4</v>
      </c>
      <c r="I1874" s="167"/>
      <c r="J1874" s="167"/>
    </row>
    <row r="1875" spans="2:10" x14ac:dyDescent="0.25">
      <c r="B1875" s="169">
        <f t="shared" si="59"/>
        <v>0.96143958868898349</v>
      </c>
      <c r="C1875">
        <v>4682</v>
      </c>
      <c r="E1875">
        <v>10</v>
      </c>
      <c r="F1875">
        <v>71</v>
      </c>
      <c r="G1875" s="15">
        <v>7.1</v>
      </c>
      <c r="H1875" s="167">
        <f t="shared" si="58"/>
        <v>5.1413881748071976E-4</v>
      </c>
      <c r="I1875" s="167"/>
      <c r="J1875" s="167"/>
    </row>
    <row r="1876" spans="2:10" x14ac:dyDescent="0.25">
      <c r="B1876" s="169">
        <f t="shared" si="59"/>
        <v>0.96195372750646424</v>
      </c>
      <c r="C1876">
        <v>5934</v>
      </c>
      <c r="E1876">
        <v>20</v>
      </c>
      <c r="F1876">
        <v>144</v>
      </c>
      <c r="G1876" s="15">
        <v>7.2</v>
      </c>
      <c r="H1876" s="167">
        <f t="shared" si="58"/>
        <v>5.1413881748071976E-4</v>
      </c>
      <c r="I1876" s="167"/>
      <c r="J1876" s="167"/>
    </row>
    <row r="1877" spans="2:10" x14ac:dyDescent="0.25">
      <c r="B1877" s="169">
        <f t="shared" si="59"/>
        <v>0.96246786632394499</v>
      </c>
      <c r="C1877">
        <v>2652</v>
      </c>
      <c r="E1877">
        <v>12</v>
      </c>
      <c r="F1877">
        <v>88</v>
      </c>
      <c r="G1877" s="15">
        <v>7.3333333333333304</v>
      </c>
      <c r="H1877" s="167">
        <f t="shared" si="58"/>
        <v>5.1413881748071976E-4</v>
      </c>
      <c r="I1877" s="167"/>
      <c r="J1877" s="167"/>
    </row>
    <row r="1878" spans="2:10" x14ac:dyDescent="0.25">
      <c r="B1878" s="169">
        <f t="shared" si="59"/>
        <v>0.96298200514142573</v>
      </c>
      <c r="C1878">
        <v>3986</v>
      </c>
      <c r="E1878">
        <v>20</v>
      </c>
      <c r="F1878">
        <v>147</v>
      </c>
      <c r="G1878" s="15">
        <v>7.35</v>
      </c>
      <c r="H1878" s="167">
        <f t="shared" si="58"/>
        <v>5.1413881748071976E-4</v>
      </c>
      <c r="I1878" s="167"/>
      <c r="J1878" s="167"/>
    </row>
    <row r="1879" spans="2:10" x14ac:dyDescent="0.25">
      <c r="B1879" s="169">
        <f t="shared" si="59"/>
        <v>0.96349614395890648</v>
      </c>
      <c r="C1879">
        <v>5936</v>
      </c>
      <c r="E1879">
        <v>20</v>
      </c>
      <c r="F1879">
        <v>152</v>
      </c>
      <c r="G1879" s="15">
        <v>7.6</v>
      </c>
      <c r="H1879" s="167">
        <f t="shared" si="58"/>
        <v>5.1413881748071976E-4</v>
      </c>
      <c r="I1879" s="167"/>
      <c r="J1879" s="167"/>
    </row>
    <row r="1880" spans="2:10" x14ac:dyDescent="0.25">
      <c r="B1880" s="169">
        <f t="shared" si="59"/>
        <v>0.96401028277638723</v>
      </c>
      <c r="C1880">
        <v>6450</v>
      </c>
      <c r="E1880">
        <v>16</v>
      </c>
      <c r="F1880">
        <v>123</v>
      </c>
      <c r="G1880" s="15">
        <v>7.6875</v>
      </c>
      <c r="H1880" s="167">
        <f t="shared" si="58"/>
        <v>5.1413881748071976E-4</v>
      </c>
      <c r="I1880" s="167"/>
      <c r="J1880" s="167"/>
    </row>
    <row r="1881" spans="2:10" x14ac:dyDescent="0.25">
      <c r="B1881" s="169">
        <f t="shared" si="59"/>
        <v>0.96452442159386798</v>
      </c>
      <c r="C1881">
        <v>3643</v>
      </c>
      <c r="E1881">
        <v>20</v>
      </c>
      <c r="F1881">
        <v>158</v>
      </c>
      <c r="G1881" s="15">
        <v>7.9</v>
      </c>
      <c r="H1881" s="167">
        <f t="shared" si="58"/>
        <v>5.1413881748071976E-4</v>
      </c>
      <c r="I1881" s="167"/>
      <c r="J1881" s="167"/>
    </row>
    <row r="1882" spans="2:10" x14ac:dyDescent="0.25">
      <c r="B1882" s="169">
        <f t="shared" si="59"/>
        <v>0.96503856041134872</v>
      </c>
      <c r="C1882">
        <v>4902</v>
      </c>
      <c r="E1882">
        <v>15</v>
      </c>
      <c r="F1882">
        <v>123</v>
      </c>
      <c r="G1882" s="15">
        <v>8.1999999999999993</v>
      </c>
      <c r="H1882" s="167">
        <f t="shared" si="58"/>
        <v>5.1413881748071976E-4</v>
      </c>
      <c r="I1882" s="167"/>
      <c r="J1882" s="167"/>
    </row>
    <row r="1883" spans="2:10" x14ac:dyDescent="0.25">
      <c r="B1883" s="169">
        <f t="shared" si="59"/>
        <v>0.96555269922882947</v>
      </c>
      <c r="C1883">
        <v>4105</v>
      </c>
      <c r="E1883">
        <v>6</v>
      </c>
      <c r="F1883">
        <v>50</v>
      </c>
      <c r="G1883" s="15">
        <v>8.3333333333333304</v>
      </c>
      <c r="H1883" s="167">
        <f t="shared" si="58"/>
        <v>5.1413881748071976E-4</v>
      </c>
      <c r="I1883" s="167"/>
      <c r="J1883" s="167"/>
    </row>
    <row r="1884" spans="2:10" x14ac:dyDescent="0.25">
      <c r="B1884" s="169">
        <f t="shared" si="59"/>
        <v>0.96606683804631022</v>
      </c>
      <c r="C1884">
        <v>4398</v>
      </c>
      <c r="E1884">
        <v>4</v>
      </c>
      <c r="F1884">
        <v>34</v>
      </c>
      <c r="G1884" s="15">
        <v>8.5</v>
      </c>
      <c r="H1884" s="167">
        <f t="shared" si="58"/>
        <v>5.1413881748071976E-4</v>
      </c>
      <c r="I1884" s="167"/>
      <c r="J1884" s="167"/>
    </row>
    <row r="1885" spans="2:10" x14ac:dyDescent="0.25">
      <c r="B1885" s="169">
        <f t="shared" si="59"/>
        <v>0.96658097686379096</v>
      </c>
      <c r="C1885">
        <v>6627</v>
      </c>
      <c r="E1885">
        <v>3</v>
      </c>
      <c r="F1885">
        <v>26</v>
      </c>
      <c r="G1885" s="15">
        <v>8.6666666666666696</v>
      </c>
      <c r="H1885" s="167">
        <f t="shared" si="58"/>
        <v>5.1413881748071976E-4</v>
      </c>
      <c r="I1885" s="167"/>
      <c r="J1885" s="167"/>
    </row>
    <row r="1886" spans="2:10" x14ac:dyDescent="0.25">
      <c r="B1886" s="169">
        <f t="shared" si="59"/>
        <v>0.96709511568127171</v>
      </c>
      <c r="C1886">
        <v>5967</v>
      </c>
      <c r="E1886">
        <v>10</v>
      </c>
      <c r="F1886">
        <v>87</v>
      </c>
      <c r="G1886" s="15">
        <v>8.6999999999999993</v>
      </c>
      <c r="H1886" s="167">
        <f t="shared" si="58"/>
        <v>5.1413881748071976E-4</v>
      </c>
      <c r="I1886" s="167"/>
      <c r="J1886" s="167"/>
    </row>
    <row r="1887" spans="2:10" x14ac:dyDescent="0.25">
      <c r="B1887" s="169">
        <f t="shared" si="59"/>
        <v>0.96760925449875246</v>
      </c>
      <c r="C1887">
        <v>5580</v>
      </c>
      <c r="E1887">
        <v>1</v>
      </c>
      <c r="F1887">
        <v>9</v>
      </c>
      <c r="G1887" s="15">
        <v>9</v>
      </c>
      <c r="H1887" s="167">
        <f t="shared" si="58"/>
        <v>5.1413881748071976E-4</v>
      </c>
      <c r="I1887" s="167"/>
      <c r="J1887" s="167"/>
    </row>
    <row r="1888" spans="2:10" x14ac:dyDescent="0.25">
      <c r="B1888" s="169">
        <f t="shared" si="59"/>
        <v>0.96812339331623321</v>
      </c>
      <c r="C1888">
        <v>4146</v>
      </c>
      <c r="E1888">
        <v>2</v>
      </c>
      <c r="F1888">
        <v>18</v>
      </c>
      <c r="G1888" s="15">
        <v>9</v>
      </c>
      <c r="H1888" s="167">
        <f t="shared" si="58"/>
        <v>5.1413881748071976E-4</v>
      </c>
      <c r="I1888" s="167"/>
      <c r="J1888" s="167"/>
    </row>
    <row r="1889" spans="2:10" x14ac:dyDescent="0.25">
      <c r="B1889" s="169">
        <f t="shared" si="59"/>
        <v>0.96863753213371395</v>
      </c>
      <c r="C1889">
        <v>973</v>
      </c>
      <c r="E1889">
        <v>10</v>
      </c>
      <c r="F1889">
        <v>91</v>
      </c>
      <c r="G1889" s="15">
        <v>9.1</v>
      </c>
      <c r="H1889" s="167">
        <f t="shared" si="58"/>
        <v>5.1413881748071976E-4</v>
      </c>
      <c r="I1889" s="167"/>
      <c r="J1889" s="167"/>
    </row>
    <row r="1890" spans="2:10" x14ac:dyDescent="0.25">
      <c r="B1890" s="169">
        <f t="shared" si="59"/>
        <v>0.9691516709511947</v>
      </c>
      <c r="C1890">
        <v>622</v>
      </c>
      <c r="E1890">
        <v>15</v>
      </c>
      <c r="F1890">
        <v>137</v>
      </c>
      <c r="G1890" s="15">
        <v>9.1333333333333293</v>
      </c>
      <c r="H1890" s="167">
        <f t="shared" si="58"/>
        <v>5.1413881748071976E-4</v>
      </c>
      <c r="I1890" s="167"/>
      <c r="J1890" s="167"/>
    </row>
    <row r="1891" spans="2:10" x14ac:dyDescent="0.25">
      <c r="B1891" s="169">
        <f t="shared" si="59"/>
        <v>0.96966580976867545</v>
      </c>
      <c r="C1891">
        <v>4379</v>
      </c>
      <c r="E1891">
        <v>5</v>
      </c>
      <c r="F1891">
        <v>46</v>
      </c>
      <c r="G1891" s="15">
        <v>9.1999999999999993</v>
      </c>
      <c r="H1891" s="167">
        <f t="shared" si="58"/>
        <v>5.1413881748071976E-4</v>
      </c>
      <c r="I1891" s="167"/>
      <c r="J1891" s="167"/>
    </row>
    <row r="1892" spans="2:10" x14ac:dyDescent="0.25">
      <c r="B1892" s="169">
        <f t="shared" si="59"/>
        <v>0.97017994858615619</v>
      </c>
      <c r="C1892">
        <v>4439</v>
      </c>
      <c r="E1892">
        <v>4</v>
      </c>
      <c r="F1892">
        <v>37</v>
      </c>
      <c r="G1892" s="15">
        <v>9.25</v>
      </c>
      <c r="H1892" s="167">
        <f t="shared" si="58"/>
        <v>5.1413881748071976E-4</v>
      </c>
      <c r="I1892" s="167"/>
      <c r="J1892" s="167"/>
    </row>
    <row r="1893" spans="2:10" x14ac:dyDescent="0.25">
      <c r="B1893" s="169">
        <f t="shared" si="59"/>
        <v>0.97069408740363694</v>
      </c>
      <c r="C1893">
        <v>3676</v>
      </c>
      <c r="E1893">
        <v>3</v>
      </c>
      <c r="F1893">
        <v>28</v>
      </c>
      <c r="G1893" s="15">
        <v>9.3333333333333304</v>
      </c>
      <c r="H1893" s="167">
        <f t="shared" si="58"/>
        <v>5.1413881748071976E-4</v>
      </c>
      <c r="I1893" s="167"/>
      <c r="J1893" s="167"/>
    </row>
    <row r="1894" spans="2:10" x14ac:dyDescent="0.25">
      <c r="B1894" s="169">
        <f t="shared" si="59"/>
        <v>0.97120822622111769</v>
      </c>
      <c r="C1894">
        <v>2100</v>
      </c>
      <c r="E1894">
        <v>3</v>
      </c>
      <c r="F1894">
        <v>28</v>
      </c>
      <c r="G1894" s="15">
        <v>9.3333333333333304</v>
      </c>
      <c r="H1894" s="167">
        <f t="shared" si="58"/>
        <v>5.1413881748071976E-4</v>
      </c>
      <c r="I1894" s="167"/>
      <c r="J1894" s="167"/>
    </row>
    <row r="1895" spans="2:10" x14ac:dyDescent="0.25">
      <c r="B1895" s="169">
        <f t="shared" si="59"/>
        <v>0.97172236503859843</v>
      </c>
      <c r="C1895">
        <v>2237</v>
      </c>
      <c r="E1895">
        <v>3</v>
      </c>
      <c r="F1895">
        <v>28</v>
      </c>
      <c r="G1895" s="15">
        <v>9.3333333333333304</v>
      </c>
      <c r="H1895" s="167">
        <f t="shared" si="58"/>
        <v>5.1413881748071976E-4</v>
      </c>
      <c r="I1895" s="167"/>
      <c r="J1895" s="167"/>
    </row>
    <row r="1896" spans="2:10" x14ac:dyDescent="0.25">
      <c r="B1896" s="169">
        <f t="shared" si="59"/>
        <v>0.97223650385607918</v>
      </c>
      <c r="C1896">
        <v>7036</v>
      </c>
      <c r="E1896">
        <v>20</v>
      </c>
      <c r="F1896">
        <v>189</v>
      </c>
      <c r="G1896" s="15">
        <v>9.4499999999999993</v>
      </c>
      <c r="H1896" s="167">
        <f t="shared" si="58"/>
        <v>5.1413881748071976E-4</v>
      </c>
      <c r="I1896" s="167"/>
      <c r="J1896" s="167"/>
    </row>
    <row r="1897" spans="2:10" x14ac:dyDescent="0.25">
      <c r="B1897" s="169">
        <f t="shared" si="59"/>
        <v>0.97275064267355993</v>
      </c>
      <c r="C1897">
        <v>4188</v>
      </c>
      <c r="E1897">
        <v>2</v>
      </c>
      <c r="F1897">
        <v>19</v>
      </c>
      <c r="G1897" s="15">
        <v>9.5</v>
      </c>
      <c r="H1897" s="167">
        <f t="shared" si="58"/>
        <v>5.1413881748071976E-4</v>
      </c>
      <c r="I1897" s="167"/>
      <c r="J1897" s="167"/>
    </row>
    <row r="1898" spans="2:10" x14ac:dyDescent="0.25">
      <c r="B1898" s="169">
        <f t="shared" si="59"/>
        <v>0.97326478149104068</v>
      </c>
      <c r="C1898">
        <v>4181</v>
      </c>
      <c r="E1898">
        <v>2</v>
      </c>
      <c r="F1898">
        <v>19</v>
      </c>
      <c r="G1898" s="15">
        <v>9.5</v>
      </c>
      <c r="H1898" s="167">
        <f t="shared" si="58"/>
        <v>5.1413881748071976E-4</v>
      </c>
      <c r="I1898" s="167"/>
      <c r="J1898" s="167"/>
    </row>
    <row r="1899" spans="2:10" x14ac:dyDescent="0.25">
      <c r="B1899" s="169">
        <f t="shared" si="59"/>
        <v>0.97377892030852142</v>
      </c>
      <c r="C1899">
        <v>3659</v>
      </c>
      <c r="E1899">
        <v>60</v>
      </c>
      <c r="F1899">
        <v>574</v>
      </c>
      <c r="G1899" s="15">
        <v>9.56666666666667</v>
      </c>
      <c r="H1899" s="167">
        <f t="shared" si="58"/>
        <v>5.1413881748071976E-4</v>
      </c>
      <c r="I1899" s="167"/>
      <c r="J1899" s="167"/>
    </row>
    <row r="1900" spans="2:10" x14ac:dyDescent="0.25">
      <c r="B1900" s="169">
        <f t="shared" si="59"/>
        <v>0.97429305912600217</v>
      </c>
      <c r="C1900">
        <v>4014</v>
      </c>
      <c r="E1900">
        <v>15</v>
      </c>
      <c r="F1900">
        <v>144</v>
      </c>
      <c r="G1900" s="15">
        <v>9.6</v>
      </c>
      <c r="H1900" s="167">
        <f t="shared" si="58"/>
        <v>5.1413881748071976E-4</v>
      </c>
      <c r="I1900" s="167"/>
      <c r="J1900" s="167"/>
    </row>
    <row r="1901" spans="2:10" x14ac:dyDescent="0.25">
      <c r="B1901" s="169">
        <f t="shared" si="59"/>
        <v>0.97480719794348292</v>
      </c>
      <c r="C1901">
        <v>4425</v>
      </c>
      <c r="E1901">
        <v>3</v>
      </c>
      <c r="F1901">
        <v>29</v>
      </c>
      <c r="G1901" s="15">
        <v>9.6666666666666696</v>
      </c>
      <c r="H1901" s="167">
        <f t="shared" si="58"/>
        <v>5.1413881748071976E-4</v>
      </c>
      <c r="I1901" s="167"/>
      <c r="J1901" s="167"/>
    </row>
    <row r="1902" spans="2:10" x14ac:dyDescent="0.25">
      <c r="B1902" s="169">
        <f t="shared" si="59"/>
        <v>0.97532133676096366</v>
      </c>
      <c r="C1902">
        <v>2053</v>
      </c>
      <c r="E1902">
        <v>20</v>
      </c>
      <c r="F1902">
        <v>194</v>
      </c>
      <c r="G1902" s="15">
        <v>9.6999999999999993</v>
      </c>
      <c r="H1902" s="167">
        <f t="shared" si="58"/>
        <v>5.1413881748071976E-4</v>
      </c>
      <c r="I1902" s="167"/>
      <c r="J1902" s="167"/>
    </row>
    <row r="1903" spans="2:10" x14ac:dyDescent="0.25">
      <c r="B1903" s="169">
        <f t="shared" si="59"/>
        <v>0.97583547557844441</v>
      </c>
      <c r="C1903">
        <v>4430</v>
      </c>
      <c r="E1903">
        <v>5</v>
      </c>
      <c r="F1903">
        <v>50</v>
      </c>
      <c r="G1903" s="15">
        <v>10</v>
      </c>
      <c r="H1903" s="167">
        <f t="shared" si="58"/>
        <v>5.1413881748071976E-4</v>
      </c>
      <c r="I1903" s="167"/>
      <c r="J1903" s="167"/>
    </row>
    <row r="1904" spans="2:10" x14ac:dyDescent="0.25">
      <c r="B1904" s="169">
        <f t="shared" si="59"/>
        <v>0.97634961439592516</v>
      </c>
      <c r="C1904">
        <v>4451</v>
      </c>
      <c r="E1904">
        <v>1</v>
      </c>
      <c r="F1904">
        <v>10</v>
      </c>
      <c r="G1904" s="15">
        <v>10</v>
      </c>
      <c r="H1904" s="167">
        <f t="shared" si="58"/>
        <v>5.1413881748071976E-4</v>
      </c>
      <c r="I1904" s="167"/>
      <c r="J1904" s="167"/>
    </row>
    <row r="1905" spans="2:10" x14ac:dyDescent="0.25">
      <c r="B1905" s="169">
        <f t="shared" si="59"/>
        <v>0.97686375321340591</v>
      </c>
      <c r="C1905">
        <v>3877</v>
      </c>
      <c r="E1905">
        <v>3</v>
      </c>
      <c r="F1905">
        <v>30</v>
      </c>
      <c r="G1905" s="15">
        <v>10</v>
      </c>
      <c r="H1905" s="167">
        <f t="shared" si="58"/>
        <v>5.1413881748071976E-4</v>
      </c>
      <c r="I1905" s="167"/>
      <c r="J1905" s="167"/>
    </row>
    <row r="1906" spans="2:10" x14ac:dyDescent="0.25">
      <c r="B1906" s="169">
        <f t="shared" si="59"/>
        <v>0.97737789203088665</v>
      </c>
      <c r="C1906">
        <v>2115</v>
      </c>
      <c r="E1906">
        <v>1</v>
      </c>
      <c r="F1906">
        <v>10</v>
      </c>
      <c r="G1906" s="15">
        <v>10</v>
      </c>
      <c r="H1906" s="167">
        <f t="shared" si="58"/>
        <v>5.1413881748071976E-4</v>
      </c>
      <c r="I1906" s="167"/>
      <c r="J1906" s="167"/>
    </row>
    <row r="1907" spans="2:10" x14ac:dyDescent="0.25">
      <c r="B1907" s="169">
        <f t="shared" si="59"/>
        <v>0.9778920308483674</v>
      </c>
      <c r="C1907">
        <v>6609</v>
      </c>
      <c r="E1907">
        <v>2</v>
      </c>
      <c r="F1907">
        <v>20</v>
      </c>
      <c r="G1907" s="15">
        <v>10</v>
      </c>
      <c r="H1907" s="167">
        <f t="shared" si="58"/>
        <v>5.1413881748071976E-4</v>
      </c>
      <c r="I1907" s="167"/>
      <c r="J1907" s="167"/>
    </row>
    <row r="1908" spans="2:10" x14ac:dyDescent="0.25">
      <c r="B1908" s="169">
        <f t="shared" si="59"/>
        <v>0.97840616966584815</v>
      </c>
      <c r="C1908">
        <v>597</v>
      </c>
      <c r="E1908">
        <v>15</v>
      </c>
      <c r="F1908">
        <v>151</v>
      </c>
      <c r="G1908" s="15">
        <v>10.0666666666667</v>
      </c>
      <c r="H1908" s="167">
        <f t="shared" si="58"/>
        <v>5.1413881748071976E-4</v>
      </c>
      <c r="I1908" s="167"/>
      <c r="J1908" s="167"/>
    </row>
    <row r="1909" spans="2:10" x14ac:dyDescent="0.25">
      <c r="B1909" s="169">
        <f t="shared" si="59"/>
        <v>0.97892030848332889</v>
      </c>
      <c r="C1909">
        <v>4440</v>
      </c>
      <c r="E1909">
        <v>4</v>
      </c>
      <c r="F1909">
        <v>41</v>
      </c>
      <c r="G1909" s="15">
        <v>10.25</v>
      </c>
      <c r="H1909" s="167">
        <f t="shared" si="58"/>
        <v>5.1413881748071976E-4</v>
      </c>
      <c r="I1909" s="167"/>
      <c r="J1909" s="167"/>
    </row>
    <row r="1910" spans="2:10" x14ac:dyDescent="0.25">
      <c r="B1910" s="169">
        <f t="shared" si="59"/>
        <v>0.97943444730080964</v>
      </c>
      <c r="C1910">
        <v>2597</v>
      </c>
      <c r="E1910">
        <v>1</v>
      </c>
      <c r="F1910">
        <v>11</v>
      </c>
      <c r="G1910" s="15">
        <v>11</v>
      </c>
      <c r="H1910" s="167">
        <f t="shared" si="58"/>
        <v>5.1413881748071976E-4</v>
      </c>
      <c r="I1910" s="167"/>
      <c r="J1910" s="167"/>
    </row>
    <row r="1911" spans="2:10" x14ac:dyDescent="0.25">
      <c r="B1911" s="169">
        <f t="shared" si="59"/>
        <v>0.97994858611829039</v>
      </c>
      <c r="C1911">
        <v>5659</v>
      </c>
      <c r="E1911">
        <v>10</v>
      </c>
      <c r="F1911">
        <v>114</v>
      </c>
      <c r="G1911" s="15">
        <v>11.4</v>
      </c>
      <c r="H1911" s="167">
        <f t="shared" si="58"/>
        <v>5.1413881748071976E-4</v>
      </c>
      <c r="I1911" s="167"/>
      <c r="J1911" s="167"/>
    </row>
    <row r="1912" spans="2:10" x14ac:dyDescent="0.25">
      <c r="B1912" s="169">
        <f t="shared" si="59"/>
        <v>0.98046272493577113</v>
      </c>
      <c r="C1912">
        <v>4903</v>
      </c>
      <c r="E1912">
        <v>11</v>
      </c>
      <c r="F1912">
        <v>127</v>
      </c>
      <c r="G1912" s="15">
        <v>11.545454545454501</v>
      </c>
      <c r="H1912" s="167">
        <f t="shared" si="58"/>
        <v>5.1413881748071976E-4</v>
      </c>
      <c r="I1912" s="167"/>
      <c r="J1912" s="167"/>
    </row>
    <row r="1913" spans="2:10" x14ac:dyDescent="0.25">
      <c r="B1913" s="169">
        <f t="shared" si="59"/>
        <v>0.98097686375325188</v>
      </c>
      <c r="C1913">
        <v>2336</v>
      </c>
      <c r="E1913">
        <v>1</v>
      </c>
      <c r="F1913">
        <v>12</v>
      </c>
      <c r="G1913" s="15">
        <v>12</v>
      </c>
      <c r="H1913" s="167">
        <f t="shared" si="58"/>
        <v>5.1413881748071976E-4</v>
      </c>
      <c r="I1913" s="167"/>
      <c r="J1913" s="167"/>
    </row>
    <row r="1914" spans="2:10" x14ac:dyDescent="0.25">
      <c r="B1914" s="169">
        <f t="shared" si="59"/>
        <v>0.98149100257073263</v>
      </c>
      <c r="C1914">
        <v>4699</v>
      </c>
      <c r="E1914">
        <v>15</v>
      </c>
      <c r="F1914">
        <v>185</v>
      </c>
      <c r="G1914" s="15">
        <v>12.3333333333333</v>
      </c>
      <c r="H1914" s="167">
        <f t="shared" si="58"/>
        <v>5.1413881748071976E-4</v>
      </c>
      <c r="I1914" s="167"/>
      <c r="J1914" s="167"/>
    </row>
    <row r="1915" spans="2:10" x14ac:dyDescent="0.25">
      <c r="B1915" s="169">
        <f t="shared" si="59"/>
        <v>0.98200514138821338</v>
      </c>
      <c r="C1915">
        <v>6133</v>
      </c>
      <c r="E1915">
        <v>7</v>
      </c>
      <c r="F1915">
        <v>87</v>
      </c>
      <c r="G1915" s="15">
        <v>12.4285714285714</v>
      </c>
      <c r="H1915" s="167">
        <f t="shared" si="58"/>
        <v>5.1413881748071976E-4</v>
      </c>
      <c r="I1915" s="167"/>
      <c r="J1915" s="167"/>
    </row>
    <row r="1916" spans="2:10" x14ac:dyDescent="0.25">
      <c r="B1916" s="169">
        <f t="shared" si="59"/>
        <v>0.98251928020569412</v>
      </c>
      <c r="C1916">
        <v>5749</v>
      </c>
      <c r="E1916">
        <v>2</v>
      </c>
      <c r="F1916">
        <v>25</v>
      </c>
      <c r="G1916" s="15">
        <v>12.5</v>
      </c>
      <c r="H1916" s="167">
        <f t="shared" si="58"/>
        <v>5.1413881748071976E-4</v>
      </c>
      <c r="I1916" s="167"/>
      <c r="J1916" s="167"/>
    </row>
    <row r="1917" spans="2:10" x14ac:dyDescent="0.25">
      <c r="B1917" s="169">
        <f t="shared" si="59"/>
        <v>0.98303341902317487</v>
      </c>
      <c r="C1917">
        <v>970</v>
      </c>
      <c r="E1917">
        <v>10</v>
      </c>
      <c r="F1917">
        <v>133</v>
      </c>
      <c r="G1917" s="15">
        <v>13.3</v>
      </c>
      <c r="H1917" s="167">
        <f t="shared" si="58"/>
        <v>5.1413881748071976E-4</v>
      </c>
      <c r="I1917" s="167"/>
      <c r="J1917" s="167"/>
    </row>
    <row r="1918" spans="2:10" x14ac:dyDescent="0.25">
      <c r="B1918" s="169">
        <f t="shared" si="59"/>
        <v>0.98354755784065562</v>
      </c>
      <c r="C1918">
        <v>2585</v>
      </c>
      <c r="E1918">
        <v>2</v>
      </c>
      <c r="F1918">
        <v>27</v>
      </c>
      <c r="G1918" s="15">
        <v>13.5</v>
      </c>
      <c r="H1918" s="167">
        <f t="shared" si="58"/>
        <v>5.1413881748071976E-4</v>
      </c>
      <c r="I1918" s="167"/>
      <c r="J1918" s="167"/>
    </row>
    <row r="1919" spans="2:10" x14ac:dyDescent="0.25">
      <c r="B1919" s="169">
        <f t="shared" si="59"/>
        <v>0.98406169665813636</v>
      </c>
      <c r="C1919">
        <v>2589</v>
      </c>
      <c r="E1919">
        <v>2</v>
      </c>
      <c r="F1919">
        <v>27</v>
      </c>
      <c r="G1919" s="15">
        <v>13.5</v>
      </c>
      <c r="H1919" s="167">
        <f t="shared" si="58"/>
        <v>5.1413881748071976E-4</v>
      </c>
      <c r="I1919" s="167"/>
      <c r="J1919" s="167"/>
    </row>
    <row r="1920" spans="2:10" x14ac:dyDescent="0.25">
      <c r="B1920" s="169">
        <f t="shared" si="59"/>
        <v>0.98457583547561711</v>
      </c>
      <c r="C1920">
        <v>4452</v>
      </c>
      <c r="E1920">
        <v>1</v>
      </c>
      <c r="F1920">
        <v>14</v>
      </c>
      <c r="G1920" s="15">
        <v>14</v>
      </c>
      <c r="H1920" s="167">
        <f t="shared" si="58"/>
        <v>5.1413881748071976E-4</v>
      </c>
      <c r="I1920" s="167"/>
      <c r="J1920" s="167"/>
    </row>
    <row r="1921" spans="2:10" x14ac:dyDescent="0.25">
      <c r="B1921" s="169">
        <f t="shared" si="59"/>
        <v>0.98508997429309786</v>
      </c>
      <c r="C1921">
        <v>4438</v>
      </c>
      <c r="E1921">
        <v>2</v>
      </c>
      <c r="F1921">
        <v>29</v>
      </c>
      <c r="G1921" s="15">
        <v>14.5</v>
      </c>
      <c r="H1921" s="167">
        <f t="shared" si="58"/>
        <v>5.1413881748071976E-4</v>
      </c>
      <c r="I1921" s="167"/>
      <c r="J1921" s="167"/>
    </row>
    <row r="1922" spans="2:10" x14ac:dyDescent="0.25">
      <c r="B1922" s="169">
        <f t="shared" si="59"/>
        <v>0.98560411311057861</v>
      </c>
      <c r="C1922">
        <v>4309</v>
      </c>
      <c r="E1922">
        <v>5</v>
      </c>
      <c r="F1922">
        <v>73</v>
      </c>
      <c r="G1922" s="15">
        <v>14.6</v>
      </c>
      <c r="H1922" s="167">
        <f t="shared" si="58"/>
        <v>5.1413881748071976E-4</v>
      </c>
      <c r="I1922" s="167"/>
      <c r="J1922" s="167"/>
    </row>
    <row r="1923" spans="2:10" x14ac:dyDescent="0.25">
      <c r="B1923" s="169">
        <f t="shared" si="59"/>
        <v>0.98611825192805935</v>
      </c>
      <c r="C1923">
        <v>4901</v>
      </c>
      <c r="E1923">
        <v>7</v>
      </c>
      <c r="F1923">
        <v>108</v>
      </c>
      <c r="G1923" s="15">
        <v>15.4285714285714</v>
      </c>
      <c r="H1923" s="167">
        <f t="shared" si="58"/>
        <v>5.1413881748071976E-4</v>
      </c>
      <c r="I1923" s="167"/>
      <c r="J1923" s="167"/>
    </row>
    <row r="1924" spans="2:10" x14ac:dyDescent="0.25">
      <c r="B1924" s="169">
        <f t="shared" si="59"/>
        <v>0.9866323907455401</v>
      </c>
      <c r="C1924">
        <v>4135</v>
      </c>
      <c r="E1924">
        <v>2</v>
      </c>
      <c r="F1924">
        <v>34</v>
      </c>
      <c r="G1924" s="15">
        <v>17</v>
      </c>
      <c r="H1924" s="167">
        <f t="shared" si="58"/>
        <v>5.1413881748071976E-4</v>
      </c>
      <c r="I1924" s="167"/>
      <c r="J1924" s="167"/>
    </row>
    <row r="1925" spans="2:10" x14ac:dyDescent="0.25">
      <c r="B1925" s="169">
        <f t="shared" si="59"/>
        <v>0.98714652956302085</v>
      </c>
      <c r="C1925">
        <v>4136</v>
      </c>
      <c r="E1925">
        <v>2</v>
      </c>
      <c r="F1925">
        <v>34</v>
      </c>
      <c r="G1925" s="15">
        <v>17</v>
      </c>
      <c r="H1925" s="167">
        <f t="shared" si="58"/>
        <v>5.1413881748071976E-4</v>
      </c>
      <c r="I1925" s="167"/>
      <c r="J1925" s="167"/>
    </row>
    <row r="1926" spans="2:10" x14ac:dyDescent="0.25">
      <c r="B1926" s="169">
        <f t="shared" si="59"/>
        <v>0.98766066838050159</v>
      </c>
      <c r="C1926">
        <v>4431</v>
      </c>
      <c r="E1926">
        <v>4</v>
      </c>
      <c r="F1926">
        <v>69</v>
      </c>
      <c r="G1926" s="15">
        <v>17.25</v>
      </c>
      <c r="H1926" s="167">
        <f t="shared" ref="H1926:H1950" si="60">1/$L$6</f>
        <v>5.1413881748071976E-4</v>
      </c>
      <c r="I1926" s="167"/>
      <c r="J1926" s="167"/>
    </row>
    <row r="1927" spans="2:10" x14ac:dyDescent="0.25">
      <c r="B1927" s="169">
        <f t="shared" ref="B1927:B1950" si="61">B1926+H1927</f>
        <v>0.98817480719798234</v>
      </c>
      <c r="C1927">
        <v>2240</v>
      </c>
      <c r="E1927">
        <v>1</v>
      </c>
      <c r="F1927">
        <v>18</v>
      </c>
      <c r="G1927" s="15">
        <v>18</v>
      </c>
      <c r="H1927" s="167">
        <f t="shared" si="60"/>
        <v>5.1413881748071976E-4</v>
      </c>
      <c r="I1927" s="167"/>
      <c r="J1927" s="167"/>
    </row>
    <row r="1928" spans="2:10" x14ac:dyDescent="0.25">
      <c r="B1928" s="169">
        <f t="shared" si="61"/>
        <v>0.98868894601546309</v>
      </c>
      <c r="C1928">
        <v>2243</v>
      </c>
      <c r="E1928">
        <v>1</v>
      </c>
      <c r="F1928">
        <v>18</v>
      </c>
      <c r="G1928" s="15">
        <v>18</v>
      </c>
      <c r="H1928" s="167">
        <f t="shared" si="60"/>
        <v>5.1413881748071976E-4</v>
      </c>
      <c r="I1928" s="167"/>
      <c r="J1928" s="167"/>
    </row>
    <row r="1929" spans="2:10" x14ac:dyDescent="0.25">
      <c r="B1929" s="169">
        <f t="shared" si="61"/>
        <v>0.98920308483294384</v>
      </c>
      <c r="C1929">
        <v>4013</v>
      </c>
      <c r="E1929">
        <v>15</v>
      </c>
      <c r="F1929">
        <v>287</v>
      </c>
      <c r="G1929" s="15">
        <v>19.133333333333301</v>
      </c>
      <c r="H1929" s="167">
        <f t="shared" si="60"/>
        <v>5.1413881748071976E-4</v>
      </c>
      <c r="I1929" s="167"/>
      <c r="J1929" s="167"/>
    </row>
    <row r="1930" spans="2:10" x14ac:dyDescent="0.25">
      <c r="B1930" s="169">
        <f t="shared" si="61"/>
        <v>0.98971722365042458</v>
      </c>
      <c r="C1930">
        <v>5977</v>
      </c>
      <c r="E1930">
        <v>3</v>
      </c>
      <c r="F1930">
        <v>58</v>
      </c>
      <c r="G1930" s="15">
        <v>19.3333333333333</v>
      </c>
      <c r="H1930" s="167">
        <f t="shared" si="60"/>
        <v>5.1413881748071976E-4</v>
      </c>
      <c r="I1930" s="167"/>
      <c r="J1930" s="167"/>
    </row>
    <row r="1931" spans="2:10" x14ac:dyDescent="0.25">
      <c r="B1931" s="169">
        <f t="shared" si="61"/>
        <v>0.99023136246790533</v>
      </c>
      <c r="C1931">
        <v>4248</v>
      </c>
      <c r="E1931">
        <v>1</v>
      </c>
      <c r="F1931">
        <v>20</v>
      </c>
      <c r="G1931" s="15">
        <v>20</v>
      </c>
      <c r="H1931" s="167">
        <f t="shared" si="60"/>
        <v>5.1413881748071976E-4</v>
      </c>
      <c r="I1931" s="167"/>
      <c r="J1931" s="167"/>
    </row>
    <row r="1932" spans="2:10" x14ac:dyDescent="0.25">
      <c r="B1932" s="169">
        <f t="shared" si="61"/>
        <v>0.99074550128538608</v>
      </c>
      <c r="C1932">
        <v>4167</v>
      </c>
      <c r="E1932">
        <v>4</v>
      </c>
      <c r="F1932">
        <v>87</v>
      </c>
      <c r="G1932" s="15">
        <v>21.75</v>
      </c>
      <c r="H1932" s="167">
        <f t="shared" si="60"/>
        <v>5.1413881748071976E-4</v>
      </c>
      <c r="I1932" s="167"/>
      <c r="J1932" s="167"/>
    </row>
    <row r="1933" spans="2:10" x14ac:dyDescent="0.25">
      <c r="B1933" s="169">
        <f t="shared" si="61"/>
        <v>0.99125964010286682</v>
      </c>
      <c r="C1933">
        <v>3791</v>
      </c>
      <c r="E1933">
        <v>1</v>
      </c>
      <c r="F1933">
        <v>22</v>
      </c>
      <c r="G1933" s="15">
        <v>22</v>
      </c>
      <c r="H1933" s="167">
        <f t="shared" si="60"/>
        <v>5.1413881748071976E-4</v>
      </c>
      <c r="I1933" s="167"/>
      <c r="J1933" s="167"/>
    </row>
    <row r="1934" spans="2:10" x14ac:dyDescent="0.25">
      <c r="B1934" s="169">
        <f t="shared" si="61"/>
        <v>0.99177377892034757</v>
      </c>
      <c r="C1934">
        <v>2185</v>
      </c>
      <c r="E1934">
        <v>2</v>
      </c>
      <c r="F1934">
        <v>48</v>
      </c>
      <c r="G1934" s="15">
        <v>24</v>
      </c>
      <c r="H1934" s="167">
        <f t="shared" si="60"/>
        <v>5.1413881748071976E-4</v>
      </c>
      <c r="I1934" s="167"/>
      <c r="J1934" s="167"/>
    </row>
    <row r="1935" spans="2:10" x14ac:dyDescent="0.25">
      <c r="B1935" s="169">
        <f t="shared" si="61"/>
        <v>0.99228791773782832</v>
      </c>
      <c r="C1935">
        <v>4150</v>
      </c>
      <c r="E1935">
        <v>2</v>
      </c>
      <c r="F1935">
        <v>48</v>
      </c>
      <c r="G1935" s="15">
        <v>24</v>
      </c>
      <c r="H1935" s="167">
        <f t="shared" si="60"/>
        <v>5.1413881748071976E-4</v>
      </c>
      <c r="I1935" s="167"/>
      <c r="J1935" s="167"/>
    </row>
    <row r="1936" spans="2:10" x14ac:dyDescent="0.25">
      <c r="B1936" s="169">
        <f t="shared" si="61"/>
        <v>0.99280205655530906</v>
      </c>
      <c r="C1936">
        <v>4397</v>
      </c>
      <c r="E1936">
        <v>3</v>
      </c>
      <c r="F1936">
        <v>78</v>
      </c>
      <c r="G1936" s="15">
        <v>26</v>
      </c>
      <c r="H1936" s="167">
        <f t="shared" si="60"/>
        <v>5.1413881748071976E-4</v>
      </c>
      <c r="I1936" s="167"/>
      <c r="J1936" s="167"/>
    </row>
    <row r="1937" spans="2:10" x14ac:dyDescent="0.25">
      <c r="B1937" s="169">
        <f t="shared" si="61"/>
        <v>0.99331619537278981</v>
      </c>
      <c r="C1937">
        <v>2586</v>
      </c>
      <c r="E1937">
        <v>1</v>
      </c>
      <c r="F1937">
        <v>27</v>
      </c>
      <c r="G1937" s="15">
        <v>27</v>
      </c>
      <c r="H1937" s="167">
        <f t="shared" si="60"/>
        <v>5.1413881748071976E-4</v>
      </c>
      <c r="I1937" s="167"/>
      <c r="J1937" s="167"/>
    </row>
    <row r="1938" spans="2:10" x14ac:dyDescent="0.25">
      <c r="B1938" s="169">
        <f t="shared" si="61"/>
        <v>0.99383033419027056</v>
      </c>
      <c r="C1938">
        <v>2587</v>
      </c>
      <c r="E1938">
        <v>1</v>
      </c>
      <c r="F1938">
        <v>27</v>
      </c>
      <c r="G1938" s="15">
        <v>27</v>
      </c>
      <c r="H1938" s="167">
        <f t="shared" si="60"/>
        <v>5.1413881748071976E-4</v>
      </c>
      <c r="I1938" s="167"/>
      <c r="J1938" s="167"/>
    </row>
    <row r="1939" spans="2:10" x14ac:dyDescent="0.25">
      <c r="B1939" s="169">
        <f t="shared" si="61"/>
        <v>0.99434447300775131</v>
      </c>
      <c r="C1939">
        <v>2588</v>
      </c>
      <c r="E1939">
        <v>1</v>
      </c>
      <c r="F1939">
        <v>27</v>
      </c>
      <c r="G1939" s="15">
        <v>27</v>
      </c>
      <c r="H1939" s="167">
        <f t="shared" si="60"/>
        <v>5.1413881748071976E-4</v>
      </c>
      <c r="I1939" s="167"/>
      <c r="J1939" s="167"/>
    </row>
    <row r="1940" spans="2:10" x14ac:dyDescent="0.25">
      <c r="B1940" s="169">
        <f t="shared" si="61"/>
        <v>0.99485861182523205</v>
      </c>
      <c r="C1940">
        <v>7066</v>
      </c>
      <c r="E1940">
        <v>4</v>
      </c>
      <c r="F1940">
        <v>118</v>
      </c>
      <c r="G1940" s="15">
        <v>29.5</v>
      </c>
      <c r="H1940" s="167">
        <f t="shared" si="60"/>
        <v>5.1413881748071976E-4</v>
      </c>
      <c r="I1940" s="167"/>
      <c r="J1940" s="167"/>
    </row>
    <row r="1941" spans="2:10" x14ac:dyDescent="0.25">
      <c r="B1941" s="169">
        <f t="shared" si="61"/>
        <v>0.9953727506427128</v>
      </c>
      <c r="C1941">
        <v>2181</v>
      </c>
      <c r="E1941">
        <v>10</v>
      </c>
      <c r="F1941">
        <v>356</v>
      </c>
      <c r="G1941" s="15">
        <v>35.6</v>
      </c>
      <c r="H1941" s="167">
        <f t="shared" si="60"/>
        <v>5.1413881748071976E-4</v>
      </c>
      <c r="I1941" s="167"/>
      <c r="J1941" s="167"/>
    </row>
    <row r="1942" spans="2:10" x14ac:dyDescent="0.25">
      <c r="B1942" s="169">
        <f t="shared" si="61"/>
        <v>0.99588688946019355</v>
      </c>
      <c r="C1942">
        <v>4432</v>
      </c>
      <c r="E1942">
        <v>2</v>
      </c>
      <c r="F1942">
        <v>72</v>
      </c>
      <c r="G1942" s="15">
        <v>36</v>
      </c>
      <c r="H1942" s="167">
        <f t="shared" si="60"/>
        <v>5.1413881748071976E-4</v>
      </c>
      <c r="I1942" s="167"/>
      <c r="J1942" s="167"/>
    </row>
    <row r="1943" spans="2:10" x14ac:dyDescent="0.25">
      <c r="B1943" s="169">
        <f t="shared" si="61"/>
        <v>0.99640102827767429</v>
      </c>
      <c r="C1943">
        <v>2174</v>
      </c>
      <c r="E1943">
        <v>10</v>
      </c>
      <c r="F1943">
        <v>362</v>
      </c>
      <c r="G1943" s="15">
        <v>36.200000000000003</v>
      </c>
      <c r="H1943" s="167">
        <f t="shared" si="60"/>
        <v>5.1413881748071976E-4</v>
      </c>
      <c r="I1943" s="167"/>
      <c r="J1943" s="167"/>
    </row>
    <row r="1944" spans="2:10" x14ac:dyDescent="0.25">
      <c r="B1944" s="169">
        <f t="shared" si="61"/>
        <v>0.99691516709515504</v>
      </c>
      <c r="C1944">
        <v>2177</v>
      </c>
      <c r="E1944">
        <v>10</v>
      </c>
      <c r="F1944">
        <v>364</v>
      </c>
      <c r="G1944" s="15">
        <v>36.4</v>
      </c>
      <c r="H1944" s="167">
        <f t="shared" si="60"/>
        <v>5.1413881748071976E-4</v>
      </c>
      <c r="I1944" s="167"/>
      <c r="J1944" s="167"/>
    </row>
    <row r="1945" spans="2:10" x14ac:dyDescent="0.25">
      <c r="B1945" s="169">
        <f t="shared" si="61"/>
        <v>0.99742930591263579</v>
      </c>
      <c r="C1945">
        <v>2430</v>
      </c>
      <c r="E1945">
        <v>2</v>
      </c>
      <c r="F1945">
        <v>74</v>
      </c>
      <c r="G1945" s="15">
        <v>37</v>
      </c>
      <c r="H1945" s="167">
        <f t="shared" si="60"/>
        <v>5.1413881748071976E-4</v>
      </c>
      <c r="I1945" s="167"/>
      <c r="J1945" s="167"/>
    </row>
    <row r="1946" spans="2:10" x14ac:dyDescent="0.25">
      <c r="B1946" s="169">
        <f t="shared" si="61"/>
        <v>0.99794344473011654</v>
      </c>
      <c r="C1946">
        <v>2188</v>
      </c>
      <c r="E1946">
        <v>1</v>
      </c>
      <c r="F1946">
        <v>46</v>
      </c>
      <c r="G1946" s="15">
        <v>46</v>
      </c>
      <c r="H1946" s="167">
        <f t="shared" si="60"/>
        <v>5.1413881748071976E-4</v>
      </c>
      <c r="I1946" s="167"/>
      <c r="J1946" s="167"/>
    </row>
    <row r="1947" spans="2:10" x14ac:dyDescent="0.25">
      <c r="B1947" s="169">
        <f t="shared" si="61"/>
        <v>0.99845758354759728</v>
      </c>
      <c r="C1947">
        <v>4512</v>
      </c>
      <c r="E1947">
        <v>2</v>
      </c>
      <c r="F1947">
        <v>117</v>
      </c>
      <c r="G1947" s="15">
        <v>58.5</v>
      </c>
      <c r="H1947" s="167">
        <f t="shared" si="60"/>
        <v>5.1413881748071976E-4</v>
      </c>
      <c r="I1947" s="167"/>
      <c r="J1947" s="167"/>
    </row>
    <row r="1948" spans="2:10" x14ac:dyDescent="0.25">
      <c r="B1948" s="169">
        <f t="shared" si="61"/>
        <v>0.99897172236507803</v>
      </c>
      <c r="C1948">
        <v>2186</v>
      </c>
      <c r="E1948">
        <v>2</v>
      </c>
      <c r="F1948">
        <v>142</v>
      </c>
      <c r="G1948" s="15">
        <v>71</v>
      </c>
      <c r="H1948" s="167">
        <f t="shared" si="60"/>
        <v>5.1413881748071976E-4</v>
      </c>
      <c r="I1948" s="167"/>
      <c r="J1948" s="167"/>
    </row>
    <row r="1949" spans="2:10" x14ac:dyDescent="0.25">
      <c r="B1949" s="169">
        <f t="shared" si="61"/>
        <v>0.99948586118255878</v>
      </c>
      <c r="C1949">
        <v>2655</v>
      </c>
      <c r="E1949">
        <v>1</v>
      </c>
      <c r="F1949">
        <v>80</v>
      </c>
      <c r="G1949" s="15">
        <v>80</v>
      </c>
      <c r="H1949" s="167">
        <f t="shared" si="60"/>
        <v>5.1413881748071976E-4</v>
      </c>
      <c r="I1949" s="167"/>
      <c r="J1949" s="167"/>
    </row>
    <row r="1950" spans="2:10" x14ac:dyDescent="0.25">
      <c r="B1950" s="169">
        <f t="shared" si="61"/>
        <v>1.0000000000000395</v>
      </c>
      <c r="C1950">
        <v>1914</v>
      </c>
      <c r="E1950">
        <v>2</v>
      </c>
      <c r="F1950">
        <v>219</v>
      </c>
      <c r="G1950" s="15">
        <v>109.5</v>
      </c>
      <c r="H1950" s="167">
        <f t="shared" si="60"/>
        <v>5.1413881748071976E-4</v>
      </c>
      <c r="I1950" s="167"/>
      <c r="J1950" s="167"/>
    </row>
    <row r="1951" spans="2:10" x14ac:dyDescent="0.25">
      <c r="E1951"/>
      <c r="F1951"/>
    </row>
    <row r="1952" spans="2:10" x14ac:dyDescent="0.25">
      <c r="E1952"/>
      <c r="F1952"/>
    </row>
    <row r="1953" spans="5:6" x14ac:dyDescent="0.25">
      <c r="E1953"/>
      <c r="F1953"/>
    </row>
    <row r="1954" spans="5:6" x14ac:dyDescent="0.25">
      <c r="E1954"/>
      <c r="F1954"/>
    </row>
    <row r="1955" spans="5:6" x14ac:dyDescent="0.25">
      <c r="E1955"/>
      <c r="F1955"/>
    </row>
    <row r="1956" spans="5:6" x14ac:dyDescent="0.25">
      <c r="E1956"/>
      <c r="F1956"/>
    </row>
    <row r="1957" spans="5:6" x14ac:dyDescent="0.25">
      <c r="E1957"/>
      <c r="F1957"/>
    </row>
    <row r="1958" spans="5:6" x14ac:dyDescent="0.25">
      <c r="E1958"/>
      <c r="F1958"/>
    </row>
    <row r="1959" spans="5:6" x14ac:dyDescent="0.25">
      <c r="E1959"/>
      <c r="F1959"/>
    </row>
    <row r="1960" spans="5:6" x14ac:dyDescent="0.25">
      <c r="E1960"/>
      <c r="F1960"/>
    </row>
    <row r="1961" spans="5:6" x14ac:dyDescent="0.25">
      <c r="E1961"/>
      <c r="F1961"/>
    </row>
    <row r="1962" spans="5:6" x14ac:dyDescent="0.25">
      <c r="E1962"/>
      <c r="F1962"/>
    </row>
    <row r="1963" spans="5:6" x14ac:dyDescent="0.25">
      <c r="E1963"/>
      <c r="F1963"/>
    </row>
    <row r="1964" spans="5:6" x14ac:dyDescent="0.25">
      <c r="E1964"/>
      <c r="F1964"/>
    </row>
    <row r="1965" spans="5:6" x14ac:dyDescent="0.25">
      <c r="E1965"/>
      <c r="F1965"/>
    </row>
    <row r="1966" spans="5:6" x14ac:dyDescent="0.25">
      <c r="E1966"/>
      <c r="F1966"/>
    </row>
    <row r="1967" spans="5:6" x14ac:dyDescent="0.25">
      <c r="E1967"/>
      <c r="F1967"/>
    </row>
    <row r="1968" spans="5:6" x14ac:dyDescent="0.25">
      <c r="E1968"/>
      <c r="F1968"/>
    </row>
    <row r="1969" spans="5:6" x14ac:dyDescent="0.25">
      <c r="E1969"/>
      <c r="F1969"/>
    </row>
    <row r="1970" spans="5:6" x14ac:dyDescent="0.25">
      <c r="E1970"/>
      <c r="F1970"/>
    </row>
    <row r="1971" spans="5:6" x14ac:dyDescent="0.25">
      <c r="E1971"/>
      <c r="F1971"/>
    </row>
    <row r="1972" spans="5:6" x14ac:dyDescent="0.25">
      <c r="E1972"/>
      <c r="F1972"/>
    </row>
    <row r="1973" spans="5:6" x14ac:dyDescent="0.25">
      <c r="E1973"/>
      <c r="F1973"/>
    </row>
    <row r="1974" spans="5:6" x14ac:dyDescent="0.25">
      <c r="E1974"/>
      <c r="F1974"/>
    </row>
    <row r="1975" spans="5:6" x14ac:dyDescent="0.25">
      <c r="E1975"/>
      <c r="F1975"/>
    </row>
    <row r="1976" spans="5:6" x14ac:dyDescent="0.25">
      <c r="E1976"/>
      <c r="F1976"/>
    </row>
    <row r="1977" spans="5:6" x14ac:dyDescent="0.25">
      <c r="E1977"/>
      <c r="F1977"/>
    </row>
    <row r="1978" spans="5:6" x14ac:dyDescent="0.25">
      <c r="E1978"/>
      <c r="F1978"/>
    </row>
    <row r="1979" spans="5:6" x14ac:dyDescent="0.25">
      <c r="E1979"/>
      <c r="F1979"/>
    </row>
    <row r="1980" spans="5:6" x14ac:dyDescent="0.25">
      <c r="E1980"/>
      <c r="F1980"/>
    </row>
    <row r="1981" spans="5:6" x14ac:dyDescent="0.25">
      <c r="E1981"/>
      <c r="F1981"/>
    </row>
    <row r="1982" spans="5:6" x14ac:dyDescent="0.25">
      <c r="E1982"/>
      <c r="F1982"/>
    </row>
    <row r="1983" spans="5:6" x14ac:dyDescent="0.25">
      <c r="E1983"/>
      <c r="F1983"/>
    </row>
    <row r="1984" spans="5:6" x14ac:dyDescent="0.25">
      <c r="E1984"/>
      <c r="F1984"/>
    </row>
    <row r="1985" spans="5:6" x14ac:dyDescent="0.25">
      <c r="E1985"/>
      <c r="F1985"/>
    </row>
    <row r="1986" spans="5:6" x14ac:dyDescent="0.25">
      <c r="E1986"/>
      <c r="F1986"/>
    </row>
    <row r="1987" spans="5:6" x14ac:dyDescent="0.25">
      <c r="E1987"/>
      <c r="F1987"/>
    </row>
    <row r="1988" spans="5:6" x14ac:dyDescent="0.25">
      <c r="E1988"/>
      <c r="F1988"/>
    </row>
    <row r="1989" spans="5:6" x14ac:dyDescent="0.25">
      <c r="E1989"/>
      <c r="F1989"/>
    </row>
    <row r="1990" spans="5:6" x14ac:dyDescent="0.25">
      <c r="E1990"/>
      <c r="F1990"/>
    </row>
    <row r="1991" spans="5:6" x14ac:dyDescent="0.25">
      <c r="E1991"/>
      <c r="F1991"/>
    </row>
    <row r="1992" spans="5:6" x14ac:dyDescent="0.25">
      <c r="E1992"/>
      <c r="F1992"/>
    </row>
    <row r="1993" spans="5:6" x14ac:dyDescent="0.25">
      <c r="E1993"/>
      <c r="F1993"/>
    </row>
    <row r="1994" spans="5:6" x14ac:dyDescent="0.25">
      <c r="E1994"/>
      <c r="F1994"/>
    </row>
    <row r="1995" spans="5:6" x14ac:dyDescent="0.25">
      <c r="E1995"/>
      <c r="F1995"/>
    </row>
    <row r="1996" spans="5:6" x14ac:dyDescent="0.25">
      <c r="E1996"/>
      <c r="F1996"/>
    </row>
    <row r="1997" spans="5:6" x14ac:dyDescent="0.25">
      <c r="E1997"/>
      <c r="F1997"/>
    </row>
    <row r="1998" spans="5:6" x14ac:dyDescent="0.25">
      <c r="E1998"/>
      <c r="F1998"/>
    </row>
    <row r="1999" spans="5:6" x14ac:dyDescent="0.25">
      <c r="E1999"/>
      <c r="F1999"/>
    </row>
    <row r="2000" spans="5:6" x14ac:dyDescent="0.25">
      <c r="E2000"/>
      <c r="F2000"/>
    </row>
    <row r="2001" spans="5:6" x14ac:dyDescent="0.25">
      <c r="E2001"/>
      <c r="F2001"/>
    </row>
    <row r="2002" spans="5:6" x14ac:dyDescent="0.25">
      <c r="E2002"/>
      <c r="F2002"/>
    </row>
    <row r="2003" spans="5:6" x14ac:dyDescent="0.25">
      <c r="E2003"/>
      <c r="F2003"/>
    </row>
    <row r="2004" spans="5:6" x14ac:dyDescent="0.25">
      <c r="E2004"/>
      <c r="F2004"/>
    </row>
    <row r="2005" spans="5:6" x14ac:dyDescent="0.25">
      <c r="E2005"/>
      <c r="F2005"/>
    </row>
    <row r="2006" spans="5:6" x14ac:dyDescent="0.25">
      <c r="E2006"/>
      <c r="F2006"/>
    </row>
    <row r="2007" spans="5:6" x14ac:dyDescent="0.25">
      <c r="E2007"/>
      <c r="F2007"/>
    </row>
    <row r="2008" spans="5:6" x14ac:dyDescent="0.25">
      <c r="E2008"/>
      <c r="F2008"/>
    </row>
    <row r="2009" spans="5:6" x14ac:dyDescent="0.25">
      <c r="E2009"/>
      <c r="F2009"/>
    </row>
    <row r="2010" spans="5:6" x14ac:dyDescent="0.25">
      <c r="E2010"/>
      <c r="F2010"/>
    </row>
    <row r="2011" spans="5:6" x14ac:dyDescent="0.25">
      <c r="E2011"/>
      <c r="F2011"/>
    </row>
    <row r="2012" spans="5:6" x14ac:dyDescent="0.25">
      <c r="E2012"/>
      <c r="F2012"/>
    </row>
    <row r="2013" spans="5:6" x14ac:dyDescent="0.25">
      <c r="E2013"/>
      <c r="F2013"/>
    </row>
    <row r="2014" spans="5:6" x14ac:dyDescent="0.25">
      <c r="E2014"/>
      <c r="F2014"/>
    </row>
    <row r="2015" spans="5:6" x14ac:dyDescent="0.25">
      <c r="E2015"/>
      <c r="F2015"/>
    </row>
    <row r="2016" spans="5:6" x14ac:dyDescent="0.25">
      <c r="E2016"/>
      <c r="F2016"/>
    </row>
    <row r="2017" spans="5:6" x14ac:dyDescent="0.25">
      <c r="E2017"/>
      <c r="F2017"/>
    </row>
    <row r="2018" spans="5:6" x14ac:dyDescent="0.25">
      <c r="E2018"/>
      <c r="F2018"/>
    </row>
    <row r="2019" spans="5:6" x14ac:dyDescent="0.25">
      <c r="E2019"/>
      <c r="F2019"/>
    </row>
    <row r="2020" spans="5:6" x14ac:dyDescent="0.25">
      <c r="E2020"/>
      <c r="F2020"/>
    </row>
    <row r="2021" spans="5:6" x14ac:dyDescent="0.25">
      <c r="E2021"/>
      <c r="F2021"/>
    </row>
    <row r="2022" spans="5:6" x14ac:dyDescent="0.25">
      <c r="E2022"/>
      <c r="F2022"/>
    </row>
    <row r="2023" spans="5:6" x14ac:dyDescent="0.25">
      <c r="E2023"/>
      <c r="F2023"/>
    </row>
    <row r="2024" spans="5:6" x14ac:dyDescent="0.25">
      <c r="E2024"/>
      <c r="F2024"/>
    </row>
    <row r="2025" spans="5:6" x14ac:dyDescent="0.25">
      <c r="E2025"/>
      <c r="F2025"/>
    </row>
    <row r="2026" spans="5:6" x14ac:dyDescent="0.25">
      <c r="E2026"/>
      <c r="F2026"/>
    </row>
    <row r="2027" spans="5:6" x14ac:dyDescent="0.25">
      <c r="E2027"/>
      <c r="F2027"/>
    </row>
    <row r="2028" spans="5:6" x14ac:dyDescent="0.25">
      <c r="E2028"/>
      <c r="F2028"/>
    </row>
    <row r="2029" spans="5:6" x14ac:dyDescent="0.25">
      <c r="E2029"/>
      <c r="F2029"/>
    </row>
    <row r="2030" spans="5:6" x14ac:dyDescent="0.25">
      <c r="E2030"/>
      <c r="F2030"/>
    </row>
    <row r="2031" spans="5:6" x14ac:dyDescent="0.25">
      <c r="E2031"/>
      <c r="F2031"/>
    </row>
    <row r="2032" spans="5:6" x14ac:dyDescent="0.25">
      <c r="E2032"/>
      <c r="F2032"/>
    </row>
    <row r="2033" spans="5:6" x14ac:dyDescent="0.25">
      <c r="E2033"/>
      <c r="F2033"/>
    </row>
    <row r="2034" spans="5:6" x14ac:dyDescent="0.25">
      <c r="E2034"/>
      <c r="F2034"/>
    </row>
    <row r="2035" spans="5:6" x14ac:dyDescent="0.25">
      <c r="E2035"/>
      <c r="F2035"/>
    </row>
    <row r="2036" spans="5:6" x14ac:dyDescent="0.25">
      <c r="E2036"/>
      <c r="F2036"/>
    </row>
    <row r="2037" spans="5:6" x14ac:dyDescent="0.25">
      <c r="E2037"/>
      <c r="F2037"/>
    </row>
    <row r="2038" spans="5:6" x14ac:dyDescent="0.25">
      <c r="E2038"/>
      <c r="F2038"/>
    </row>
    <row r="2039" spans="5:6" x14ac:dyDescent="0.25">
      <c r="E2039"/>
      <c r="F2039"/>
    </row>
    <row r="2040" spans="5:6" x14ac:dyDescent="0.25">
      <c r="E2040"/>
      <c r="F2040"/>
    </row>
    <row r="2041" spans="5:6" x14ac:dyDescent="0.25">
      <c r="E2041"/>
      <c r="F2041"/>
    </row>
    <row r="2042" spans="5:6" x14ac:dyDescent="0.25">
      <c r="E2042"/>
      <c r="F2042"/>
    </row>
    <row r="2043" spans="5:6" x14ac:dyDescent="0.25">
      <c r="E2043"/>
      <c r="F2043"/>
    </row>
    <row r="2044" spans="5:6" x14ac:dyDescent="0.25">
      <c r="E2044"/>
      <c r="F2044"/>
    </row>
    <row r="2045" spans="5:6" x14ac:dyDescent="0.25">
      <c r="E2045"/>
      <c r="F2045"/>
    </row>
    <row r="2046" spans="5:6" x14ac:dyDescent="0.25">
      <c r="E2046"/>
      <c r="F2046"/>
    </row>
    <row r="2047" spans="5:6" x14ac:dyDescent="0.25">
      <c r="E2047"/>
      <c r="F2047"/>
    </row>
    <row r="2048" spans="5:6" x14ac:dyDescent="0.25">
      <c r="E2048"/>
      <c r="F2048"/>
    </row>
    <row r="2049" spans="5:6" x14ac:dyDescent="0.25">
      <c r="E2049"/>
      <c r="F2049"/>
    </row>
    <row r="2050" spans="5:6" x14ac:dyDescent="0.25">
      <c r="E2050"/>
      <c r="F2050"/>
    </row>
    <row r="2051" spans="5:6" x14ac:dyDescent="0.25">
      <c r="E2051"/>
      <c r="F2051"/>
    </row>
    <row r="2052" spans="5:6" x14ac:dyDescent="0.25">
      <c r="E2052"/>
      <c r="F2052"/>
    </row>
    <row r="2053" spans="5:6" x14ac:dyDescent="0.25">
      <c r="E2053"/>
      <c r="F2053"/>
    </row>
    <row r="2054" spans="5:6" x14ac:dyDescent="0.25">
      <c r="E2054"/>
      <c r="F2054"/>
    </row>
    <row r="2055" spans="5:6" x14ac:dyDescent="0.25">
      <c r="E2055"/>
      <c r="F2055"/>
    </row>
    <row r="2056" spans="5:6" x14ac:dyDescent="0.25">
      <c r="E2056"/>
      <c r="F2056"/>
    </row>
    <row r="2057" spans="5:6" x14ac:dyDescent="0.25">
      <c r="E2057"/>
      <c r="F2057"/>
    </row>
    <row r="2058" spans="5:6" x14ac:dyDescent="0.25">
      <c r="E2058"/>
      <c r="F2058"/>
    </row>
    <row r="2059" spans="5:6" x14ac:dyDescent="0.25">
      <c r="E2059"/>
      <c r="F2059"/>
    </row>
    <row r="2060" spans="5:6" x14ac:dyDescent="0.25">
      <c r="E2060"/>
      <c r="F2060"/>
    </row>
    <row r="2061" spans="5:6" x14ac:dyDescent="0.25">
      <c r="E2061"/>
      <c r="F2061"/>
    </row>
    <row r="2062" spans="5:6" x14ac:dyDescent="0.25">
      <c r="E2062"/>
      <c r="F2062"/>
    </row>
    <row r="2063" spans="5:6" x14ac:dyDescent="0.25">
      <c r="E2063"/>
      <c r="F2063"/>
    </row>
    <row r="2064" spans="5:6" x14ac:dyDescent="0.25">
      <c r="E2064"/>
      <c r="F2064"/>
    </row>
    <row r="2065" spans="5:6" x14ac:dyDescent="0.25">
      <c r="E2065"/>
      <c r="F2065"/>
    </row>
    <row r="2066" spans="5:6" x14ac:dyDescent="0.25">
      <c r="E2066"/>
      <c r="F2066"/>
    </row>
    <row r="2067" spans="5:6" x14ac:dyDescent="0.25">
      <c r="E2067"/>
      <c r="F2067"/>
    </row>
    <row r="2068" spans="5:6" x14ac:dyDescent="0.25">
      <c r="E2068"/>
      <c r="F2068"/>
    </row>
    <row r="2069" spans="5:6" x14ac:dyDescent="0.25">
      <c r="E2069"/>
      <c r="F2069"/>
    </row>
    <row r="2070" spans="5:6" x14ac:dyDescent="0.25">
      <c r="E2070"/>
      <c r="F2070"/>
    </row>
    <row r="2071" spans="5:6" x14ac:dyDescent="0.25">
      <c r="E2071"/>
      <c r="F2071"/>
    </row>
    <row r="2072" spans="5:6" x14ac:dyDescent="0.25">
      <c r="E2072"/>
      <c r="F2072"/>
    </row>
    <row r="2073" spans="5:6" x14ac:dyDescent="0.25">
      <c r="E2073"/>
      <c r="F2073"/>
    </row>
    <row r="2074" spans="5:6" x14ac:dyDescent="0.25">
      <c r="E2074"/>
      <c r="F2074"/>
    </row>
    <row r="2075" spans="5:6" x14ac:dyDescent="0.25">
      <c r="E2075"/>
      <c r="F2075"/>
    </row>
    <row r="2076" spans="5:6" x14ac:dyDescent="0.25">
      <c r="E2076"/>
      <c r="F2076"/>
    </row>
    <row r="2077" spans="5:6" x14ac:dyDescent="0.25">
      <c r="E2077"/>
      <c r="F2077"/>
    </row>
    <row r="2078" spans="5:6" x14ac:dyDescent="0.25">
      <c r="E2078"/>
      <c r="F2078"/>
    </row>
    <row r="2079" spans="5:6" x14ac:dyDescent="0.25">
      <c r="E2079"/>
      <c r="F2079"/>
    </row>
    <row r="2080" spans="5:6" x14ac:dyDescent="0.25">
      <c r="E2080"/>
      <c r="F2080"/>
    </row>
    <row r="2081" spans="5:6" x14ac:dyDescent="0.25">
      <c r="E2081"/>
      <c r="F2081"/>
    </row>
    <row r="2082" spans="5:6" x14ac:dyDescent="0.25">
      <c r="E2082"/>
      <c r="F2082"/>
    </row>
    <row r="2083" spans="5:6" x14ac:dyDescent="0.25">
      <c r="E2083"/>
      <c r="F2083"/>
    </row>
    <row r="2084" spans="5:6" x14ac:dyDescent="0.25">
      <c r="E2084"/>
      <c r="F2084"/>
    </row>
    <row r="2085" spans="5:6" x14ac:dyDescent="0.25">
      <c r="E2085"/>
      <c r="F2085"/>
    </row>
    <row r="2086" spans="5:6" x14ac:dyDescent="0.25">
      <c r="E2086"/>
      <c r="F2086"/>
    </row>
    <row r="2087" spans="5:6" x14ac:dyDescent="0.25">
      <c r="E2087"/>
      <c r="F2087"/>
    </row>
    <row r="2088" spans="5:6" x14ac:dyDescent="0.25">
      <c r="E2088"/>
      <c r="F2088"/>
    </row>
    <row r="2089" spans="5:6" x14ac:dyDescent="0.25">
      <c r="E2089"/>
      <c r="F2089"/>
    </row>
    <row r="2090" spans="5:6" x14ac:dyDescent="0.25">
      <c r="E2090"/>
      <c r="F2090"/>
    </row>
    <row r="2091" spans="5:6" x14ac:dyDescent="0.25">
      <c r="E2091"/>
      <c r="F2091"/>
    </row>
    <row r="2092" spans="5:6" x14ac:dyDescent="0.25">
      <c r="E2092"/>
      <c r="F2092"/>
    </row>
    <row r="2093" spans="5:6" x14ac:dyDescent="0.25">
      <c r="E2093"/>
      <c r="F2093"/>
    </row>
    <row r="2094" spans="5:6" x14ac:dyDescent="0.25">
      <c r="E2094"/>
      <c r="F2094"/>
    </row>
    <row r="2095" spans="5:6" x14ac:dyDescent="0.25">
      <c r="E2095"/>
      <c r="F2095"/>
    </row>
    <row r="2096" spans="5:6" x14ac:dyDescent="0.25">
      <c r="E2096"/>
      <c r="F2096"/>
    </row>
    <row r="2097" spans="5:6" x14ac:dyDescent="0.25">
      <c r="E2097"/>
      <c r="F2097"/>
    </row>
    <row r="2098" spans="5:6" x14ac:dyDescent="0.25">
      <c r="E2098"/>
      <c r="F2098"/>
    </row>
    <row r="2099" spans="5:6" x14ac:dyDescent="0.25">
      <c r="E2099"/>
      <c r="F2099"/>
    </row>
    <row r="2100" spans="5:6" x14ac:dyDescent="0.25">
      <c r="E2100"/>
      <c r="F2100"/>
    </row>
    <row r="2101" spans="5:6" x14ac:dyDescent="0.25">
      <c r="E2101"/>
      <c r="F2101"/>
    </row>
    <row r="2102" spans="5:6" x14ac:dyDescent="0.25">
      <c r="E2102"/>
      <c r="F2102"/>
    </row>
    <row r="2103" spans="5:6" x14ac:dyDescent="0.25">
      <c r="E2103"/>
      <c r="F2103"/>
    </row>
    <row r="2104" spans="5:6" x14ac:dyDescent="0.25">
      <c r="E2104"/>
      <c r="F2104"/>
    </row>
    <row r="2105" spans="5:6" x14ac:dyDescent="0.25">
      <c r="E2105"/>
      <c r="F2105"/>
    </row>
    <row r="2106" spans="5:6" x14ac:dyDescent="0.25">
      <c r="E2106"/>
      <c r="F2106"/>
    </row>
    <row r="2107" spans="5:6" x14ac:dyDescent="0.25">
      <c r="E2107"/>
      <c r="F2107"/>
    </row>
    <row r="2108" spans="5:6" x14ac:dyDescent="0.25">
      <c r="E2108"/>
      <c r="F2108"/>
    </row>
    <row r="2109" spans="5:6" x14ac:dyDescent="0.25">
      <c r="E2109"/>
      <c r="F2109"/>
    </row>
    <row r="2110" spans="5:6" x14ac:dyDescent="0.25">
      <c r="E2110"/>
      <c r="F2110"/>
    </row>
    <row r="2111" spans="5:6" x14ac:dyDescent="0.25">
      <c r="E2111"/>
      <c r="F2111"/>
    </row>
    <row r="2112" spans="5:6" x14ac:dyDescent="0.25">
      <c r="E2112"/>
      <c r="F2112"/>
    </row>
    <row r="2113" spans="5:6" x14ac:dyDescent="0.25">
      <c r="E2113"/>
      <c r="F2113"/>
    </row>
    <row r="2114" spans="5:6" x14ac:dyDescent="0.25">
      <c r="E2114"/>
      <c r="F2114"/>
    </row>
    <row r="2115" spans="5:6" x14ac:dyDescent="0.25">
      <c r="E2115"/>
      <c r="F2115"/>
    </row>
    <row r="2116" spans="5:6" x14ac:dyDescent="0.25">
      <c r="E2116"/>
      <c r="F2116"/>
    </row>
    <row r="2117" spans="5:6" x14ac:dyDescent="0.25">
      <c r="E2117"/>
      <c r="F2117"/>
    </row>
    <row r="2118" spans="5:6" x14ac:dyDescent="0.25">
      <c r="E2118"/>
      <c r="F2118"/>
    </row>
    <row r="2119" spans="5:6" x14ac:dyDescent="0.25">
      <c r="E2119"/>
      <c r="F2119"/>
    </row>
    <row r="2120" spans="5:6" x14ac:dyDescent="0.25">
      <c r="E2120"/>
      <c r="F2120"/>
    </row>
    <row r="2121" spans="5:6" x14ac:dyDescent="0.25">
      <c r="E2121"/>
      <c r="F2121"/>
    </row>
    <row r="2122" spans="5:6" x14ac:dyDescent="0.25">
      <c r="E2122"/>
      <c r="F2122"/>
    </row>
    <row r="2123" spans="5:6" x14ac:dyDescent="0.25">
      <c r="E2123"/>
      <c r="F2123"/>
    </row>
    <row r="2124" spans="5:6" x14ac:dyDescent="0.25">
      <c r="E2124"/>
      <c r="F2124"/>
    </row>
    <row r="2125" spans="5:6" x14ac:dyDescent="0.25">
      <c r="E2125"/>
      <c r="F2125"/>
    </row>
    <row r="2126" spans="5:6" x14ac:dyDescent="0.25">
      <c r="E2126"/>
      <c r="F2126"/>
    </row>
    <row r="2127" spans="5:6" x14ac:dyDescent="0.25">
      <c r="E2127"/>
      <c r="F2127"/>
    </row>
    <row r="2128" spans="5:6" x14ac:dyDescent="0.25">
      <c r="E2128"/>
      <c r="F2128"/>
    </row>
    <row r="2129" spans="5:6" x14ac:dyDescent="0.25">
      <c r="E2129"/>
      <c r="F2129"/>
    </row>
    <row r="2130" spans="5:6" x14ac:dyDescent="0.25">
      <c r="E2130"/>
      <c r="F2130"/>
    </row>
    <row r="2131" spans="5:6" x14ac:dyDescent="0.25">
      <c r="E2131"/>
      <c r="F2131"/>
    </row>
    <row r="2132" spans="5:6" x14ac:dyDescent="0.25">
      <c r="E2132"/>
      <c r="F2132"/>
    </row>
    <row r="2133" spans="5:6" x14ac:dyDescent="0.25">
      <c r="E2133"/>
      <c r="F2133"/>
    </row>
    <row r="2134" spans="5:6" x14ac:dyDescent="0.25">
      <c r="E2134"/>
      <c r="F2134"/>
    </row>
    <row r="2135" spans="5:6" x14ac:dyDescent="0.25">
      <c r="E2135"/>
      <c r="F2135"/>
    </row>
    <row r="2136" spans="5:6" x14ac:dyDescent="0.25">
      <c r="E2136"/>
      <c r="F2136"/>
    </row>
    <row r="2137" spans="5:6" x14ac:dyDescent="0.25">
      <c r="E2137"/>
      <c r="F2137"/>
    </row>
    <row r="2138" spans="5:6" x14ac:dyDescent="0.25">
      <c r="E2138"/>
      <c r="F2138"/>
    </row>
    <row r="2139" spans="5:6" x14ac:dyDescent="0.25">
      <c r="E2139"/>
      <c r="F2139"/>
    </row>
    <row r="2140" spans="5:6" x14ac:dyDescent="0.25">
      <c r="E2140"/>
      <c r="F2140"/>
    </row>
    <row r="2141" spans="5:6" x14ac:dyDescent="0.25">
      <c r="E2141"/>
      <c r="F2141"/>
    </row>
    <row r="2142" spans="5:6" x14ac:dyDescent="0.25">
      <c r="E2142"/>
      <c r="F2142"/>
    </row>
    <row r="2143" spans="5:6" x14ac:dyDescent="0.25">
      <c r="E2143"/>
      <c r="F2143"/>
    </row>
    <row r="2144" spans="5:6" x14ac:dyDescent="0.25">
      <c r="E2144"/>
      <c r="F2144"/>
    </row>
    <row r="2145" spans="5:6" x14ac:dyDescent="0.25">
      <c r="E2145"/>
      <c r="F2145"/>
    </row>
    <row r="2146" spans="5:6" x14ac:dyDescent="0.25">
      <c r="E2146"/>
      <c r="F2146"/>
    </row>
    <row r="2147" spans="5:6" x14ac:dyDescent="0.25">
      <c r="E2147"/>
      <c r="F2147"/>
    </row>
    <row r="2148" spans="5:6" x14ac:dyDescent="0.25">
      <c r="E2148"/>
      <c r="F2148"/>
    </row>
    <row r="2149" spans="5:6" x14ac:dyDescent="0.25">
      <c r="E2149"/>
      <c r="F2149"/>
    </row>
    <row r="2150" spans="5:6" x14ac:dyDescent="0.25">
      <c r="E2150"/>
      <c r="F2150"/>
    </row>
    <row r="2151" spans="5:6" x14ac:dyDescent="0.25">
      <c r="E2151"/>
      <c r="F2151"/>
    </row>
    <row r="2152" spans="5:6" x14ac:dyDescent="0.25">
      <c r="E2152"/>
      <c r="F2152"/>
    </row>
    <row r="2153" spans="5:6" x14ac:dyDescent="0.25">
      <c r="E2153"/>
      <c r="F2153"/>
    </row>
    <row r="2154" spans="5:6" x14ac:dyDescent="0.25">
      <c r="E2154"/>
      <c r="F2154"/>
    </row>
    <row r="2155" spans="5:6" x14ac:dyDescent="0.25">
      <c r="E2155"/>
      <c r="F2155"/>
    </row>
    <row r="2156" spans="5:6" x14ac:dyDescent="0.25">
      <c r="E2156"/>
      <c r="F2156"/>
    </row>
  </sheetData>
  <mergeCells count="3">
    <mergeCell ref="C3:N3"/>
    <mergeCell ref="O3:R3"/>
    <mergeCell ref="S3:AF3"/>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05BCE-50E9-4857-96EB-22AA5C110045}">
  <sheetPr>
    <tabColor rgb="FFFFFF00"/>
  </sheetPr>
  <dimension ref="A1:A3"/>
  <sheetViews>
    <sheetView workbookViewId="0"/>
  </sheetViews>
  <sheetFormatPr defaultRowHeight="15" x14ac:dyDescent="0.25"/>
  <cols>
    <col min="1" max="1" width="75.42578125" customWidth="1"/>
  </cols>
  <sheetData>
    <row r="1" spans="1:1" ht="30" x14ac:dyDescent="0.25">
      <c r="A1" s="522" t="s">
        <v>137</v>
      </c>
    </row>
    <row r="3" spans="1:1" ht="90" x14ac:dyDescent="0.25">
      <c r="A3" s="522" t="s">
        <v>234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6AF40-DB4F-4640-AFE1-86CD9DCCCF6E}">
  <dimension ref="B1:S47"/>
  <sheetViews>
    <sheetView zoomScale="85" zoomScaleNormal="85" workbookViewId="0">
      <selection activeCell="S7" sqref="S7"/>
    </sheetView>
  </sheetViews>
  <sheetFormatPr defaultRowHeight="15" x14ac:dyDescent="0.25"/>
  <cols>
    <col min="1" max="1" width="3.28515625" customWidth="1"/>
  </cols>
  <sheetData>
    <row r="1" spans="2:19" ht="18.75" x14ac:dyDescent="0.3">
      <c r="B1" s="231" t="s">
        <v>294</v>
      </c>
    </row>
    <row r="3" spans="2:19" x14ac:dyDescent="0.25">
      <c r="B3" t="s">
        <v>131</v>
      </c>
    </row>
    <row r="4" spans="2:19" x14ac:dyDescent="0.25">
      <c r="B4" s="17"/>
      <c r="C4" s="17" t="s">
        <v>114</v>
      </c>
      <c r="D4" s="17" t="s">
        <v>113</v>
      </c>
    </row>
    <row r="5" spans="2:19" x14ac:dyDescent="0.25">
      <c r="B5" s="17" t="s">
        <v>112</v>
      </c>
      <c r="C5">
        <v>0.55000000000000004</v>
      </c>
      <c r="D5">
        <v>0.6</v>
      </c>
    </row>
    <row r="6" spans="2:19" x14ac:dyDescent="0.25">
      <c r="B6" s="17" t="s">
        <v>111</v>
      </c>
      <c r="C6">
        <v>0.63</v>
      </c>
      <c r="D6">
        <v>0.7</v>
      </c>
    </row>
    <row r="7" spans="2:19" x14ac:dyDescent="0.25">
      <c r="B7" s="17" t="s">
        <v>110</v>
      </c>
      <c r="C7">
        <v>0.1</v>
      </c>
      <c r="D7">
        <v>0.3</v>
      </c>
      <c r="S7" s="523" t="s">
        <v>221</v>
      </c>
    </row>
    <row r="8" spans="2:19" x14ac:dyDescent="0.25">
      <c r="B8" s="17" t="s">
        <v>109</v>
      </c>
      <c r="C8">
        <v>0.95</v>
      </c>
      <c r="D8">
        <v>1</v>
      </c>
      <c r="S8" s="524"/>
    </row>
    <row r="9" spans="2:19" x14ac:dyDescent="0.25">
      <c r="B9" s="17" t="s">
        <v>108</v>
      </c>
      <c r="C9">
        <v>0.9</v>
      </c>
      <c r="D9">
        <v>0.95</v>
      </c>
      <c r="S9" s="523" t="s">
        <v>222</v>
      </c>
    </row>
    <row r="10" spans="2:19" x14ac:dyDescent="0.25">
      <c r="B10" s="17" t="s">
        <v>107</v>
      </c>
      <c r="C10">
        <v>0.15</v>
      </c>
      <c r="D10">
        <v>0.8</v>
      </c>
      <c r="S10" s="527"/>
    </row>
    <row r="11" spans="2:19" x14ac:dyDescent="0.25">
      <c r="B11" s="17" t="s">
        <v>106</v>
      </c>
      <c r="C11">
        <v>0.7</v>
      </c>
      <c r="D11">
        <v>0.5</v>
      </c>
      <c r="S11" s="530" t="s">
        <v>223</v>
      </c>
    </row>
    <row r="12" spans="2:19" x14ac:dyDescent="0.25">
      <c r="B12" s="17" t="s">
        <v>105</v>
      </c>
      <c r="C12">
        <v>0.1</v>
      </c>
      <c r="D12">
        <v>0.2</v>
      </c>
      <c r="S12" s="530" t="s">
        <v>224</v>
      </c>
    </row>
    <row r="13" spans="2:19" x14ac:dyDescent="0.25">
      <c r="B13" s="17" t="s">
        <v>104</v>
      </c>
      <c r="C13">
        <v>0.35</v>
      </c>
      <c r="D13">
        <v>0.5</v>
      </c>
      <c r="S13" s="524"/>
    </row>
    <row r="14" spans="2:19" x14ac:dyDescent="0.25">
      <c r="B14" s="17" t="s">
        <v>103</v>
      </c>
      <c r="C14">
        <v>0.2</v>
      </c>
      <c r="D14">
        <v>0.4</v>
      </c>
      <c r="S14" s="523" t="s">
        <v>225</v>
      </c>
    </row>
    <row r="15" spans="2:19" x14ac:dyDescent="0.25">
      <c r="B15" s="17" t="s">
        <v>102</v>
      </c>
      <c r="C15">
        <v>0.3</v>
      </c>
      <c r="D15">
        <v>0.8</v>
      </c>
      <c r="S15" s="524"/>
    </row>
    <row r="16" spans="2:19" x14ac:dyDescent="0.25">
      <c r="B16" s="17" t="s">
        <v>101</v>
      </c>
      <c r="C16">
        <v>0.9</v>
      </c>
      <c r="D16">
        <v>1</v>
      </c>
      <c r="S16" s="523" t="s">
        <v>226</v>
      </c>
    </row>
    <row r="17" spans="19:19" x14ac:dyDescent="0.25">
      <c r="S17" s="524"/>
    </row>
    <row r="18" spans="19:19" x14ac:dyDescent="0.25">
      <c r="S18" s="523" t="s">
        <v>227</v>
      </c>
    </row>
    <row r="19" spans="19:19" x14ac:dyDescent="0.25">
      <c r="S19" s="527"/>
    </row>
    <row r="20" spans="19:19" x14ac:dyDescent="0.25">
      <c r="S20" s="530" t="s">
        <v>228</v>
      </c>
    </row>
    <row r="21" spans="19:19" x14ac:dyDescent="0.25">
      <c r="S21" s="530" t="s">
        <v>229</v>
      </c>
    </row>
    <row r="22" spans="19:19" x14ac:dyDescent="0.25">
      <c r="S22" s="524"/>
    </row>
    <row r="23" spans="19:19" x14ac:dyDescent="0.25">
      <c r="S23" s="523" t="s">
        <v>230</v>
      </c>
    </row>
    <row r="24" spans="19:19" x14ac:dyDescent="0.25">
      <c r="S24" s="527"/>
    </row>
    <row r="25" spans="19:19" x14ac:dyDescent="0.25">
      <c r="S25" s="530" t="s">
        <v>231</v>
      </c>
    </row>
    <row r="26" spans="19:19" x14ac:dyDescent="0.25">
      <c r="S26" s="530" t="s">
        <v>232</v>
      </c>
    </row>
    <row r="27" spans="19:19" x14ac:dyDescent="0.25">
      <c r="S27" s="530" t="s">
        <v>233</v>
      </c>
    </row>
    <row r="30" spans="19:19" x14ac:dyDescent="0.25">
      <c r="S30" s="541" t="s">
        <v>251</v>
      </c>
    </row>
    <row r="32" spans="19:19" ht="15.75" x14ac:dyDescent="0.25">
      <c r="S32" s="537" t="s">
        <v>238</v>
      </c>
    </row>
    <row r="33" spans="19:19" ht="15.75" x14ac:dyDescent="0.25">
      <c r="S33" s="538" t="s">
        <v>239</v>
      </c>
    </row>
    <row r="34" spans="19:19" ht="15.75" x14ac:dyDescent="0.25">
      <c r="S34" s="538" t="s">
        <v>240</v>
      </c>
    </row>
    <row r="35" spans="19:19" ht="15.75" x14ac:dyDescent="0.25">
      <c r="S35" s="538" t="s">
        <v>241</v>
      </c>
    </row>
    <row r="36" spans="19:19" ht="15.75" x14ac:dyDescent="0.25">
      <c r="S36" s="538" t="s">
        <v>242</v>
      </c>
    </row>
    <row r="39" spans="19:19" ht="15.75" x14ac:dyDescent="0.25">
      <c r="S39" s="537" t="s">
        <v>243</v>
      </c>
    </row>
    <row r="40" spans="19:19" ht="15.75" x14ac:dyDescent="0.25">
      <c r="S40" s="539" t="s">
        <v>244</v>
      </c>
    </row>
    <row r="41" spans="19:19" ht="15.75" x14ac:dyDescent="0.25">
      <c r="S41" s="540" t="s">
        <v>245</v>
      </c>
    </row>
    <row r="42" spans="19:19" ht="15.75" x14ac:dyDescent="0.25">
      <c r="S42" s="540" t="s">
        <v>246</v>
      </c>
    </row>
    <row r="44" spans="19:19" ht="15.75" x14ac:dyDescent="0.25">
      <c r="S44" s="537" t="s">
        <v>247</v>
      </c>
    </row>
    <row r="45" spans="19:19" ht="15.75" x14ac:dyDescent="0.25">
      <c r="S45" s="539" t="s">
        <v>248</v>
      </c>
    </row>
    <row r="46" spans="19:19" ht="15.75" x14ac:dyDescent="0.25">
      <c r="S46" s="540" t="s">
        <v>249</v>
      </c>
    </row>
    <row r="47" spans="19:19" ht="15.75" x14ac:dyDescent="0.25">
      <c r="S47" s="540" t="s">
        <v>250</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839EA-D048-45EC-B58E-11BE0C379C8A}">
  <dimension ref="A1:W36"/>
  <sheetViews>
    <sheetView zoomScale="85" zoomScaleNormal="85" workbookViewId="0">
      <selection activeCell="U10" sqref="U10"/>
    </sheetView>
  </sheetViews>
  <sheetFormatPr defaultRowHeight="15" x14ac:dyDescent="0.25"/>
  <cols>
    <col min="1" max="1" width="2.85546875" bestFit="1" customWidth="1"/>
    <col min="2" max="2" width="25.85546875" customWidth="1"/>
    <col min="8" max="9" width="9.5703125" bestFit="1" customWidth="1"/>
  </cols>
  <sheetData>
    <row r="1" spans="1:21" ht="18.75" x14ac:dyDescent="0.3">
      <c r="A1" s="10"/>
      <c r="B1" s="231" t="s">
        <v>237</v>
      </c>
    </row>
    <row r="3" spans="1:21" x14ac:dyDescent="0.25">
      <c r="U3" s="544" t="s">
        <v>263</v>
      </c>
    </row>
    <row r="4" spans="1:21" x14ac:dyDescent="0.25">
      <c r="U4" s="524"/>
    </row>
    <row r="5" spans="1:21" x14ac:dyDescent="0.25">
      <c r="U5" s="544" t="s">
        <v>264</v>
      </c>
    </row>
    <row r="6" spans="1:21" x14ac:dyDescent="0.25">
      <c r="U6" s="527"/>
    </row>
    <row r="7" spans="1:21" ht="21.75" thickBot="1" x14ac:dyDescent="0.3">
      <c r="A7" s="552" t="s">
        <v>127</v>
      </c>
      <c r="B7" s="552" t="s">
        <v>127</v>
      </c>
      <c r="C7" s="552" t="s">
        <v>127</v>
      </c>
      <c r="D7" s="552" t="s">
        <v>127</v>
      </c>
      <c r="E7" s="552" t="s">
        <v>127</v>
      </c>
      <c r="F7" s="552" t="s">
        <v>127</v>
      </c>
      <c r="U7" s="545" t="s">
        <v>265</v>
      </c>
    </row>
    <row r="8" spans="1:21" ht="16.5" thickBot="1" x14ac:dyDescent="0.3">
      <c r="A8" s="553" t="s">
        <v>7</v>
      </c>
      <c r="B8" s="554" t="s">
        <v>7</v>
      </c>
      <c r="C8" s="554" t="s">
        <v>7</v>
      </c>
      <c r="D8" s="554" t="s">
        <v>7</v>
      </c>
      <c r="E8" s="554" t="s">
        <v>7</v>
      </c>
      <c r="F8" s="568" t="s">
        <v>7</v>
      </c>
      <c r="U8" s="545" t="s">
        <v>266</v>
      </c>
    </row>
    <row r="9" spans="1:21" ht="15.75" thickBot="1" x14ac:dyDescent="0.3">
      <c r="A9" s="7"/>
      <c r="B9" s="7"/>
      <c r="C9" s="555"/>
      <c r="D9" s="556"/>
      <c r="E9" s="556"/>
      <c r="F9" s="575"/>
      <c r="U9" s="524"/>
    </row>
    <row r="10" spans="1:21" ht="85.5" customHeight="1" thickBot="1" x14ac:dyDescent="0.3">
      <c r="A10" s="7"/>
      <c r="B10" s="513"/>
      <c r="C10" s="226" t="s">
        <v>22</v>
      </c>
      <c r="D10" s="227" t="s">
        <v>23</v>
      </c>
      <c r="E10" s="227" t="s">
        <v>25</v>
      </c>
      <c r="F10" s="228" t="s">
        <v>26</v>
      </c>
      <c r="H10" s="508" t="s">
        <v>129</v>
      </c>
      <c r="I10" s="508" t="s">
        <v>130</v>
      </c>
      <c r="U10" s="544" t="s">
        <v>267</v>
      </c>
    </row>
    <row r="11" spans="1:21" x14ac:dyDescent="0.25">
      <c r="A11" s="576" t="s">
        <v>128</v>
      </c>
      <c r="B11" s="9" t="s">
        <v>112</v>
      </c>
      <c r="C11" s="534">
        <v>124</v>
      </c>
      <c r="D11" s="4">
        <v>505</v>
      </c>
      <c r="E11" s="1">
        <v>128</v>
      </c>
      <c r="F11" s="51">
        <v>539</v>
      </c>
      <c r="G11" t="s">
        <v>112</v>
      </c>
      <c r="H11" s="331">
        <f>D11/C11</f>
        <v>4.07258064516129</v>
      </c>
      <c r="I11" s="331">
        <f>F11/E11</f>
        <v>4.2109375</v>
      </c>
      <c r="U11" s="524"/>
    </row>
    <row r="12" spans="1:21" x14ac:dyDescent="0.25">
      <c r="A12" s="577" t="s">
        <v>128</v>
      </c>
      <c r="B12" s="11" t="s">
        <v>111</v>
      </c>
      <c r="C12" s="534">
        <v>379</v>
      </c>
      <c r="D12" s="4">
        <v>412</v>
      </c>
      <c r="E12" s="1">
        <v>413</v>
      </c>
      <c r="F12" s="51">
        <v>446</v>
      </c>
      <c r="G12" t="s">
        <v>111</v>
      </c>
      <c r="H12" s="331">
        <f t="shared" ref="H12:H19" si="0">D12/C12</f>
        <v>1.0870712401055409</v>
      </c>
      <c r="I12" s="331">
        <f t="shared" ref="I12:I19" si="1">F12/E12</f>
        <v>1.0799031476997578</v>
      </c>
      <c r="U12" s="544" t="s">
        <v>268</v>
      </c>
    </row>
    <row r="13" spans="1:21" x14ac:dyDescent="0.25">
      <c r="A13" s="577" t="s">
        <v>128</v>
      </c>
      <c r="B13" s="11" t="s">
        <v>110</v>
      </c>
      <c r="C13" s="534">
        <v>37</v>
      </c>
      <c r="D13" s="4">
        <v>46</v>
      </c>
      <c r="E13" s="1">
        <v>39</v>
      </c>
      <c r="F13" s="51">
        <v>49</v>
      </c>
      <c r="G13" t="s">
        <v>110</v>
      </c>
      <c r="H13" s="331">
        <f t="shared" si="0"/>
        <v>1.2432432432432432</v>
      </c>
      <c r="I13" s="331">
        <f t="shared" si="1"/>
        <v>1.2564102564102564</v>
      </c>
      <c r="U13" s="524"/>
    </row>
    <row r="14" spans="1:21" x14ac:dyDescent="0.25">
      <c r="A14" s="577" t="s">
        <v>128</v>
      </c>
      <c r="B14" s="11" t="s">
        <v>109</v>
      </c>
      <c r="C14" s="534">
        <v>14</v>
      </c>
      <c r="D14" s="4">
        <v>14</v>
      </c>
      <c r="E14" s="1">
        <v>26</v>
      </c>
      <c r="F14" s="51">
        <v>26</v>
      </c>
      <c r="G14" t="s">
        <v>109</v>
      </c>
      <c r="H14" s="331">
        <f t="shared" si="0"/>
        <v>1</v>
      </c>
      <c r="I14" s="331">
        <f t="shared" si="1"/>
        <v>1</v>
      </c>
      <c r="U14" s="544" t="s">
        <v>269</v>
      </c>
    </row>
    <row r="15" spans="1:21" x14ac:dyDescent="0.25">
      <c r="A15" s="577" t="s">
        <v>128</v>
      </c>
      <c r="B15" s="11" t="s">
        <v>108</v>
      </c>
      <c r="C15" s="534">
        <v>0</v>
      </c>
      <c r="D15" s="4">
        <v>31</v>
      </c>
      <c r="E15" s="1">
        <v>0</v>
      </c>
      <c r="F15" s="51">
        <v>31</v>
      </c>
      <c r="G15" t="s">
        <v>108</v>
      </c>
      <c r="H15" s="331">
        <v>0</v>
      </c>
      <c r="I15" s="331">
        <v>0</v>
      </c>
      <c r="U15" s="524"/>
    </row>
    <row r="16" spans="1:21" x14ac:dyDescent="0.25">
      <c r="A16" s="577" t="s">
        <v>128</v>
      </c>
      <c r="B16" s="11" t="s">
        <v>107</v>
      </c>
      <c r="C16" s="534">
        <v>454</v>
      </c>
      <c r="D16" s="4">
        <v>454</v>
      </c>
      <c r="E16" s="1">
        <v>477</v>
      </c>
      <c r="F16" s="51">
        <v>477</v>
      </c>
      <c r="G16" t="s">
        <v>107</v>
      </c>
      <c r="H16" s="331">
        <f t="shared" si="0"/>
        <v>1</v>
      </c>
      <c r="I16" s="331">
        <f t="shared" si="1"/>
        <v>1</v>
      </c>
      <c r="U16" s="544" t="s">
        <v>270</v>
      </c>
    </row>
    <row r="17" spans="1:23" x14ac:dyDescent="0.25">
      <c r="A17" s="577" t="s">
        <v>128</v>
      </c>
      <c r="B17" s="11" t="s">
        <v>106</v>
      </c>
      <c r="C17" s="534">
        <v>10</v>
      </c>
      <c r="D17" s="4">
        <v>14</v>
      </c>
      <c r="E17" s="1">
        <v>10</v>
      </c>
      <c r="F17" s="51">
        <v>14</v>
      </c>
      <c r="G17" t="s">
        <v>106</v>
      </c>
      <c r="H17" s="331">
        <f t="shared" si="0"/>
        <v>1.4</v>
      </c>
      <c r="I17" s="331">
        <f t="shared" si="1"/>
        <v>1.4</v>
      </c>
      <c r="U17" s="527"/>
    </row>
    <row r="18" spans="1:23" x14ac:dyDescent="0.25">
      <c r="A18" s="577" t="s">
        <v>128</v>
      </c>
      <c r="B18" s="11" t="s">
        <v>105</v>
      </c>
      <c r="C18" s="534">
        <v>1</v>
      </c>
      <c r="D18" s="4">
        <v>1</v>
      </c>
      <c r="E18" s="1">
        <v>4</v>
      </c>
      <c r="F18" s="51">
        <v>4</v>
      </c>
      <c r="G18" t="s">
        <v>105</v>
      </c>
      <c r="H18" s="331">
        <f t="shared" si="0"/>
        <v>1</v>
      </c>
      <c r="I18" s="331">
        <f t="shared" si="1"/>
        <v>1</v>
      </c>
      <c r="U18" s="545" t="s">
        <v>271</v>
      </c>
    </row>
    <row r="19" spans="1:23" ht="15.75" thickBot="1" x14ac:dyDescent="0.3">
      <c r="A19" s="578" t="s">
        <v>128</v>
      </c>
      <c r="B19" s="208" t="s">
        <v>104</v>
      </c>
      <c r="C19" s="535">
        <v>55</v>
      </c>
      <c r="D19" s="506">
        <v>293</v>
      </c>
      <c r="E19" s="225">
        <v>59</v>
      </c>
      <c r="F19" s="507">
        <v>346</v>
      </c>
      <c r="G19" t="s">
        <v>104</v>
      </c>
      <c r="H19" s="331">
        <f t="shared" si="0"/>
        <v>5.3272727272727272</v>
      </c>
      <c r="I19" s="331">
        <f t="shared" si="1"/>
        <v>5.8644067796610173</v>
      </c>
      <c r="U19" s="545" t="s">
        <v>272</v>
      </c>
    </row>
    <row r="20" spans="1:23" x14ac:dyDescent="0.25">
      <c r="U20" s="545" t="s">
        <v>273</v>
      </c>
    </row>
    <row r="21" spans="1:23" x14ac:dyDescent="0.25">
      <c r="U21" s="524"/>
    </row>
    <row r="22" spans="1:23" x14ac:dyDescent="0.25">
      <c r="U22" s="524"/>
    </row>
    <row r="23" spans="1:23" x14ac:dyDescent="0.25">
      <c r="U23" s="546" t="s">
        <v>251</v>
      </c>
    </row>
    <row r="24" spans="1:23" x14ac:dyDescent="0.25">
      <c r="U24" s="524"/>
      <c r="W24" s="530"/>
    </row>
    <row r="25" spans="1:23" x14ac:dyDescent="0.25">
      <c r="U25" s="542" t="s">
        <v>252</v>
      </c>
    </row>
    <row r="26" spans="1:23" x14ac:dyDescent="0.25">
      <c r="U26" s="543" t="s">
        <v>253</v>
      </c>
    </row>
    <row r="27" spans="1:23" x14ac:dyDescent="0.25">
      <c r="U27" s="543" t="s">
        <v>254</v>
      </c>
    </row>
    <row r="28" spans="1:23" x14ac:dyDescent="0.25">
      <c r="U28" s="542" t="s">
        <v>238</v>
      </c>
    </row>
    <row r="29" spans="1:23" x14ac:dyDescent="0.25">
      <c r="U29" s="547" t="s">
        <v>256</v>
      </c>
    </row>
    <row r="30" spans="1:23" x14ac:dyDescent="0.25">
      <c r="U30" s="547" t="s">
        <v>257</v>
      </c>
    </row>
    <row r="31" spans="1:23" x14ac:dyDescent="0.25">
      <c r="U31" s="547" t="s">
        <v>258</v>
      </c>
    </row>
    <row r="32" spans="1:23" x14ac:dyDescent="0.25">
      <c r="U32" s="547" t="s">
        <v>259</v>
      </c>
    </row>
    <row r="33" spans="21:21" x14ac:dyDescent="0.25">
      <c r="U33" s="547" t="s">
        <v>260</v>
      </c>
    </row>
    <row r="34" spans="21:21" x14ac:dyDescent="0.25">
      <c r="U34" s="542" t="s">
        <v>255</v>
      </c>
    </row>
    <row r="35" spans="21:21" x14ac:dyDescent="0.25">
      <c r="U35" s="547" t="s">
        <v>261</v>
      </c>
    </row>
    <row r="36" spans="21:21" x14ac:dyDescent="0.25">
      <c r="U36" s="547" t="s">
        <v>262</v>
      </c>
    </row>
  </sheetData>
  <mergeCells count="4">
    <mergeCell ref="A7:F7"/>
    <mergeCell ref="A8:F8"/>
    <mergeCell ref="C9:F9"/>
    <mergeCell ref="A11:A19"/>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8F47A-7AD6-43D3-A3C0-9205C94CBD8B}">
  <dimension ref="A1:R34"/>
  <sheetViews>
    <sheetView tabSelected="1" topLeftCell="A7" zoomScale="85" zoomScaleNormal="85" workbookViewId="0">
      <selection activeCell="AD22" sqref="AD22"/>
    </sheetView>
  </sheetViews>
  <sheetFormatPr defaultRowHeight="15" x14ac:dyDescent="0.25"/>
  <cols>
    <col min="1" max="1" width="2.85546875" bestFit="1" customWidth="1"/>
    <col min="2" max="2" width="25.85546875" customWidth="1"/>
    <col min="4" max="4" width="18.5703125" customWidth="1"/>
  </cols>
  <sheetData>
    <row r="1" spans="1:18" ht="18.75" x14ac:dyDescent="0.3">
      <c r="A1" s="10"/>
      <c r="B1" s="231" t="s">
        <v>236</v>
      </c>
    </row>
    <row r="3" spans="1:18" ht="21.75" thickBot="1" x14ac:dyDescent="0.3">
      <c r="A3" s="552" t="s">
        <v>127</v>
      </c>
      <c r="B3" s="552" t="s">
        <v>127</v>
      </c>
      <c r="C3" s="552" t="s">
        <v>127</v>
      </c>
      <c r="D3" s="552" t="s">
        <v>127</v>
      </c>
      <c r="E3" s="552" t="s">
        <v>127</v>
      </c>
    </row>
    <row r="4" spans="1:18" ht="16.5" thickBot="1" x14ac:dyDescent="0.3">
      <c r="A4" s="553" t="s">
        <v>7</v>
      </c>
      <c r="B4" s="554" t="s">
        <v>7</v>
      </c>
      <c r="C4" s="554" t="s">
        <v>7</v>
      </c>
      <c r="D4" s="554" t="s">
        <v>7</v>
      </c>
      <c r="E4" s="554" t="s">
        <v>7</v>
      </c>
      <c r="R4" s="544" t="s">
        <v>283</v>
      </c>
    </row>
    <row r="5" spans="1:18" x14ac:dyDescent="0.25">
      <c r="A5" s="513"/>
      <c r="B5" s="513"/>
      <c r="C5" s="555"/>
      <c r="D5" s="556"/>
      <c r="E5" s="556"/>
      <c r="G5" s="515" t="s">
        <v>141</v>
      </c>
      <c r="R5" s="524"/>
    </row>
    <row r="6" spans="1:18" ht="34.5" x14ac:dyDescent="0.25">
      <c r="A6" s="512"/>
      <c r="B6" s="512"/>
      <c r="C6" s="549" t="s">
        <v>138</v>
      </c>
      <c r="D6" s="549" t="s">
        <v>121</v>
      </c>
      <c r="E6" s="549" t="s">
        <v>139</v>
      </c>
      <c r="G6" s="550" t="s">
        <v>140</v>
      </c>
      <c r="R6" s="544" t="s">
        <v>284</v>
      </c>
    </row>
    <row r="7" spans="1:18" x14ac:dyDescent="0.25">
      <c r="A7" s="557" t="s">
        <v>128</v>
      </c>
      <c r="B7" s="514" t="s">
        <v>112</v>
      </c>
      <c r="C7" s="512">
        <v>0.86</v>
      </c>
      <c r="D7" s="325">
        <v>793</v>
      </c>
      <c r="E7" s="501">
        <v>30</v>
      </c>
      <c r="G7" s="516">
        <f>E7/D7</f>
        <v>3.7831021437578813E-2</v>
      </c>
      <c r="R7" s="527"/>
    </row>
    <row r="8" spans="1:18" x14ac:dyDescent="0.25">
      <c r="A8" s="557" t="s">
        <v>128</v>
      </c>
      <c r="B8" s="514" t="s">
        <v>111</v>
      </c>
      <c r="C8" s="512">
        <v>0.5</v>
      </c>
      <c r="D8" s="383">
        <v>668</v>
      </c>
      <c r="E8" s="502">
        <v>163</v>
      </c>
      <c r="G8" s="516">
        <f t="shared" ref="G8:G13" si="0">E8/D8</f>
        <v>0.2440119760479042</v>
      </c>
      <c r="R8" s="545" t="s">
        <v>285</v>
      </c>
    </row>
    <row r="9" spans="1:18" x14ac:dyDescent="0.25">
      <c r="A9" s="557" t="s">
        <v>128</v>
      </c>
      <c r="B9" s="514" t="s">
        <v>110</v>
      </c>
      <c r="C9" s="512">
        <v>0.35</v>
      </c>
      <c r="D9" s="299">
        <v>68</v>
      </c>
      <c r="E9" s="503">
        <v>33</v>
      </c>
      <c r="G9" s="516">
        <f t="shared" si="0"/>
        <v>0.48529411764705882</v>
      </c>
      <c r="R9" s="545" t="s">
        <v>286</v>
      </c>
    </row>
    <row r="10" spans="1:18" x14ac:dyDescent="0.25">
      <c r="A10" s="557" t="s">
        <v>128</v>
      </c>
      <c r="B10" s="514" t="s">
        <v>109</v>
      </c>
      <c r="C10" s="512">
        <v>0.7</v>
      </c>
      <c r="D10" s="244">
        <v>37</v>
      </c>
      <c r="E10" s="479">
        <v>2</v>
      </c>
      <c r="G10" s="516">
        <f t="shared" si="0"/>
        <v>5.4054054054054057E-2</v>
      </c>
      <c r="R10" s="524"/>
    </row>
    <row r="11" spans="1:18" x14ac:dyDescent="0.25">
      <c r="A11" s="557" t="s">
        <v>128</v>
      </c>
      <c r="B11" s="514" t="s">
        <v>108</v>
      </c>
      <c r="C11" s="512">
        <v>0</v>
      </c>
      <c r="D11" s="300">
        <v>47</v>
      </c>
      <c r="E11" s="458">
        <v>0</v>
      </c>
      <c r="G11" s="516">
        <f t="shared" si="0"/>
        <v>0</v>
      </c>
      <c r="R11" s="544" t="s">
        <v>287</v>
      </c>
    </row>
    <row r="12" spans="1:18" x14ac:dyDescent="0.25">
      <c r="A12" s="557" t="s">
        <v>128</v>
      </c>
      <c r="B12" s="514" t="s">
        <v>107</v>
      </c>
      <c r="C12" s="512">
        <v>0.9</v>
      </c>
      <c r="D12" s="298">
        <v>584</v>
      </c>
      <c r="E12" s="504">
        <v>34</v>
      </c>
      <c r="G12" s="516">
        <f t="shared" si="0"/>
        <v>5.8219178082191778E-2</v>
      </c>
      <c r="R12" s="524"/>
    </row>
    <row r="13" spans="1:18" x14ac:dyDescent="0.25">
      <c r="A13" s="557" t="s">
        <v>128</v>
      </c>
      <c r="B13" s="514" t="s">
        <v>106</v>
      </c>
      <c r="C13" s="512">
        <v>0.25</v>
      </c>
      <c r="D13" s="505">
        <v>16</v>
      </c>
      <c r="E13" s="483">
        <v>2</v>
      </c>
      <c r="G13" s="516">
        <f t="shared" si="0"/>
        <v>0.125</v>
      </c>
      <c r="R13" s="544" t="s">
        <v>288</v>
      </c>
    </row>
    <row r="14" spans="1:18" x14ac:dyDescent="0.25">
      <c r="G14" s="498"/>
      <c r="R14" s="524"/>
    </row>
    <row r="15" spans="1:18" x14ac:dyDescent="0.25">
      <c r="G15" s="498"/>
      <c r="R15" s="544" t="s">
        <v>289</v>
      </c>
    </row>
    <row r="16" spans="1:18" x14ac:dyDescent="0.25">
      <c r="B16" s="542" t="s">
        <v>311</v>
      </c>
      <c r="R16" s="524"/>
    </row>
    <row r="17" spans="2:18" x14ac:dyDescent="0.25">
      <c r="B17" s="542" t="s">
        <v>312</v>
      </c>
      <c r="R17" s="544" t="s">
        <v>290</v>
      </c>
    </row>
    <row r="18" spans="2:18" x14ac:dyDescent="0.25">
      <c r="B18" s="543" t="s">
        <v>303</v>
      </c>
      <c r="R18" s="527"/>
    </row>
    <row r="19" spans="2:18" x14ac:dyDescent="0.25">
      <c r="B19" s="543" t="s">
        <v>304</v>
      </c>
      <c r="R19" s="545" t="s">
        <v>291</v>
      </c>
    </row>
    <row r="20" spans="2:18" x14ac:dyDescent="0.25">
      <c r="B20" s="543" t="s">
        <v>305</v>
      </c>
      <c r="R20" s="545" t="s">
        <v>292</v>
      </c>
    </row>
    <row r="21" spans="2:18" x14ac:dyDescent="0.25">
      <c r="B21" s="543" t="s">
        <v>306</v>
      </c>
      <c r="R21" s="545" t="s">
        <v>293</v>
      </c>
    </row>
    <row r="22" spans="2:18" x14ac:dyDescent="0.25">
      <c r="B22" s="543" t="s">
        <v>307</v>
      </c>
    </row>
    <row r="23" spans="2:18" x14ac:dyDescent="0.25">
      <c r="B23" s="543" t="s">
        <v>308</v>
      </c>
    </row>
    <row r="24" spans="2:18" x14ac:dyDescent="0.25">
      <c r="B24" s="543" t="s">
        <v>309</v>
      </c>
      <c r="R24" s="546" t="s">
        <v>251</v>
      </c>
    </row>
    <row r="25" spans="2:18" x14ac:dyDescent="0.25">
      <c r="B25" s="551" t="s">
        <v>310</v>
      </c>
    </row>
    <row r="26" spans="2:18" x14ac:dyDescent="0.25">
      <c r="R26" s="542" t="s">
        <v>278</v>
      </c>
    </row>
    <row r="27" spans="2:18" x14ac:dyDescent="0.25">
      <c r="R27" s="542" t="s">
        <v>274</v>
      </c>
    </row>
    <row r="28" spans="2:18" x14ac:dyDescent="0.25">
      <c r="R28" s="543" t="s">
        <v>275</v>
      </c>
    </row>
    <row r="29" spans="2:18" x14ac:dyDescent="0.25">
      <c r="R29" s="543" t="s">
        <v>276</v>
      </c>
    </row>
    <row r="30" spans="2:18" x14ac:dyDescent="0.25">
      <c r="R30" s="543" t="s">
        <v>277</v>
      </c>
    </row>
    <row r="31" spans="2:18" x14ac:dyDescent="0.25">
      <c r="R31" s="548" t="s">
        <v>279</v>
      </c>
    </row>
    <row r="32" spans="2:18" x14ac:dyDescent="0.25">
      <c r="R32" s="548" t="s">
        <v>280</v>
      </c>
    </row>
    <row r="33" spans="18:18" x14ac:dyDescent="0.25">
      <c r="R33" s="548" t="s">
        <v>281</v>
      </c>
    </row>
    <row r="34" spans="18:18" x14ac:dyDescent="0.25">
      <c r="R34" s="548" t="s">
        <v>282</v>
      </c>
    </row>
  </sheetData>
  <mergeCells count="4">
    <mergeCell ref="A3:E3"/>
    <mergeCell ref="A4:E4"/>
    <mergeCell ref="C5:E5"/>
    <mergeCell ref="A7:A13"/>
  </mergeCells>
  <phoneticPr fontId="14" type="noConversion"/>
  <pageMargins left="0.7" right="0.7" top="0.75" bottom="0.75" header="0.3" footer="0.3"/>
  <drawing r:id="rId1"/>
</worksheet>
</file>

<file path=docMetadata/LabelInfo.xml><?xml version="1.0" encoding="utf-8"?>
<clbl:labelList xmlns:clbl="http://schemas.microsoft.com/office/2020/mipLabelMetadata">
  <clbl:label id="{7005d458-45be-48ae-8140-d43da96dd17b}" enabled="0" method="" siteId="{7005d458-45be-48ae-8140-d43da96dd17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Project --&gt;</vt:lpstr>
      <vt:lpstr>G1_Characteristics_WorkToGo</vt:lpstr>
      <vt:lpstr>G2&amp;G3_BowWave_2025MAR</vt:lpstr>
      <vt:lpstr>G2&amp;G3_BowWave_2024SEP</vt:lpstr>
      <vt:lpstr>G4_Workoff Burden</vt:lpstr>
      <vt:lpstr>G5_DurationRatioS Curve_2025MAR</vt:lpstr>
      <vt:lpstr>Portfolio --&gt;</vt:lpstr>
      <vt:lpstr>G3_Quad_HMI&amp;CEI</vt:lpstr>
      <vt:lpstr>G6_Quad_S-ratioVsF-ratio</vt:lpstr>
      <vt:lpstr>G7_Quad_BEIvsCP%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King, Michele T. (HQ-IN001)</dc:creator>
  <cp:lastModifiedBy>dpolitte</cp:lastModifiedBy>
  <cp:lastPrinted>2025-03-29T21:55:44Z</cp:lastPrinted>
  <dcterms:created xsi:type="dcterms:W3CDTF">2025-03-27T17:04:53Z</dcterms:created>
  <dcterms:modified xsi:type="dcterms:W3CDTF">2026-07-09T21:57:18Z</dcterms:modified>
</cp:coreProperties>
</file>