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politte\Desktop\.mpp test files\"/>
    </mc:Choice>
  </mc:AlternateContent>
  <xr:revisionPtr revIDLastSave="0" documentId="8_{A6226D4B-F603-4967-8BD2-7B49797AD263}" xr6:coauthVersionLast="47" xr6:coauthVersionMax="47" xr10:uidLastSave="{00000000-0000-0000-0000-000000000000}"/>
  <bookViews>
    <workbookView xWindow="-120" yWindow="-120" windowWidth="38640" windowHeight="21120" xr2:uid="{BE98F358-222B-4358-93F5-C6196711A690}"/>
  </bookViews>
  <sheets>
    <sheet name="Sensitivity Analysis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20" i="2" l="1"/>
  <c r="N20" i="2"/>
  <c r="O19" i="2"/>
  <c r="N19" i="2"/>
  <c r="O18" i="2"/>
  <c r="N18" i="2"/>
  <c r="O17" i="2"/>
  <c r="N17" i="2"/>
  <c r="O16" i="2"/>
  <c r="N16" i="2"/>
  <c r="O15" i="2"/>
  <c r="N15" i="2"/>
  <c r="O14" i="2"/>
  <c r="N14" i="2"/>
  <c r="O13" i="2"/>
  <c r="N13" i="2"/>
  <c r="O12" i="2"/>
  <c r="N12" i="2"/>
  <c r="O11" i="2"/>
  <c r="N11" i="2"/>
  <c r="O10" i="2"/>
  <c r="N10" i="2"/>
  <c r="O9" i="2"/>
  <c r="N9" i="2"/>
  <c r="O8" i="2"/>
  <c r="N8" i="2"/>
  <c r="O7" i="2"/>
  <c r="N7" i="2"/>
  <c r="O6" i="2"/>
  <c r="N6" i="2"/>
  <c r="O5" i="2"/>
  <c r="N5" i="2"/>
  <c r="O4" i="2"/>
  <c r="N4" i="2"/>
  <c r="O3" i="2"/>
  <c r="N3" i="2"/>
  <c r="O2" i="2"/>
  <c r="N2" i="2"/>
</calcChain>
</file>

<file path=xl/sharedStrings.xml><?xml version="1.0" encoding="utf-8"?>
<sst xmlns="http://schemas.openxmlformats.org/spreadsheetml/2006/main" count="129" uniqueCount="108">
  <si>
    <t>SRA Task UID</t>
  </si>
  <si>
    <t>SRA Task Name</t>
  </si>
  <si>
    <t>SRA Task BC Duration</t>
  </si>
  <si>
    <t>SRA Task WC Duration</t>
  </si>
  <si>
    <t>SRA Task ML Duration</t>
  </si>
  <si>
    <t>SRA Event UID</t>
  </si>
  <si>
    <t>SRA Event Name</t>
  </si>
  <si>
    <t>Event Finish BC</t>
  </si>
  <si>
    <t>Event Finish WC</t>
  </si>
  <si>
    <t>Opportunity to Accelerate</t>
  </si>
  <si>
    <t>Risk of Delay</t>
  </si>
  <si>
    <t>Total Sensitivity</t>
  </si>
  <si>
    <t>Install hardware and accessories</t>
  </si>
  <si>
    <t>24.8 days</t>
  </si>
  <si>
    <t>41.34 days</t>
  </si>
  <si>
    <t>5.51 wks</t>
  </si>
  <si>
    <t>Issue final request for payment</t>
  </si>
  <si>
    <t>Pour column piers and foundations</t>
  </si>
  <si>
    <t>20.58 days</t>
  </si>
  <si>
    <t>34.31 days</t>
  </si>
  <si>
    <t>22.87 days</t>
  </si>
  <si>
    <t>Form column piers and spread foundations</t>
  </si>
  <si>
    <t>10.27 days</t>
  </si>
  <si>
    <t>20.54 days</t>
  </si>
  <si>
    <t>17.11 days</t>
  </si>
  <si>
    <t>Install stairs and miscellaneous iron railing</t>
  </si>
  <si>
    <t>11.84 days</t>
  </si>
  <si>
    <t>19.73 days</t>
  </si>
  <si>
    <t>2.63 wks</t>
  </si>
  <si>
    <t>Install miscellaneous iron and bracing - 3rd floor and roof</t>
  </si>
  <si>
    <t>11.88 days</t>
  </si>
  <si>
    <t>19.81 days</t>
  </si>
  <si>
    <t>2.64 wks</t>
  </si>
  <si>
    <t>Form 2nd floor including all floor openings</t>
  </si>
  <si>
    <t>5.2 days</t>
  </si>
  <si>
    <t>11.45 days</t>
  </si>
  <si>
    <t>10.41 days</t>
  </si>
  <si>
    <t>Erect steel columns, beams and joist - 3rd floor and roof</t>
  </si>
  <si>
    <t>10.67 days</t>
  </si>
  <si>
    <t>19.82 days</t>
  </si>
  <si>
    <t>3.05 wks</t>
  </si>
  <si>
    <t>Complete punch list items from all inspections</t>
  </si>
  <si>
    <t>10.98 days</t>
  </si>
  <si>
    <t>19.21 days</t>
  </si>
  <si>
    <t>2.74 wks</t>
  </si>
  <si>
    <t>Cure 2nd floor slab</t>
  </si>
  <si>
    <t>5.84 days</t>
  </si>
  <si>
    <t>10.85 days</t>
  </si>
  <si>
    <t>8.35 days</t>
  </si>
  <si>
    <t>Cure piers and foundations</t>
  </si>
  <si>
    <t>6.36 days</t>
  </si>
  <si>
    <t>11.13 days</t>
  </si>
  <si>
    <t>7.95 days</t>
  </si>
  <si>
    <t>Erect steel columns, beams and joist - 1st and 2nd floors</t>
  </si>
  <si>
    <t>5.74 days</t>
  </si>
  <si>
    <t>1.64 wks</t>
  </si>
  <si>
    <t>Touch-up paint on steel</t>
  </si>
  <si>
    <t>2.36 days</t>
  </si>
  <si>
    <t>5.19 days</t>
  </si>
  <si>
    <t>0.94 wks</t>
  </si>
  <si>
    <t>Remove debris from building and do final clean-up</t>
  </si>
  <si>
    <t>1.93 days</t>
  </si>
  <si>
    <t>3.86 days</t>
  </si>
  <si>
    <t>3.22 days</t>
  </si>
  <si>
    <t>Set reinforcing and anchor bolts</t>
  </si>
  <si>
    <t>2.78 days</t>
  </si>
  <si>
    <t>5.16 days</t>
  </si>
  <si>
    <t>3.97 days</t>
  </si>
  <si>
    <t>Strip column piers and foundation forms</t>
  </si>
  <si>
    <t>1.62 days</t>
  </si>
  <si>
    <t>3.23 days</t>
  </si>
  <si>
    <t>2.69 days</t>
  </si>
  <si>
    <t>Pour 2nd floor slab</t>
  </si>
  <si>
    <t>2.53 days</t>
  </si>
  <si>
    <t>4.7 days</t>
  </si>
  <si>
    <t>3.61 days</t>
  </si>
  <si>
    <t>Form 3rd floor including all floor openings</t>
  </si>
  <si>
    <t>3.29 days</t>
  </si>
  <si>
    <t>6.57 days</t>
  </si>
  <si>
    <t>5.48 days</t>
  </si>
  <si>
    <t>Strip forms from roof slab</t>
  </si>
  <si>
    <t>1.74 days</t>
  </si>
  <si>
    <t>3.04 days</t>
  </si>
  <si>
    <t>2.17 days</t>
  </si>
  <si>
    <t>Perform local building agency inspection</t>
  </si>
  <si>
    <t>1.29 days</t>
  </si>
  <si>
    <t>2.15 days</t>
  </si>
  <si>
    <t>1.44 days</t>
  </si>
  <si>
    <t>Total</t>
  </si>
  <si>
    <t>Opportunity</t>
  </si>
  <si>
    <t>Risk</t>
  </si>
  <si>
    <r>
      <t>||||||||||||||||||||||||||||</t>
    </r>
    <r>
      <rPr>
        <sz val="11"/>
        <color rgb="FFFF0000"/>
        <rFont val="PlayBill"/>
        <family val="5"/>
      </rPr>
      <t>||||||||||||||||||||||||||||||||||||||||||||||||||||||||||||||||||||||||||||||||||||||||||||||||||||||||||||||||||||||||||||||||||||||||||</t>
    </r>
  </si>
  <si>
    <r>
      <t>|||||||||||||||||||||||</t>
    </r>
    <r>
      <rPr>
        <sz val="11"/>
        <color rgb="FFFF0000"/>
        <rFont val="PlayBill"/>
        <family val="5"/>
      </rPr>
      <t>|||||||||||||||||||||||||||||||||||||||||||||||||||||||||||||||||||||||||||||||||||||||||||||||||||||||||||||||||||||||</t>
    </r>
  </si>
  <si>
    <r>
      <t>||||||||||||||||||||||||||||||||||||||||||||||||||||||||||||||||||||</t>
    </r>
    <r>
      <rPr>
        <sz val="11"/>
        <color rgb="FFFF0000"/>
        <rFont val="PlayBill"/>
        <family val="5"/>
      </rPr>
      <t>||||||||||||||||||||||||||||||||||</t>
    </r>
  </si>
  <si>
    <r>
      <t>|||||||||||||</t>
    </r>
    <r>
      <rPr>
        <sz val="11"/>
        <color rgb="FFFF0000"/>
        <rFont val="PlayBill"/>
        <family val="5"/>
      </rPr>
      <t>|||||||||||||||||||||||||||||||||||||||||||||||||||||||||||||||||||||</t>
    </r>
  </si>
  <si>
    <r>
      <t>||||||||||||||||||||||||||||||||||||||||||||||||||||</t>
    </r>
    <r>
      <rPr>
        <sz val="11"/>
        <color rgb="FFFF0000"/>
        <rFont val="PlayBill"/>
        <family val="5"/>
      </rPr>
      <t>|||||||||||||||||||</t>
    </r>
  </si>
  <si>
    <r>
      <t>|||||||||||||||||||||||||||||||</t>
    </r>
    <r>
      <rPr>
        <sz val="11"/>
        <color rgb="FFFF0000"/>
        <rFont val="PlayBill"/>
        <family val="5"/>
      </rPr>
      <t>||||||||||||||||||||||||||||||||||||</t>
    </r>
  </si>
  <si>
    <r>
      <t>|||||||||||||||||||||||||||</t>
    </r>
    <r>
      <rPr>
        <sz val="11"/>
        <color rgb="FFFF0000"/>
        <rFont val="PlayBill"/>
        <family val="5"/>
      </rPr>
      <t>|||||||||||||||||||||||||||||||||||</t>
    </r>
  </si>
  <si>
    <r>
      <t>|||||||||||||||||||||||||</t>
    </r>
    <r>
      <rPr>
        <sz val="11"/>
        <color rgb="FFFF0000"/>
        <rFont val="PlayBill"/>
        <family val="5"/>
      </rPr>
      <t>|||||||||||||||||||||||||</t>
    </r>
  </si>
  <si>
    <r>
      <t>||||||||||||||||</t>
    </r>
    <r>
      <rPr>
        <sz val="11"/>
        <color rgb="FFFF0000"/>
        <rFont val="PlayBill"/>
        <family val="5"/>
      </rPr>
      <t>||||||||||||||||||||||||||||||||</t>
    </r>
  </si>
  <si>
    <r>
      <t>|||||||||||||||||||||||||</t>
    </r>
    <r>
      <rPr>
        <sz val="11"/>
        <color rgb="FFFF0000"/>
        <rFont val="PlayBill"/>
        <family val="5"/>
      </rPr>
      <t>|||||||||||||||||||</t>
    </r>
  </si>
  <si>
    <r>
      <t>||||||||||||||||||||||||</t>
    </r>
    <r>
      <rPr>
        <sz val="11"/>
        <color rgb="FFFF0000"/>
        <rFont val="PlayBill"/>
        <family val="5"/>
      </rPr>
      <t>|||||||||||||||||||</t>
    </r>
  </si>
  <si>
    <r>
      <t>|||||||||||||</t>
    </r>
    <r>
      <rPr>
        <sz val="11"/>
        <color rgb="FFFF0000"/>
        <rFont val="PlayBill"/>
        <family val="5"/>
      </rPr>
      <t>|||||||||||||||||||</t>
    </r>
  </si>
  <si>
    <r>
      <t>||||||||||||</t>
    </r>
    <r>
      <rPr>
        <sz val="11"/>
        <color rgb="FFFF0000"/>
        <rFont val="PlayBill"/>
        <family val="5"/>
      </rPr>
      <t>|||||||||||||||||||</t>
    </r>
  </si>
  <si>
    <r>
      <t>|||||||||||</t>
    </r>
    <r>
      <rPr>
        <sz val="11"/>
        <color rgb="FFFF0000"/>
        <rFont val="PlayBill"/>
        <family val="5"/>
      </rPr>
      <t>|||||||||||||||||||</t>
    </r>
  </si>
  <si>
    <r>
      <t>|||||</t>
    </r>
    <r>
      <rPr>
        <sz val="11"/>
        <color rgb="FFFF0000"/>
        <rFont val="PlayBill"/>
        <family val="5"/>
      </rPr>
      <t>|||||||||||||||||||</t>
    </r>
  </si>
  <si>
    <r>
      <t>||||</t>
    </r>
    <r>
      <rPr>
        <sz val="11"/>
        <color rgb="FFFF0000"/>
        <rFont val="PlayBill"/>
        <family val="5"/>
      </rPr>
      <t>|||||||||||||||||||</t>
    </r>
  </si>
  <si>
    <r>
      <t>||</t>
    </r>
    <r>
      <rPr>
        <sz val="11"/>
        <color rgb="FFFF0000"/>
        <rFont val="PlayBill"/>
        <family val="5"/>
      </rPr>
      <t>|||||||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</si>
</sst>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FF"/>
      <name val="PlayBill"/>
      <family val="5"/>
    </font>
    <font>
      <sz val="11"/>
      <color rgb="FFFF0000"/>
      <name val="PlayBill"/>
      <family val="5"/>
    </font>
  </fonts>
  <fills count="4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rgb="FFB9D4E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2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right"/>
    </xf>
    <xf numFmtId="0" fontId="3" fillId="3" borderId="4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556F2-ABEC-403B-8307-F44C91B987F3}">
  <dimension ref="A1:O20"/>
  <sheetViews>
    <sheetView tabSelected="1" workbookViewId="0"/>
  </sheetViews>
  <sheetFormatPr defaultRowHeight="15" x14ac:dyDescent="0.25"/>
  <cols>
    <col min="1" max="1" width="12.42578125" bestFit="1" customWidth="1"/>
    <col min="2" max="2" width="53.28515625" bestFit="1" customWidth="1"/>
    <col min="3" max="6" width="0" hidden="1" customWidth="1"/>
    <col min="7" max="7" width="28.5703125" bestFit="1" customWidth="1"/>
    <col min="8" max="9" width="12.7109375" style="1" customWidth="1"/>
    <col min="10" max="10" width="12.7109375" customWidth="1"/>
    <col min="11" max="11" width="12.140625" bestFit="1" customWidth="1"/>
    <col min="12" max="12" width="14.7109375" bestFit="1" customWidth="1"/>
    <col min="13" max="13" width="25.140625" bestFit="1" customWidth="1"/>
    <col min="14" max="14" width="11.42578125" bestFit="1" customWidth="1"/>
    <col min="15" max="15" width="21" bestFit="1" customWidth="1"/>
  </cols>
  <sheetData>
    <row r="1" spans="1:15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2" t="s">
        <v>10</v>
      </c>
      <c r="L1" s="4" t="s">
        <v>11</v>
      </c>
      <c r="M1" s="9" t="s">
        <v>88</v>
      </c>
      <c r="N1" s="9" t="s">
        <v>89</v>
      </c>
      <c r="O1" s="9" t="s">
        <v>90</v>
      </c>
    </row>
    <row r="2" spans="1:15" x14ac:dyDescent="0.25">
      <c r="A2">
        <v>107</v>
      </c>
      <c r="B2" t="s">
        <v>12</v>
      </c>
      <c r="C2" t="s">
        <v>13</v>
      </c>
      <c r="D2" t="s">
        <v>14</v>
      </c>
      <c r="E2" t="s">
        <v>15</v>
      </c>
      <c r="F2">
        <v>145</v>
      </c>
      <c r="G2" t="s">
        <v>16</v>
      </c>
      <c r="H2" s="1">
        <v>46721</v>
      </c>
      <c r="I2" s="1">
        <v>46743</v>
      </c>
      <c r="J2">
        <v>2.8</v>
      </c>
      <c r="K2">
        <v>13.8</v>
      </c>
      <c r="L2">
        <v>16.600000000000001</v>
      </c>
      <c r="M2" s="10" t="s">
        <v>91</v>
      </c>
      <c r="N2" s="5" t="str">
        <f>REPT("|",J2*10)</f>
        <v>||||||||||||||||||||||||||||</v>
      </c>
      <c r="O2" s="6" t="str">
        <f>REPT("|",K2*10)</f>
        <v>||||||||||||||||||||||||||||||||||||||||||||||||||||||||||||||||||||||||||||||||||||||||||||||||||||||||||||||||||||||||||||||||||||||||||</v>
      </c>
    </row>
    <row r="3" spans="1:15" x14ac:dyDescent="0.25">
      <c r="A3">
        <v>39</v>
      </c>
      <c r="B3" t="s">
        <v>17</v>
      </c>
      <c r="C3" t="s">
        <v>18</v>
      </c>
      <c r="D3" t="s">
        <v>19</v>
      </c>
      <c r="E3" t="s">
        <v>20</v>
      </c>
      <c r="F3">
        <v>145</v>
      </c>
      <c r="G3" t="s">
        <v>16</v>
      </c>
      <c r="H3" s="1">
        <v>46721</v>
      </c>
      <c r="I3" s="1">
        <v>46741</v>
      </c>
      <c r="J3">
        <v>2.2999999999999998</v>
      </c>
      <c r="K3">
        <v>11.9</v>
      </c>
      <c r="L3">
        <v>14.2</v>
      </c>
      <c r="M3" s="10" t="s">
        <v>92</v>
      </c>
      <c r="N3" s="5" t="str">
        <f>REPT("|",J3*10)</f>
        <v>|||||||||||||||||||||||</v>
      </c>
      <c r="O3" s="6" t="str">
        <f>REPT("|",K3*10)</f>
        <v>|||||||||||||||||||||||||||||||||||||||||||||||||||||||||||||||||||||||||||||||||||||||||||||||||||||||||||||||||||||||</v>
      </c>
    </row>
    <row r="4" spans="1:15" x14ac:dyDescent="0.25">
      <c r="A4">
        <v>35</v>
      </c>
      <c r="B4" t="s">
        <v>21</v>
      </c>
      <c r="C4" t="s">
        <v>22</v>
      </c>
      <c r="D4" t="s">
        <v>23</v>
      </c>
      <c r="E4" t="s">
        <v>24</v>
      </c>
      <c r="F4">
        <v>145</v>
      </c>
      <c r="G4" t="s">
        <v>16</v>
      </c>
      <c r="H4" s="1">
        <v>46715</v>
      </c>
      <c r="I4" s="1">
        <v>46729</v>
      </c>
      <c r="J4">
        <v>6.8</v>
      </c>
      <c r="K4">
        <v>3.4</v>
      </c>
      <c r="L4">
        <v>10.199999999999999</v>
      </c>
      <c r="M4" s="10" t="s">
        <v>93</v>
      </c>
      <c r="N4" s="5" t="str">
        <f>REPT("|",J4*10)</f>
        <v>||||||||||||||||||||||||||||||||||||||||||||||||||||||||||||||||||||</v>
      </c>
      <c r="O4" s="6" t="str">
        <f>REPT("|",K4*10)</f>
        <v>||||||||||||||||||||||||||||||||||</v>
      </c>
    </row>
    <row r="5" spans="1:15" x14ac:dyDescent="0.25">
      <c r="A5">
        <v>52</v>
      </c>
      <c r="B5" t="s">
        <v>25</v>
      </c>
      <c r="C5" t="s">
        <v>26</v>
      </c>
      <c r="D5" t="s">
        <v>27</v>
      </c>
      <c r="E5" t="s">
        <v>28</v>
      </c>
      <c r="F5">
        <v>145</v>
      </c>
      <c r="G5" t="s">
        <v>16</v>
      </c>
      <c r="H5" s="1">
        <v>46722</v>
      </c>
      <c r="I5" s="1">
        <v>46734</v>
      </c>
      <c r="J5">
        <v>1.3</v>
      </c>
      <c r="K5">
        <v>6.9</v>
      </c>
      <c r="L5">
        <v>8.1999999999999993</v>
      </c>
      <c r="M5" s="10" t="s">
        <v>94</v>
      </c>
      <c r="N5" s="5" t="str">
        <f>REPT("|",J5*10)</f>
        <v>|||||||||||||</v>
      </c>
      <c r="O5" s="6" t="str">
        <f>REPT("|",K5*10)</f>
        <v>|||||||||||||||||||||||||||||||||||||||||||||||||||||||||||||||||||||</v>
      </c>
    </row>
    <row r="6" spans="1:15" x14ac:dyDescent="0.25">
      <c r="A6">
        <v>51</v>
      </c>
      <c r="B6" t="s">
        <v>29</v>
      </c>
      <c r="C6" t="s">
        <v>30</v>
      </c>
      <c r="D6" t="s">
        <v>31</v>
      </c>
      <c r="E6" t="s">
        <v>32</v>
      </c>
      <c r="F6">
        <v>145</v>
      </c>
      <c r="G6" t="s">
        <v>16</v>
      </c>
      <c r="H6" s="1">
        <v>46722</v>
      </c>
      <c r="I6" s="1">
        <v>46734</v>
      </c>
      <c r="J6">
        <v>1.3</v>
      </c>
      <c r="K6">
        <v>6.9</v>
      </c>
      <c r="L6">
        <v>8.1999999999999993</v>
      </c>
      <c r="M6" s="10" t="s">
        <v>94</v>
      </c>
      <c r="N6" s="5" t="str">
        <f>REPT("|",J6*10)</f>
        <v>|||||||||||||</v>
      </c>
      <c r="O6" s="6" t="str">
        <f>REPT("|",K6*10)</f>
        <v>|||||||||||||||||||||||||||||||||||||||||||||||||||||||||||||||||||||</v>
      </c>
    </row>
    <row r="7" spans="1:15" x14ac:dyDescent="0.25">
      <c r="A7">
        <v>55</v>
      </c>
      <c r="B7" t="s">
        <v>33</v>
      </c>
      <c r="C7" t="s">
        <v>34</v>
      </c>
      <c r="D7" t="s">
        <v>35</v>
      </c>
      <c r="E7" t="s">
        <v>36</v>
      </c>
      <c r="F7">
        <v>145</v>
      </c>
      <c r="G7" t="s">
        <v>16</v>
      </c>
      <c r="H7" s="1">
        <v>46716</v>
      </c>
      <c r="I7" s="1">
        <v>46727</v>
      </c>
      <c r="J7">
        <v>5.2</v>
      </c>
      <c r="K7">
        <v>1.9</v>
      </c>
      <c r="L7">
        <v>7.1</v>
      </c>
      <c r="M7" s="10" t="s">
        <v>95</v>
      </c>
      <c r="N7" s="5" t="str">
        <f>REPT("|",J7*10)</f>
        <v>||||||||||||||||||||||||||||||||||||||||||||||||||||</v>
      </c>
      <c r="O7" s="6" t="str">
        <f>REPT("|",K7*10)</f>
        <v>|||||||||||||||||||</v>
      </c>
    </row>
    <row r="8" spans="1:15" x14ac:dyDescent="0.25">
      <c r="A8">
        <v>49</v>
      </c>
      <c r="B8" t="s">
        <v>37</v>
      </c>
      <c r="C8" t="s">
        <v>38</v>
      </c>
      <c r="D8" t="s">
        <v>39</v>
      </c>
      <c r="E8" t="s">
        <v>40</v>
      </c>
      <c r="F8">
        <v>145</v>
      </c>
      <c r="G8" t="s">
        <v>16</v>
      </c>
      <c r="H8" s="1">
        <v>46720</v>
      </c>
      <c r="I8" s="1">
        <v>46729</v>
      </c>
      <c r="J8">
        <v>3.1</v>
      </c>
      <c r="K8">
        <v>3.6</v>
      </c>
      <c r="L8">
        <v>6.7</v>
      </c>
      <c r="M8" s="10" t="s">
        <v>96</v>
      </c>
      <c r="N8" s="5" t="str">
        <f>REPT("|",J8*10)</f>
        <v>|||||||||||||||||||||||||||||||</v>
      </c>
      <c r="O8" s="6" t="str">
        <f>REPT("|",K8*10)</f>
        <v>||||||||||||||||||||||||||||||||||||</v>
      </c>
    </row>
    <row r="9" spans="1:15" x14ac:dyDescent="0.25">
      <c r="A9">
        <v>142</v>
      </c>
      <c r="B9" t="s">
        <v>41</v>
      </c>
      <c r="C9" t="s">
        <v>42</v>
      </c>
      <c r="D9" t="s">
        <v>43</v>
      </c>
      <c r="E9" t="s">
        <v>44</v>
      </c>
      <c r="F9">
        <v>145</v>
      </c>
      <c r="G9" t="s">
        <v>16</v>
      </c>
      <c r="H9" s="1">
        <v>46721</v>
      </c>
      <c r="I9" s="1">
        <v>46729</v>
      </c>
      <c r="J9">
        <v>2.7</v>
      </c>
      <c r="K9">
        <v>3.5</v>
      </c>
      <c r="L9">
        <v>6.2</v>
      </c>
      <c r="M9" s="10" t="s">
        <v>97</v>
      </c>
      <c r="N9" s="5" t="str">
        <f>REPT("|",J9*10)</f>
        <v>|||||||||||||||||||||||||||</v>
      </c>
      <c r="O9" s="6" t="str">
        <f>REPT("|",K9*10)</f>
        <v>|||||||||||||||||||||||||||||||||||</v>
      </c>
    </row>
    <row r="10" spans="1:15" x14ac:dyDescent="0.25">
      <c r="A10">
        <v>58</v>
      </c>
      <c r="B10" t="s">
        <v>45</v>
      </c>
      <c r="C10" t="s">
        <v>46</v>
      </c>
      <c r="D10" t="s">
        <v>47</v>
      </c>
      <c r="E10" t="s">
        <v>48</v>
      </c>
      <c r="F10">
        <v>145</v>
      </c>
      <c r="G10" t="s">
        <v>16</v>
      </c>
      <c r="H10" s="1">
        <v>46721</v>
      </c>
      <c r="I10" s="1">
        <v>46728</v>
      </c>
      <c r="J10">
        <v>2.5</v>
      </c>
      <c r="K10">
        <v>2.5</v>
      </c>
      <c r="L10">
        <v>5</v>
      </c>
      <c r="M10" s="10" t="s">
        <v>98</v>
      </c>
      <c r="N10" s="5" t="str">
        <f>REPT("|",J10*10)</f>
        <v>|||||||||||||||||||||||||</v>
      </c>
      <c r="O10" s="6" t="str">
        <f>REPT("|",K10*10)</f>
        <v>|||||||||||||||||||||||||</v>
      </c>
    </row>
    <row r="11" spans="1:15" x14ac:dyDescent="0.25">
      <c r="A11">
        <v>42</v>
      </c>
      <c r="B11" t="s">
        <v>49</v>
      </c>
      <c r="C11" t="s">
        <v>50</v>
      </c>
      <c r="D11" t="s">
        <v>51</v>
      </c>
      <c r="E11" t="s">
        <v>52</v>
      </c>
      <c r="F11">
        <v>145</v>
      </c>
      <c r="G11" t="s">
        <v>16</v>
      </c>
      <c r="H11" s="1">
        <v>46722</v>
      </c>
      <c r="I11" s="1">
        <v>46729</v>
      </c>
      <c r="J11">
        <v>1.6</v>
      </c>
      <c r="K11">
        <v>3.2</v>
      </c>
      <c r="L11">
        <v>4.8</v>
      </c>
      <c r="M11" s="10" t="s">
        <v>99</v>
      </c>
      <c r="N11" s="5" t="str">
        <f>REPT("|",J11*10)</f>
        <v>||||||||||||||||</v>
      </c>
      <c r="O11" s="6" t="str">
        <f>REPT("|",K11*10)</f>
        <v>||||||||||||||||||||||||||||||||</v>
      </c>
    </row>
    <row r="12" spans="1:15" x14ac:dyDescent="0.25">
      <c r="A12">
        <v>48</v>
      </c>
      <c r="B12" t="s">
        <v>53</v>
      </c>
      <c r="C12" t="s">
        <v>54</v>
      </c>
      <c r="D12" t="s">
        <v>38</v>
      </c>
      <c r="E12" t="s">
        <v>55</v>
      </c>
      <c r="F12">
        <v>145</v>
      </c>
      <c r="G12" t="s">
        <v>16</v>
      </c>
      <c r="H12" s="1">
        <v>46721</v>
      </c>
      <c r="I12" s="1">
        <v>46727</v>
      </c>
      <c r="J12">
        <v>2.5</v>
      </c>
      <c r="K12">
        <v>1.9</v>
      </c>
      <c r="L12">
        <v>4.4000000000000004</v>
      </c>
      <c r="M12" s="10" t="s">
        <v>100</v>
      </c>
      <c r="N12" s="5" t="str">
        <f>REPT("|",J12*10)</f>
        <v>|||||||||||||||||||||||||</v>
      </c>
      <c r="O12" s="6" t="str">
        <f>REPT("|",K12*10)</f>
        <v>|||||||||||||||||||</v>
      </c>
    </row>
    <row r="13" spans="1:15" x14ac:dyDescent="0.25">
      <c r="A13">
        <v>53</v>
      </c>
      <c r="B13" t="s">
        <v>56</v>
      </c>
      <c r="C13" t="s">
        <v>57</v>
      </c>
      <c r="D13" t="s">
        <v>58</v>
      </c>
      <c r="E13" t="s">
        <v>59</v>
      </c>
      <c r="F13">
        <v>145</v>
      </c>
      <c r="G13" t="s">
        <v>16</v>
      </c>
      <c r="H13" s="1">
        <v>46721</v>
      </c>
      <c r="I13" s="1">
        <v>46727</v>
      </c>
      <c r="J13">
        <v>2.4</v>
      </c>
      <c r="K13">
        <v>1.9</v>
      </c>
      <c r="L13">
        <v>4.3</v>
      </c>
      <c r="M13" s="10" t="s">
        <v>101</v>
      </c>
      <c r="N13" s="5" t="str">
        <f>REPT("|",J13*10)</f>
        <v>||||||||||||||||||||||||</v>
      </c>
      <c r="O13" s="6" t="str">
        <f>REPT("|",K13*10)</f>
        <v>|||||||||||||||||||</v>
      </c>
    </row>
    <row r="14" spans="1:15" x14ac:dyDescent="0.25">
      <c r="A14">
        <v>135</v>
      </c>
      <c r="B14" t="s">
        <v>60</v>
      </c>
      <c r="C14" t="s">
        <v>61</v>
      </c>
      <c r="D14" t="s">
        <v>62</v>
      </c>
      <c r="E14" t="s">
        <v>63</v>
      </c>
      <c r="F14">
        <v>145</v>
      </c>
      <c r="G14" t="s">
        <v>16</v>
      </c>
      <c r="H14" s="1">
        <v>46722</v>
      </c>
      <c r="I14" s="1">
        <v>46727</v>
      </c>
      <c r="J14">
        <v>1.3</v>
      </c>
      <c r="K14">
        <v>1.9</v>
      </c>
      <c r="L14">
        <v>3.2</v>
      </c>
      <c r="M14" s="10" t="s">
        <v>102</v>
      </c>
      <c r="N14" s="5" t="str">
        <f>REPT("|",J14*10)</f>
        <v>|||||||||||||</v>
      </c>
      <c r="O14" s="6" t="str">
        <f>REPT("|",K14*10)</f>
        <v>|||||||||||||||||||</v>
      </c>
    </row>
    <row r="15" spans="1:15" x14ac:dyDescent="0.25">
      <c r="A15">
        <v>38</v>
      </c>
      <c r="B15" t="s">
        <v>64</v>
      </c>
      <c r="C15" t="s">
        <v>65</v>
      </c>
      <c r="D15" t="s">
        <v>66</v>
      </c>
      <c r="E15" t="s">
        <v>67</v>
      </c>
      <c r="F15">
        <v>145</v>
      </c>
      <c r="G15" t="s">
        <v>16</v>
      </c>
      <c r="H15" s="1">
        <v>46722</v>
      </c>
      <c r="I15" s="1">
        <v>46727</v>
      </c>
      <c r="J15">
        <v>1.2</v>
      </c>
      <c r="K15">
        <v>1.9</v>
      </c>
      <c r="L15">
        <v>3.1</v>
      </c>
      <c r="M15" s="10" t="s">
        <v>103</v>
      </c>
      <c r="N15" s="5" t="str">
        <f>REPT("|",J15*10)</f>
        <v>||||||||||||</v>
      </c>
      <c r="O15" s="6" t="str">
        <f>REPT("|",K15*10)</f>
        <v>|||||||||||||||||||</v>
      </c>
    </row>
    <row r="16" spans="1:15" x14ac:dyDescent="0.25">
      <c r="A16">
        <v>44</v>
      </c>
      <c r="B16" t="s">
        <v>68</v>
      </c>
      <c r="C16" t="s">
        <v>69</v>
      </c>
      <c r="D16" t="s">
        <v>70</v>
      </c>
      <c r="E16" t="s">
        <v>71</v>
      </c>
      <c r="F16">
        <v>145</v>
      </c>
      <c r="G16" t="s">
        <v>16</v>
      </c>
      <c r="H16" s="1">
        <v>46722</v>
      </c>
      <c r="I16" s="1">
        <v>46727</v>
      </c>
      <c r="J16">
        <v>1.1000000000000001</v>
      </c>
      <c r="K16">
        <v>1.9</v>
      </c>
      <c r="L16">
        <v>3</v>
      </c>
      <c r="M16" s="10" t="s">
        <v>104</v>
      </c>
      <c r="N16" s="5" t="str">
        <f>REPT("|",J16*10)</f>
        <v>|||||||||||</v>
      </c>
      <c r="O16" s="6" t="str">
        <f>REPT("|",K16*10)</f>
        <v>|||||||||||||||||||</v>
      </c>
    </row>
    <row r="17" spans="1:15" x14ac:dyDescent="0.25">
      <c r="A17">
        <v>57</v>
      </c>
      <c r="B17" t="s">
        <v>72</v>
      </c>
      <c r="C17" t="s">
        <v>73</v>
      </c>
      <c r="D17" t="s">
        <v>74</v>
      </c>
      <c r="E17" t="s">
        <v>75</v>
      </c>
      <c r="F17">
        <v>145</v>
      </c>
      <c r="G17" t="s">
        <v>16</v>
      </c>
      <c r="H17" s="1">
        <v>46722</v>
      </c>
      <c r="I17" s="1">
        <v>46727</v>
      </c>
      <c r="J17">
        <v>1.1000000000000001</v>
      </c>
      <c r="K17">
        <v>1.9</v>
      </c>
      <c r="L17">
        <v>3</v>
      </c>
      <c r="M17" s="10" t="s">
        <v>104</v>
      </c>
      <c r="N17" s="5" t="str">
        <f>REPT("|",J17*10)</f>
        <v>|||||||||||</v>
      </c>
      <c r="O17" s="6" t="str">
        <f>REPT("|",K17*10)</f>
        <v>|||||||||||||||||||</v>
      </c>
    </row>
    <row r="18" spans="1:15" x14ac:dyDescent="0.25">
      <c r="A18">
        <v>60</v>
      </c>
      <c r="B18" t="s">
        <v>76</v>
      </c>
      <c r="C18" t="s">
        <v>77</v>
      </c>
      <c r="D18" t="s">
        <v>78</v>
      </c>
      <c r="E18" t="s">
        <v>79</v>
      </c>
      <c r="F18">
        <v>145</v>
      </c>
      <c r="G18" t="s">
        <v>16</v>
      </c>
      <c r="H18" s="1">
        <v>46723</v>
      </c>
      <c r="I18" s="1">
        <v>46727</v>
      </c>
      <c r="J18">
        <v>0.5</v>
      </c>
      <c r="K18">
        <v>1.9</v>
      </c>
      <c r="L18">
        <v>2.4</v>
      </c>
      <c r="M18" s="10" t="s">
        <v>105</v>
      </c>
      <c r="N18" s="5" t="str">
        <f>REPT("|",J18*10)</f>
        <v>|||||</v>
      </c>
      <c r="O18" s="6" t="str">
        <f>REPT("|",K18*10)</f>
        <v>|||||||||||||||||||</v>
      </c>
    </row>
    <row r="19" spans="1:15" x14ac:dyDescent="0.25">
      <c r="A19">
        <v>69</v>
      </c>
      <c r="B19" t="s">
        <v>80</v>
      </c>
      <c r="C19" t="s">
        <v>81</v>
      </c>
      <c r="D19" t="s">
        <v>82</v>
      </c>
      <c r="E19" t="s">
        <v>83</v>
      </c>
      <c r="F19">
        <v>145</v>
      </c>
      <c r="G19" t="s">
        <v>16</v>
      </c>
      <c r="H19" s="1">
        <v>46723</v>
      </c>
      <c r="I19" s="1">
        <v>46727</v>
      </c>
      <c r="J19">
        <v>0.4</v>
      </c>
      <c r="K19">
        <v>1.9</v>
      </c>
      <c r="L19">
        <v>2.2999999999999998</v>
      </c>
      <c r="M19" s="10" t="s">
        <v>106</v>
      </c>
      <c r="N19" s="5" t="str">
        <f>REPT("|",J19*10)</f>
        <v>||||</v>
      </c>
      <c r="O19" s="6" t="str">
        <f>REPT("|",K19*10)</f>
        <v>|||||||||||||||||||</v>
      </c>
    </row>
    <row r="20" spans="1:15" x14ac:dyDescent="0.25">
      <c r="A20">
        <v>140</v>
      </c>
      <c r="B20" t="s">
        <v>84</v>
      </c>
      <c r="C20" t="s">
        <v>85</v>
      </c>
      <c r="D20" t="s">
        <v>86</v>
      </c>
      <c r="E20" t="s">
        <v>87</v>
      </c>
      <c r="F20">
        <v>145</v>
      </c>
      <c r="G20" t="s">
        <v>16</v>
      </c>
      <c r="H20" s="1">
        <v>46723</v>
      </c>
      <c r="I20" s="1">
        <v>46724</v>
      </c>
      <c r="J20">
        <v>0.2</v>
      </c>
      <c r="K20">
        <v>0.7</v>
      </c>
      <c r="L20">
        <v>0.9</v>
      </c>
      <c r="M20" s="11" t="s">
        <v>107</v>
      </c>
      <c r="N20" s="7" t="str">
        <f>REPT("|",J20*10)</f>
        <v>||</v>
      </c>
      <c r="O20" s="8" t="str">
        <f>REPT("|",K20*10)</f>
        <v>|||||||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436B9-7135-4407-9E97-21A37D10729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Sensitivity Analysis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dpolitte</dc:creator>
  <cp:lastModifiedBy>dpolitte</cp:lastModifiedBy>
  <dcterms:created xsi:type="dcterms:W3CDTF">2026-06-24T20:23:52Z</dcterms:created>
  <dcterms:modified xsi:type="dcterms:W3CDTF">2026-06-24T20:24:10Z</dcterms:modified>
</cp:coreProperties>
</file>